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13_ncr:1_{ADE341E7-B151-4AAD-8BA3-B8C0DD7B5124}" xr6:coauthVersionLast="47" xr6:coauthVersionMax="47" xr10:uidLastSave="{00000000-0000-0000-0000-000000000000}"/>
  <bookViews>
    <workbookView xWindow="-120" yWindow="-120" windowWidth="29040" windowHeight="15720" xr2:uid="{CC2D0ADA-4E80-42B2-8D69-B90DD28C34B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38" i="1"/>
  <c r="F37" i="1"/>
  <c r="E35" i="1"/>
  <c r="E34" i="1"/>
  <c r="J24" i="1"/>
  <c r="J23" i="1"/>
  <c r="J20" i="1"/>
  <c r="J18" i="1"/>
  <c r="J17" i="1"/>
  <c r="J15" i="1"/>
  <c r="J14" i="1"/>
  <c r="J13" i="1"/>
  <c r="J12" i="1"/>
  <c r="D6" i="1"/>
  <c r="D7" i="1"/>
  <c r="E7" i="1" s="1"/>
  <c r="D8" i="1"/>
  <c r="D9" i="1"/>
  <c r="D10" i="1"/>
  <c r="D11" i="1"/>
  <c r="D12" i="1"/>
  <c r="D13" i="1"/>
  <c r="E13" i="1" s="1"/>
  <c r="D14" i="1"/>
  <c r="E14" i="1" s="1"/>
  <c r="D15" i="1"/>
  <c r="D16" i="1"/>
  <c r="D17" i="1"/>
  <c r="E15" i="1"/>
  <c r="E16" i="1"/>
  <c r="E6" i="1"/>
  <c r="E17" i="1"/>
  <c r="J10" i="1" a="1"/>
  <c r="J10" i="1" s="1"/>
  <c r="E10" i="1" s="1"/>
  <c r="J9" i="1"/>
  <c r="E9" i="1" s="1"/>
  <c r="J7" i="1"/>
  <c r="K7" i="1"/>
  <c r="J5" i="1"/>
  <c r="J6" i="1"/>
  <c r="F40" i="1" l="1"/>
  <c r="F43" i="1" s="1"/>
  <c r="E11" i="1"/>
  <c r="J8" i="1"/>
  <c r="E8" i="1" s="1"/>
  <c r="E12" i="1"/>
  <c r="F4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<sst xmlns="http://schemas.openxmlformats.org/spreadsheetml/2006/main" count="45" uniqueCount="29">
  <si>
    <t>Dataset</t>
  </si>
  <si>
    <t>Voti studenti</t>
  </si>
  <si>
    <t>Calcoli:</t>
  </si>
  <si>
    <t>MEDIA</t>
  </si>
  <si>
    <t>N.VALORI</t>
  </si>
  <si>
    <t>MANUALE</t>
  </si>
  <si>
    <t>FORMULA</t>
  </si>
  <si>
    <t>MEDIANA</t>
  </si>
  <si>
    <t>Posizione valore</t>
  </si>
  <si>
    <t>VALORI CENTRALI</t>
  </si>
  <si>
    <t>MODA</t>
  </si>
  <si>
    <t>Scarti media</t>
  </si>
  <si>
    <t>Quadrati degli scarti</t>
  </si>
  <si>
    <t>VARIANZA</t>
  </si>
  <si>
    <t>DEVIAZIONE STANDARD</t>
  </si>
  <si>
    <t>QUARTILE</t>
  </si>
  <si>
    <t>IQR</t>
  </si>
  <si>
    <t>CLASSE VOTI</t>
  </si>
  <si>
    <t>VOTMIN</t>
  </si>
  <si>
    <t>VOTMAX</t>
  </si>
  <si>
    <t>FREQUENZA</t>
  </si>
  <si>
    <r>
      <t>Classe modale:</t>
    </r>
    <r>
      <rPr>
        <sz val="11"/>
        <color theme="1"/>
        <rFont val="Calibri"/>
        <family val="2"/>
        <scheme val="minor"/>
      </rPr>
      <t xml:space="preserve"> È la classe che presenta la frequenza più alta, ovvero la classe </t>
    </r>
    <r>
      <rPr>
        <b/>
        <sz val="11"/>
        <color theme="1"/>
        <rFont val="Calibri"/>
        <family val="2"/>
        <scheme val="minor"/>
      </rPr>
      <t>26-30</t>
    </r>
    <r>
      <rPr>
        <sz val="11"/>
        <color theme="1"/>
        <rFont val="Calibri"/>
        <family val="2"/>
        <scheme val="minor"/>
      </rPr>
      <t xml:space="preserve"> (frequenza = 8).</t>
    </r>
  </si>
  <si>
    <t>LIMITE INFERIORE</t>
  </si>
  <si>
    <r>
      <t xml:space="preserve">Nel campione originale il voto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è considerato un outlier (valore anomalo inferiore).</t>
    </r>
  </si>
  <si>
    <r>
      <t xml:space="preserve">La </t>
    </r>
    <r>
      <rPr>
        <b/>
        <sz val="11"/>
        <color theme="1"/>
        <rFont val="Calibri"/>
        <family val="2"/>
        <scheme val="minor"/>
      </rPr>
      <t>media</t>
    </r>
    <r>
      <rPr>
        <sz val="11"/>
        <color theme="1"/>
        <rFont val="Calibri"/>
        <family val="2"/>
        <scheme val="minor"/>
      </rPr>
      <t xml:space="preserve"> cambia significativamente (aumentando da 26.67 a quasi 32), mentre la </t>
    </r>
    <r>
      <rPr>
        <b/>
        <sz val="11"/>
        <color theme="1"/>
        <rFont val="Calibri"/>
        <family val="2"/>
        <scheme val="minor"/>
      </rPr>
      <t>mediana</t>
    </r>
    <r>
      <rPr>
        <sz val="11"/>
        <color theme="1"/>
        <rFont val="Calibri"/>
        <family val="2"/>
        <scheme val="minor"/>
      </rPr>
      <t xml:space="preserve"> rimane identica (28). </t>
    </r>
  </si>
  <si>
    <t>Questo dimostra la differenza fondamentale tra i due indici: la media è sensibile (influenzata dai valori estremi), mentre la mediana è robusta (non si fa perturbare dagli outlier).</t>
  </si>
  <si>
    <r>
      <t xml:space="preserve">Il nuovo limite superiore è 37.5. Il valore </t>
    </r>
    <r>
      <rPr>
        <b/>
        <sz val="11"/>
        <color theme="1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 xml:space="preserve"> è un palese outlier (il valore 18 invece non lo è più in questo contesto poiché rientra sopra il 17.5).</t>
    </r>
  </si>
  <si>
    <t>DEV.STAND</t>
  </si>
  <si>
    <t>La deviazione standard aumenta in modo drastico (da 3.50 a 18.52). Così come la media, anche la deviazione standard è fortemente sensibile ai valori anomali, poiché si basa sugli scarti dalla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</si>
</sst>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AB260-CA60-46F2-BF89-BF1D42A2FE2A}" name="Tabella1" displayName="Tabella1" ref="B5:E17" totalsRowShown="0">
  <autoFilter ref="B5:E17" xr:uid="{01EAB260-CA60-46F2-BF89-BF1D42A2FE2A}"/>
  <tableColumns count="4">
    <tableColumn id="2" xr3:uid="{D8FBA505-ABCD-4EF1-9C07-B9566589C1A1}" name="Posizione valore"/>
    <tableColumn id="1" xr3:uid="{D53B25E8-0B5D-4CD8-82BB-CF304CC646E5}" name="Voti studenti"/>
    <tableColumn id="3" xr3:uid="{2A3B9973-BBEB-47B8-AB25-C6FD766AE176}" name="Scarti media" dataDxfId="0">
      <calculatedColumnFormula>Tabella1[[#This Row],[Voti studenti]]-$J$6</calculatedColumnFormula>
    </tableColumn>
    <tableColumn id="4" xr3:uid="{4D0DDA63-C00C-466F-BE21-BF71134AA5FA}" name="Quadrati degli scarti" dataDxfId="1">
      <calculatedColumnFormula>POWER(Tabella1[[#This Row],[Scarti media]],2)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869A-40B5-42E3-B355-DD29B761D376}">
  <dimension ref="B2:L53"/>
  <sheetViews>
    <sheetView tabSelected="1" topLeftCell="A10" zoomScale="70" zoomScaleNormal="70" workbookViewId="0">
      <selection activeCell="B53" sqref="B53"/>
    </sheetView>
  </sheetViews>
  <sheetFormatPr defaultRowHeight="15" x14ac:dyDescent="0.25"/>
  <cols>
    <col min="2" max="2" width="15.7109375" bestFit="1" customWidth="1"/>
    <col min="3" max="3" width="14.85546875" bestFit="1" customWidth="1"/>
    <col min="4" max="4" width="19.140625" bestFit="1" customWidth="1"/>
    <col min="5" max="5" width="28.28515625" customWidth="1"/>
    <col min="9" max="9" width="25.28515625" bestFit="1" customWidth="1"/>
    <col min="10" max="10" width="9.7109375" bestFit="1" customWidth="1"/>
    <col min="12" max="12" width="9.85546875" bestFit="1" customWidth="1"/>
  </cols>
  <sheetData>
    <row r="2" spans="2:12" x14ac:dyDescent="0.25">
      <c r="C2" t="s">
        <v>1</v>
      </c>
      <c r="I2" t="s">
        <v>2</v>
      </c>
    </row>
    <row r="3" spans="2:12" x14ac:dyDescent="0.25">
      <c r="C3" t="s">
        <v>0</v>
      </c>
    </row>
    <row r="4" spans="2:12" x14ac:dyDescent="0.25">
      <c r="I4" t="s">
        <v>4</v>
      </c>
      <c r="J4">
        <v>12</v>
      </c>
    </row>
    <row r="5" spans="2:12" x14ac:dyDescent="0.25">
      <c r="B5" t="s">
        <v>8</v>
      </c>
      <c r="C5" t="s">
        <v>1</v>
      </c>
      <c r="D5" t="s">
        <v>11</v>
      </c>
      <c r="E5" t="s">
        <v>12</v>
      </c>
      <c r="I5" t="s">
        <v>3</v>
      </c>
      <c r="J5">
        <f>SUM(C6:C17)/J4</f>
        <v>26.666666666666668</v>
      </c>
      <c r="L5" t="s">
        <v>5</v>
      </c>
    </row>
    <row r="6" spans="2:12" x14ac:dyDescent="0.25">
      <c r="B6">
        <v>1</v>
      </c>
      <c r="C6">
        <v>18</v>
      </c>
      <c r="D6">
        <f>Tabella1[[#This Row],[Voti studenti]]-$J$6</f>
        <v>-8.6666666666666679</v>
      </c>
      <c r="E6">
        <f>POWER(Tabella1[[#This Row],[Scarti media]],2)</f>
        <v>75.111111111111128</v>
      </c>
      <c r="I6" t="s">
        <v>3</v>
      </c>
      <c r="J6">
        <f>AVERAGE(C6:C17)</f>
        <v>26.666666666666668</v>
      </c>
      <c r="L6" t="s">
        <v>6</v>
      </c>
    </row>
    <row r="7" spans="2:12" x14ac:dyDescent="0.25">
      <c r="B7">
        <v>2</v>
      </c>
      <c r="C7">
        <v>22</v>
      </c>
      <c r="D7">
        <f>Tabella1[[#This Row],[Voti studenti]]-$J$6</f>
        <v>-4.6666666666666679</v>
      </c>
      <c r="E7">
        <f>POWER(Tabella1[[#This Row],[Scarti media]],2)</f>
        <v>21.777777777777789</v>
      </c>
      <c r="I7" t="s">
        <v>9</v>
      </c>
      <c r="J7">
        <f>IF(ISEVEN(J4),J4/2," ")</f>
        <v>6</v>
      </c>
      <c r="K7">
        <f>IF(ISEVEN(J4),J4/2+1,(J4+1)/2)</f>
        <v>7</v>
      </c>
    </row>
    <row r="8" spans="2:12" x14ac:dyDescent="0.25">
      <c r="B8">
        <v>3</v>
      </c>
      <c r="C8">
        <v>25</v>
      </c>
      <c r="D8">
        <f>Tabella1[[#This Row],[Voti studenti]]-$J$6</f>
        <v>-1.6666666666666679</v>
      </c>
      <c r="E8">
        <f>POWER(Tabella1[[#This Row],[Scarti media]],2)</f>
        <v>2.7777777777777817</v>
      </c>
      <c r="I8" t="s">
        <v>7</v>
      </c>
      <c r="J8">
        <f>IF(ISEVEN(J4),(VLOOKUP(J7,Tabella1[],2)+VLOOKUP(K7,Tabella1[],2))/2,VLOOKUP(K7,Tabella1[],2))</f>
        <v>28</v>
      </c>
      <c r="L8" t="s">
        <v>5</v>
      </c>
    </row>
    <row r="9" spans="2:12" x14ac:dyDescent="0.25">
      <c r="B9">
        <v>4</v>
      </c>
      <c r="C9">
        <v>25</v>
      </c>
      <c r="D9">
        <f>Tabella1[[#This Row],[Voti studenti]]-$J$6</f>
        <v>-1.6666666666666679</v>
      </c>
      <c r="E9">
        <f>POWER(Tabella1[[#This Row],[Scarti media]],2)</f>
        <v>2.7777777777777817</v>
      </c>
      <c r="I9" t="s">
        <v>7</v>
      </c>
      <c r="J9">
        <f>MEDIAN(Tabella1[Voti studenti])</f>
        <v>28</v>
      </c>
      <c r="L9" t="s">
        <v>6</v>
      </c>
    </row>
    <row r="10" spans="2:12" x14ac:dyDescent="0.25">
      <c r="B10">
        <v>5</v>
      </c>
      <c r="C10">
        <v>27</v>
      </c>
      <c r="D10">
        <f>Tabella1[[#This Row],[Voti studenti]]-$J$6</f>
        <v>0.33333333333333215</v>
      </c>
      <c r="E10">
        <f>POWER(Tabella1[[#This Row],[Scarti media]],2)</f>
        <v>0.11111111111111033</v>
      </c>
      <c r="I10" t="s">
        <v>10</v>
      </c>
      <c r="J10" cm="1">
        <f t="array" ref="J10:J11">_xlfn.MODE.MULT(Tabella1[Voti studenti])</f>
        <v>28</v>
      </c>
    </row>
    <row r="11" spans="2:12" x14ac:dyDescent="0.25">
      <c r="B11">
        <v>6</v>
      </c>
      <c r="C11">
        <v>28</v>
      </c>
      <c r="D11">
        <f>Tabella1[[#This Row],[Voti studenti]]-$J$6</f>
        <v>1.3333333333333321</v>
      </c>
      <c r="E11">
        <f>POWER(Tabella1[[#This Row],[Scarti media]],2)</f>
        <v>1.7777777777777746</v>
      </c>
      <c r="J11">
        <v>30</v>
      </c>
    </row>
    <row r="12" spans="2:12" x14ac:dyDescent="0.25">
      <c r="B12">
        <v>7</v>
      </c>
      <c r="C12">
        <v>28</v>
      </c>
      <c r="D12">
        <f>Tabella1[[#This Row],[Voti studenti]]-$J$6</f>
        <v>1.3333333333333321</v>
      </c>
      <c r="E12">
        <f>POWER(Tabella1[[#This Row],[Scarti media]],2)</f>
        <v>1.7777777777777746</v>
      </c>
      <c r="I12" t="s">
        <v>13</v>
      </c>
      <c r="J12">
        <f>AVERAGE(Tabella1[Quadrati degli scarti])</f>
        <v>12.222222222222223</v>
      </c>
      <c r="L12" t="s">
        <v>5</v>
      </c>
    </row>
    <row r="13" spans="2:12" x14ac:dyDescent="0.25">
      <c r="B13">
        <v>8</v>
      </c>
      <c r="C13">
        <v>28</v>
      </c>
      <c r="D13">
        <f>Tabella1[[#This Row],[Voti studenti]]-$J$6</f>
        <v>1.3333333333333321</v>
      </c>
      <c r="E13">
        <f>POWER(Tabella1[[#This Row],[Scarti media]],2)</f>
        <v>1.7777777777777746</v>
      </c>
      <c r="I13" t="s">
        <v>13</v>
      </c>
      <c r="J13">
        <f>_xlfn.VAR.P(Tabella1[Voti studenti])</f>
        <v>12.222222222222221</v>
      </c>
      <c r="L13" t="s">
        <v>6</v>
      </c>
    </row>
    <row r="14" spans="2:12" x14ac:dyDescent="0.25">
      <c r="B14">
        <v>9</v>
      </c>
      <c r="C14">
        <v>29</v>
      </c>
      <c r="D14">
        <f>Tabella1[[#This Row],[Voti studenti]]-$J$6</f>
        <v>2.3333333333333321</v>
      </c>
      <c r="E14">
        <f>POWER(Tabella1[[#This Row],[Scarti media]],2)</f>
        <v>5.4444444444444393</v>
      </c>
      <c r="I14" t="s">
        <v>14</v>
      </c>
      <c r="J14">
        <f>SQRT(J13)</f>
        <v>3.496029493900505</v>
      </c>
    </row>
    <row r="15" spans="2:12" x14ac:dyDescent="0.25">
      <c r="B15">
        <v>10</v>
      </c>
      <c r="C15">
        <v>30</v>
      </c>
      <c r="D15">
        <f>Tabella1[[#This Row],[Voti studenti]]-$J$6</f>
        <v>3.3333333333333321</v>
      </c>
      <c r="E15">
        <f>POWER(Tabella1[[#This Row],[Scarti media]],2)</f>
        <v>11.111111111111104</v>
      </c>
      <c r="I15" t="s">
        <v>14</v>
      </c>
      <c r="J15">
        <f>_xlfn.STDEV.P(Tabella1[Voti studenti])</f>
        <v>3.496029493900505</v>
      </c>
    </row>
    <row r="16" spans="2:12" x14ac:dyDescent="0.25">
      <c r="B16">
        <v>11</v>
      </c>
      <c r="C16">
        <v>30</v>
      </c>
      <c r="D16">
        <f>Tabella1[[#This Row],[Voti studenti]]-$J$6</f>
        <v>3.3333333333333321</v>
      </c>
      <c r="E16">
        <f>POWER(Tabella1[[#This Row],[Scarti media]],2)</f>
        <v>11.111111111111104</v>
      </c>
    </row>
    <row r="17" spans="2:10" x14ac:dyDescent="0.25">
      <c r="B17">
        <v>12</v>
      </c>
      <c r="C17">
        <v>30</v>
      </c>
      <c r="D17">
        <f>Tabella1[[#This Row],[Voti studenti]]-$J$6</f>
        <v>3.3333333333333321</v>
      </c>
      <c r="E17">
        <f>POWER(Tabella1[[#This Row],[Scarti media]],2)</f>
        <v>11.111111111111104</v>
      </c>
      <c r="H17">
        <v>1</v>
      </c>
      <c r="I17" t="s">
        <v>15</v>
      </c>
      <c r="J17">
        <f>_xlfn.QUARTILE.INC(Tabella1[Voti studenti],H17)</f>
        <v>25</v>
      </c>
    </row>
    <row r="18" spans="2:10" x14ac:dyDescent="0.25">
      <c r="H18">
        <v>3</v>
      </c>
      <c r="I18" t="s">
        <v>15</v>
      </c>
      <c r="J18">
        <f>_xlfn.QUARTILE.INC(Tabella1[Voti studenti],H18)</f>
        <v>29.25</v>
      </c>
    </row>
    <row r="20" spans="2:10" x14ac:dyDescent="0.25">
      <c r="I20" t="s">
        <v>16</v>
      </c>
      <c r="J20">
        <f>J18-J17</f>
        <v>4.25</v>
      </c>
    </row>
    <row r="22" spans="2:10" x14ac:dyDescent="0.25">
      <c r="B22" t="s">
        <v>17</v>
      </c>
    </row>
    <row r="23" spans="2:10" x14ac:dyDescent="0.25">
      <c r="B23" s="1" t="s">
        <v>18</v>
      </c>
      <c r="C23" t="s">
        <v>19</v>
      </c>
      <c r="D23" t="s">
        <v>20</v>
      </c>
      <c r="I23" t="s">
        <v>22</v>
      </c>
      <c r="J23">
        <f>J17-1.5*J20</f>
        <v>18.625</v>
      </c>
    </row>
    <row r="24" spans="2:10" x14ac:dyDescent="0.25">
      <c r="B24">
        <v>18</v>
      </c>
      <c r="C24">
        <v>21</v>
      </c>
      <c r="D24">
        <v>1</v>
      </c>
      <c r="J24">
        <f>J18+1.5*J20</f>
        <v>35.625</v>
      </c>
    </row>
    <row r="25" spans="2:10" x14ac:dyDescent="0.25">
      <c r="B25">
        <v>22</v>
      </c>
      <c r="C25">
        <v>25</v>
      </c>
      <c r="D25">
        <v>3</v>
      </c>
    </row>
    <row r="26" spans="2:10" x14ac:dyDescent="0.25">
      <c r="B26">
        <v>26</v>
      </c>
      <c r="C26">
        <v>30</v>
      </c>
      <c r="D26">
        <v>8</v>
      </c>
    </row>
    <row r="27" spans="2:10" x14ac:dyDescent="0.25">
      <c r="I27" t="s">
        <v>23</v>
      </c>
    </row>
    <row r="29" spans="2:10" x14ac:dyDescent="0.25">
      <c r="B29" s="2" t="s">
        <v>21</v>
      </c>
    </row>
    <row r="34" spans="2:6" x14ac:dyDescent="0.25">
      <c r="B34">
        <v>18</v>
      </c>
      <c r="D34" t="s">
        <v>3</v>
      </c>
      <c r="E34">
        <f>AVERAGE(B34:B46)</f>
        <v>31.923076923076923</v>
      </c>
    </row>
    <row r="35" spans="2:6" x14ac:dyDescent="0.25">
      <c r="B35">
        <v>22</v>
      </c>
      <c r="D35" t="s">
        <v>7</v>
      </c>
      <c r="E35">
        <f>MEDIAN(B34:B46)</f>
        <v>28</v>
      </c>
    </row>
    <row r="36" spans="2:6" x14ac:dyDescent="0.25">
      <c r="B36">
        <v>25</v>
      </c>
    </row>
    <row r="37" spans="2:6" x14ac:dyDescent="0.25">
      <c r="B37">
        <v>25</v>
      </c>
      <c r="D37">
        <v>1</v>
      </c>
      <c r="E37" t="s">
        <v>15</v>
      </c>
      <c r="F37">
        <f>_xlfn.QUARTILE.INC(B34:B46,D37)</f>
        <v>25</v>
      </c>
    </row>
    <row r="38" spans="2:6" x14ac:dyDescent="0.25">
      <c r="B38">
        <v>27</v>
      </c>
      <c r="D38">
        <v>3</v>
      </c>
      <c r="E38" t="s">
        <v>15</v>
      </c>
      <c r="F38">
        <f>_xlfn.QUARTILE.INC(B34:B46,D38)</f>
        <v>30</v>
      </c>
    </row>
    <row r="39" spans="2:6" x14ac:dyDescent="0.25">
      <c r="B39">
        <v>28</v>
      </c>
    </row>
    <row r="40" spans="2:6" x14ac:dyDescent="0.25">
      <c r="B40">
        <v>28</v>
      </c>
      <c r="E40" t="s">
        <v>16</v>
      </c>
      <c r="F40">
        <f>F38-F37</f>
        <v>5</v>
      </c>
    </row>
    <row r="41" spans="2:6" x14ac:dyDescent="0.25">
      <c r="B41">
        <v>28</v>
      </c>
    </row>
    <row r="42" spans="2:6" x14ac:dyDescent="0.25">
      <c r="B42">
        <v>29</v>
      </c>
    </row>
    <row r="43" spans="2:6" x14ac:dyDescent="0.25">
      <c r="B43">
        <v>30</v>
      </c>
      <c r="E43" t="s">
        <v>22</v>
      </c>
      <c r="F43">
        <f>F37-1.5*F40</f>
        <v>17.5</v>
      </c>
    </row>
    <row r="44" spans="2:6" x14ac:dyDescent="0.25">
      <c r="B44">
        <v>30</v>
      </c>
      <c r="F44">
        <f>F38+1.5*F40</f>
        <v>37.5</v>
      </c>
    </row>
    <row r="45" spans="2:6" x14ac:dyDescent="0.25">
      <c r="B45">
        <v>30</v>
      </c>
    </row>
    <row r="46" spans="2:6" x14ac:dyDescent="0.25">
      <c r="B46">
        <v>95</v>
      </c>
      <c r="E46" t="s">
        <v>27</v>
      </c>
      <c r="F46">
        <f>_xlfn.STDEV.P(B34:B46)</f>
        <v>18.515945471036325</v>
      </c>
    </row>
    <row r="48" spans="2:6" x14ac:dyDescent="0.25">
      <c r="B48" t="s">
        <v>24</v>
      </c>
    </row>
    <row r="49" spans="2:2" x14ac:dyDescent="0.25">
      <c r="B49" t="s">
        <v>25</v>
      </c>
    </row>
    <row r="51" spans="2:2" x14ac:dyDescent="0.25">
      <c r="B51" t="s">
        <v>26</v>
      </c>
    </row>
    <row r="53" spans="2:2" x14ac:dyDescent="0.25">
      <c r="B5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2026-07-03T13:20:26Z</dcterms:created>
  <dcterms:modified xsi:type="dcterms:W3CDTF">2026-07-03T14:44:26Z</dcterms:modified>
</cp:coreProperties>
</file>