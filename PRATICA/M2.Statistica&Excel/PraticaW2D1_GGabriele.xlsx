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bri\Desktop\Epicode-Dapt0326\M2. Statistica &amp; Excel\"/>
    </mc:Choice>
  </mc:AlternateContent>
  <xr:revisionPtr revIDLastSave="0" documentId="13_ncr:1_{94419318-A211-4DC1-9A2C-3125F593C5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J7" i="1"/>
  <c r="E6" i="1"/>
  <c r="E11" i="1" s="1"/>
  <c r="E13" i="1" s="1"/>
  <c r="E7" i="1"/>
  <c r="E9" i="1"/>
  <c r="E10" i="1"/>
  <c r="E12" i="1" s="1"/>
  <c r="F7" i="1"/>
  <c r="G7" i="1"/>
  <c r="H7" i="1" s="1"/>
  <c r="F6" i="1"/>
  <c r="G6" i="1"/>
  <c r="H6" i="1"/>
  <c r="I6" i="1"/>
  <c r="J6" i="1"/>
  <c r="F10" i="1"/>
  <c r="G10" i="1"/>
  <c r="H10" i="1"/>
  <c r="I10" i="1"/>
  <c r="J10" i="1"/>
  <c r="H9" i="1"/>
  <c r="I9" i="1"/>
  <c r="J9" i="1"/>
  <c r="F9" i="1"/>
  <c r="G9" i="1"/>
  <c r="H11" i="1" l="1"/>
  <c r="H12" i="1" s="1"/>
  <c r="J11" i="1"/>
  <c r="J12" i="1" s="1"/>
  <c r="I11" i="1"/>
  <c r="I13" i="1" s="1"/>
  <c r="F11" i="1"/>
  <c r="F13" i="1" s="1"/>
  <c r="G11" i="1"/>
  <c r="G12" i="1" s="1"/>
  <c r="J13" i="1" l="1"/>
  <c r="I12" i="1"/>
  <c r="H13" i="1"/>
  <c r="G13" i="1"/>
  <c r="F12" i="1"/>
</calcChain>
</file>

<file path=xl/sharedStrings.xml><?xml version="1.0" encoding="utf-8"?>
<sst xmlns="http://schemas.openxmlformats.org/spreadsheetml/2006/main" count="13" uniqueCount="13">
  <si>
    <t>Dev.ST</t>
  </si>
  <si>
    <t>Campione</t>
  </si>
  <si>
    <t>Confidenza</t>
  </si>
  <si>
    <t>Alfa</t>
  </si>
  <si>
    <t>Media campionaria</t>
  </si>
  <si>
    <t>Margine</t>
  </si>
  <si>
    <t>Limite inferiore</t>
  </si>
  <si>
    <t>Limite superiore</t>
  </si>
  <si>
    <t>Siamo fiduciosi al 95% che la vera media della popolazione sia compresa tra 50,04 e 53,96.</t>
  </si>
  <si>
    <r>
      <t xml:space="preserve">Aumentando il livello di confidenza, l'ampiezza dell'intervallo </t>
    </r>
    <r>
      <rPr>
        <b/>
        <sz val="11"/>
        <color theme="1"/>
        <rFont val="Calibri"/>
        <family val="2"/>
        <scheme val="minor"/>
      </rPr>
      <t>aumenta</t>
    </r>
    <r>
      <rPr>
        <sz val="11"/>
        <color theme="1"/>
        <rFont val="Calibri"/>
        <family val="2"/>
        <scheme val="minor"/>
      </rPr>
      <t>. Per essere più sicuri (99% contro 90%) di includere il vero valore della popolazione, dobbiamo necessariamente allargare la nostra "rete" di stima.</t>
    </r>
  </si>
  <si>
    <t>Il motivo risiede nella formula del margine di errore, dove la dimensione del campione si trova sotto radice quadrata al denominatore.</t>
  </si>
  <si>
    <t xml:space="preserve"> Trovandosi al denominatore, l'intero margine di errore viene diviso per 2, dimezzandosi. Aumentare la dimensione del campione aumenta la precisione della stima, riducendo l'errore.</t>
  </si>
  <si>
    <t>Dati osservati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</si>
</sst>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5">
    <xf numFmtId="0" fontId="0" fillId="0" borderId="0" xfId="0"/>
    <xf numFmtId="9" fontId="0" fillId="0" borderId="0" xfId="0" applyNumberFormat="1"/>
    <xf numFmtId="2" fontId="0" fillId="0" borderId="0" xfId="0" applyNumberFormat="1"/>
    <xf numFmtId="0" fontId="2" fillId="0" borderId="0" xfId="0" applyFont="1"/>
    <xf numFmtId="2" fontId="3" fillId="0" borderId="0" xfId="2" applyNumberFormat="1" applyFont="1"/>
  </cellXfs>
  <cellStyles count="3">
    <cellStyle name="Normal" xfId="2" xr:uid="{41EAAFFC-6904-400A-9E5A-598367A3D4E2}"/>
    <cellStyle name="Normale" xfId="0" builtinId="0"/>
    <cellStyle name="Normale 2" xfId="1" xr:uid="{3532F409-5177-4251-B6DF-FA256F94CD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84"/>
  <sheetViews>
    <sheetView tabSelected="1" workbookViewId="0">
      <selection activeCell="J9" sqref="J9"/>
    </sheetView>
  </sheetViews>
  <sheetFormatPr defaultRowHeight="15"/>
  <cols>
    <col min="2" max="2" width="13.140625" bestFit="1" customWidth="1"/>
    <col min="4" max="4" width="17.28515625" customWidth="1"/>
  </cols>
  <sheetData>
    <row r="3" spans="2:10">
      <c r="B3" t="s">
        <v>12</v>
      </c>
      <c r="D3" s="3"/>
    </row>
    <row r="4" spans="2:10">
      <c r="B4" s="4">
        <v>50.226791890560854</v>
      </c>
      <c r="D4" s="3"/>
      <c r="E4" s="3"/>
    </row>
    <row r="5" spans="2:10">
      <c r="B5" s="4">
        <v>49.929976818027036</v>
      </c>
    </row>
    <row r="6" spans="2:10">
      <c r="B6" s="4">
        <v>50.56441257177115</v>
      </c>
      <c r="D6" t="s">
        <v>0</v>
      </c>
      <c r="E6">
        <f>_xlfn.STDEV.P($B$4:$B$84)</f>
        <v>8.9442719099990313</v>
      </c>
      <c r="F6">
        <f>_xlfn.STDEV.P($B$4:$B$84)</f>
        <v>8.9442719099990313</v>
      </c>
      <c r="G6">
        <f>_xlfn.STDEV.P($B$4:$B$84)</f>
        <v>8.9442719099990313</v>
      </c>
      <c r="H6">
        <f>_xlfn.STDEV.P($B$4:$B$84)</f>
        <v>8.9442719099990313</v>
      </c>
      <c r="I6">
        <f>_xlfn.STDEV.P($B$4:$B$84)</f>
        <v>8.9442719099990313</v>
      </c>
      <c r="J6">
        <f>_xlfn.STDEV.P($B$4:$B$84)</f>
        <v>8.9442719099990313</v>
      </c>
    </row>
    <row r="7" spans="2:10">
      <c r="B7" s="4">
        <v>58.942481756369347</v>
      </c>
      <c r="D7" t="s">
        <v>1</v>
      </c>
      <c r="E7">
        <f>COUNTA($B$4:$B$84)</f>
        <v>81</v>
      </c>
      <c r="F7">
        <f>COUNTA($B$4:$B$84)</f>
        <v>81</v>
      </c>
      <c r="G7">
        <f>COUNTA($B$4:$B$84)</f>
        <v>81</v>
      </c>
      <c r="H7">
        <f>$G$7*4</f>
        <v>324</v>
      </c>
      <c r="I7">
        <f t="shared" ref="I7:J7" si="0">$G$7*4</f>
        <v>324</v>
      </c>
      <c r="J7">
        <f t="shared" si="0"/>
        <v>324</v>
      </c>
    </row>
    <row r="8" spans="2:10">
      <c r="B8" s="4">
        <v>50.396784945549271</v>
      </c>
      <c r="D8" t="s">
        <v>2</v>
      </c>
      <c r="E8" s="1">
        <v>0.95</v>
      </c>
      <c r="F8" s="1">
        <v>0.99</v>
      </c>
      <c r="G8" s="1">
        <v>0.9</v>
      </c>
      <c r="H8" s="1">
        <v>0.95</v>
      </c>
      <c r="I8" s="1">
        <v>0.99</v>
      </c>
      <c r="J8" s="1">
        <v>0.9</v>
      </c>
    </row>
    <row r="9" spans="2:10">
      <c r="B9" s="4">
        <v>36.286379359949052</v>
      </c>
      <c r="D9" t="s">
        <v>3</v>
      </c>
      <c r="E9" s="2">
        <f>1-E8</f>
        <v>5.0000000000000044E-2</v>
      </c>
      <c r="F9" s="2">
        <f t="shared" ref="F9:G9" si="1">1-F8</f>
        <v>1.0000000000000009E-2</v>
      </c>
      <c r="G9" s="2">
        <f t="shared" si="1"/>
        <v>9.9999999999999978E-2</v>
      </c>
      <c r="H9" s="2">
        <f t="shared" ref="H9" si="2">1-H8</f>
        <v>5.0000000000000044E-2</v>
      </c>
      <c r="I9" s="2">
        <f t="shared" ref="I9" si="3">1-I8</f>
        <v>1.0000000000000009E-2</v>
      </c>
      <c r="J9" s="2">
        <f t="shared" ref="J9" si="4">1-J8</f>
        <v>9.9999999999999978E-2</v>
      </c>
    </row>
    <row r="10" spans="2:10">
      <c r="B10" s="4">
        <v>55.134435879789187</v>
      </c>
      <c r="D10" t="s">
        <v>4</v>
      </c>
      <c r="E10" s="2">
        <f>AVERAGE($B$4:$B$84)</f>
        <v>52.000000000000014</v>
      </c>
      <c r="F10" s="2">
        <f>AVERAGE($B$4:$B$84)</f>
        <v>52.000000000000014</v>
      </c>
      <c r="G10" s="2">
        <f>AVERAGE($B$4:$B$84)</f>
        <v>52.000000000000014</v>
      </c>
      <c r="H10" s="2">
        <f>AVERAGE($B$4:$B$84)</f>
        <v>52.000000000000014</v>
      </c>
      <c r="I10" s="2">
        <f>AVERAGE($B$4:$B$84)</f>
        <v>52.000000000000014</v>
      </c>
      <c r="J10" s="2">
        <f>AVERAGE($B$4:$B$84)</f>
        <v>52.000000000000014</v>
      </c>
    </row>
    <row r="11" spans="2:10">
      <c r="B11" s="4">
        <v>48.957182072262427</v>
      </c>
      <c r="D11" t="s">
        <v>5</v>
      </c>
      <c r="E11" s="2">
        <f t="shared" ref="E11:J11" si="5">_xlfn.CONFIDENCE.NORM(E9,E6,E7)</f>
        <v>1.9478278679479308</v>
      </c>
      <c r="F11" s="2">
        <f t="shared" si="5"/>
        <v>2.5598797427427549</v>
      </c>
      <c r="G11" s="2">
        <f t="shared" si="5"/>
        <v>1.6346686768446748</v>
      </c>
      <c r="H11" s="2">
        <f t="shared" si="5"/>
        <v>0.97391393397396542</v>
      </c>
      <c r="I11" s="2">
        <f t="shared" si="5"/>
        <v>1.2799398713713774</v>
      </c>
      <c r="J11" s="2">
        <f t="shared" si="5"/>
        <v>0.81733433842233738</v>
      </c>
    </row>
    <row r="12" spans="2:10">
      <c r="B12" s="4">
        <v>49.476150766501469</v>
      </c>
      <c r="D12" t="s">
        <v>6</v>
      </c>
      <c r="E12" s="2">
        <f>E10-E11</f>
        <v>50.052172132052085</v>
      </c>
      <c r="F12" s="2">
        <f t="shared" ref="F12:G12" si="6">F10-F11</f>
        <v>49.440120257257263</v>
      </c>
      <c r="G12" s="2">
        <f t="shared" si="6"/>
        <v>50.365331323155338</v>
      </c>
      <c r="H12" s="2">
        <f t="shared" ref="H12" si="7">H10-H11</f>
        <v>51.026086066026046</v>
      </c>
      <c r="I12" s="2">
        <f t="shared" ref="I12" si="8">I10-I11</f>
        <v>50.720060128628639</v>
      </c>
      <c r="J12" s="2">
        <f t="shared" ref="J12" si="9">J10-J11</f>
        <v>51.18266566157768</v>
      </c>
    </row>
    <row r="13" spans="2:10">
      <c r="B13" s="4">
        <v>52.904881915646136</v>
      </c>
      <c r="D13" t="s">
        <v>7</v>
      </c>
      <c r="E13" s="2">
        <f>E10+E11</f>
        <v>53.947827867947943</v>
      </c>
      <c r="F13" s="2">
        <f t="shared" ref="F13:J13" si="10">F10+F11</f>
        <v>54.559879742742766</v>
      </c>
      <c r="G13" s="2">
        <f t="shared" si="10"/>
        <v>53.63466867684469</v>
      </c>
      <c r="H13" s="2">
        <f t="shared" si="10"/>
        <v>52.973913933973982</v>
      </c>
      <c r="I13" s="2">
        <f t="shared" si="10"/>
        <v>53.27993987137139</v>
      </c>
      <c r="J13" s="2">
        <f t="shared" si="10"/>
        <v>52.817334338422349</v>
      </c>
    </row>
    <row r="14" spans="2:10">
      <c r="B14" s="4">
        <v>54.104090382977908</v>
      </c>
    </row>
    <row r="15" spans="2:10">
      <c r="B15" s="4">
        <v>63.697318749681642</v>
      </c>
      <c r="D15" t="s">
        <v>8</v>
      </c>
    </row>
    <row r="16" spans="2:10">
      <c r="B16" s="4">
        <v>58.475344998307918</v>
      </c>
    </row>
    <row r="17" spans="2:4">
      <c r="B17" s="4">
        <v>52.849485376484303</v>
      </c>
      <c r="D17" t="s">
        <v>9</v>
      </c>
    </row>
    <row r="18" spans="2:4">
      <c r="B18" s="4">
        <v>44.10541817230002</v>
      </c>
    </row>
    <row r="19" spans="2:4">
      <c r="B19" s="4">
        <v>41.258740162316862</v>
      </c>
      <c r="D19" t="s">
        <v>10</v>
      </c>
    </row>
    <row r="20" spans="2:4">
      <c r="B20" s="4">
        <v>54.248767012923615</v>
      </c>
      <c r="D20" t="s">
        <v>11</v>
      </c>
    </row>
    <row r="21" spans="2:4">
      <c r="B21" s="4">
        <v>65.21699332041851</v>
      </c>
    </row>
    <row r="22" spans="2:4">
      <c r="B22" s="4">
        <v>52.140235427658659</v>
      </c>
    </row>
    <row r="23" spans="2:4">
      <c r="B23" s="4">
        <v>50.615842670958195</v>
      </c>
    </row>
    <row r="24" spans="2:4">
      <c r="B24" s="4">
        <v>57.189117715029539</v>
      </c>
    </row>
    <row r="25" spans="2:4">
      <c r="B25" s="4">
        <v>36.737661317417022</v>
      </c>
    </row>
    <row r="26" spans="2:4">
      <c r="B26" s="4">
        <v>48.494241867318117</v>
      </c>
    </row>
    <row r="27" spans="2:4">
      <c r="B27" s="4">
        <v>56.76250156112075</v>
      </c>
    </row>
    <row r="28" spans="2:4">
      <c r="B28" s="4">
        <v>60.708342916322337</v>
      </c>
    </row>
    <row r="29" spans="2:4">
      <c r="B29" s="4">
        <v>49.232308051399457</v>
      </c>
    </row>
    <row r="30" spans="2:4">
      <c r="B30" s="4">
        <v>55.590594470263071</v>
      </c>
    </row>
    <row r="31" spans="2:4">
      <c r="B31" s="4">
        <v>54.268043423133321</v>
      </c>
    </row>
    <row r="32" spans="2:4">
      <c r="B32" s="4">
        <v>59.770122547020328</v>
      </c>
    </row>
    <row r="33" spans="2:2">
      <c r="B33" s="4">
        <v>40.243442443591881</v>
      </c>
    </row>
    <row r="34" spans="2:2">
      <c r="B34" s="4">
        <v>57.56485331671076</v>
      </c>
    </row>
    <row r="35" spans="2:2">
      <c r="B35" s="4">
        <v>36.109536623799862</v>
      </c>
    </row>
    <row r="36" spans="2:2">
      <c r="B36" s="4">
        <v>24.722186211115726</v>
      </c>
    </row>
    <row r="37" spans="2:2">
      <c r="B37" s="4">
        <v>45.459331262425799</v>
      </c>
    </row>
    <row r="38" spans="2:2">
      <c r="B38" s="4">
        <v>42.277050756790402</v>
      </c>
    </row>
    <row r="39" spans="2:2">
      <c r="B39" s="4">
        <v>60.735207324468298</v>
      </c>
    </row>
    <row r="40" spans="2:2">
      <c r="B40" s="4">
        <v>58.553937907835945</v>
      </c>
    </row>
    <row r="41" spans="2:2">
      <c r="B41" s="4">
        <v>39.15302040292223</v>
      </c>
    </row>
    <row r="42" spans="2:2">
      <c r="B42" s="4">
        <v>60.440065714110027</v>
      </c>
    </row>
    <row r="43" spans="2:2">
      <c r="B43" s="4">
        <v>41.387090055799575</v>
      </c>
    </row>
    <row r="44" spans="2:2">
      <c r="B44" s="4">
        <v>50.822687728490145</v>
      </c>
    </row>
    <row r="45" spans="2:2">
      <c r="B45" s="4">
        <v>48.683555002704097</v>
      </c>
    </row>
    <row r="46" spans="2:2">
      <c r="B46" s="4">
        <v>52.889791192960523</v>
      </c>
    </row>
    <row r="47" spans="2:2">
      <c r="B47" s="4">
        <v>60.144158796196066</v>
      </c>
    </row>
    <row r="48" spans="2:2">
      <c r="B48" s="4">
        <v>58.287626747943136</v>
      </c>
    </row>
    <row r="49" spans="2:2">
      <c r="B49" s="4">
        <v>55.315396886806568</v>
      </c>
    </row>
    <row r="50" spans="2:2">
      <c r="B50" s="4">
        <v>58.406445475682261</v>
      </c>
    </row>
    <row r="51" spans="2:2">
      <c r="B51" s="4">
        <v>56.640219649852469</v>
      </c>
    </row>
    <row r="52" spans="2:2">
      <c r="B52" s="4">
        <v>45.252328701794092</v>
      </c>
    </row>
    <row r="53" spans="2:2">
      <c r="B53" s="4">
        <v>44.321236319486793</v>
      </c>
    </row>
    <row r="54" spans="2:2">
      <c r="B54" s="4">
        <v>46.869814941349929</v>
      </c>
    </row>
    <row r="55" spans="2:2">
      <c r="B55" s="4">
        <v>56.854841341588774</v>
      </c>
    </row>
    <row r="56" spans="2:2">
      <c r="B56" s="4">
        <v>49.1345906617778</v>
      </c>
    </row>
    <row r="57" spans="2:2">
      <c r="B57" s="4">
        <v>75.772494316589103</v>
      </c>
    </row>
    <row r="58" spans="2:2">
      <c r="B58" s="4">
        <v>43.271309626006577</v>
      </c>
    </row>
    <row r="59" spans="2:2">
      <c r="B59" s="4">
        <v>40.391241984616521</v>
      </c>
    </row>
    <row r="60" spans="2:2">
      <c r="B60" s="4">
        <v>59.627415171962838</v>
      </c>
    </row>
    <row r="61" spans="2:2">
      <c r="B61" s="4">
        <v>66.358063169849004</v>
      </c>
    </row>
    <row r="62" spans="2:2">
      <c r="B62" s="4">
        <v>56.920422613214278</v>
      </c>
    </row>
    <row r="63" spans="2:2">
      <c r="B63" s="4">
        <v>60.32114633858059</v>
      </c>
    </row>
    <row r="64" spans="2:2">
      <c r="B64" s="4">
        <v>66.404367617701652</v>
      </c>
    </row>
    <row r="65" spans="2:2">
      <c r="B65" s="4">
        <v>50.742505973776872</v>
      </c>
    </row>
    <row r="66" spans="2:2">
      <c r="B66" s="4">
        <v>37.052741621384754</v>
      </c>
    </row>
    <row r="67" spans="2:2">
      <c r="B67" s="4">
        <v>46.230016979357359</v>
      </c>
    </row>
    <row r="68" spans="2:2">
      <c r="B68" s="4">
        <v>61.527209942183703</v>
      </c>
    </row>
    <row r="69" spans="2:2">
      <c r="B69" s="4">
        <v>36.839303448539432</v>
      </c>
    </row>
    <row r="70" spans="2:2">
      <c r="B70" s="4">
        <v>52.05653150907149</v>
      </c>
    </row>
    <row r="71" spans="2:2">
      <c r="B71" s="4">
        <v>54.319796388905814</v>
      </c>
    </row>
    <row r="72" spans="2:2">
      <c r="B72" s="4">
        <v>48.46009452043203</v>
      </c>
    </row>
    <row r="73" spans="2:2">
      <c r="B73" s="4">
        <v>59.165487686303827</v>
      </c>
    </row>
    <row r="74" spans="2:2">
      <c r="B74" s="4">
        <v>57.69391926295944</v>
      </c>
    </row>
    <row r="75" spans="2:2">
      <c r="B75" s="4">
        <v>75.624714438399081</v>
      </c>
    </row>
    <row r="76" spans="2:2">
      <c r="B76" s="4">
        <v>58.097608137863816</v>
      </c>
    </row>
    <row r="77" spans="2:2">
      <c r="B77" s="4">
        <v>45.433446791508175</v>
      </c>
    </row>
    <row r="78" spans="2:2">
      <c r="B78" s="4">
        <v>45.923850632932151</v>
      </c>
    </row>
    <row r="79" spans="2:2">
      <c r="B79" s="4">
        <v>43.14472109745698</v>
      </c>
    </row>
    <row r="80" spans="2:2">
      <c r="B80" s="4">
        <v>61.520800479061776</v>
      </c>
    </row>
    <row r="81" spans="2:2">
      <c r="B81" s="4">
        <v>45.87198092766301</v>
      </c>
    </row>
    <row r="82" spans="2:2">
      <c r="B82" s="4">
        <v>50.987334668583998</v>
      </c>
    </row>
    <row r="83" spans="2:2">
      <c r="B83" s="4">
        <v>59.429929402684039</v>
      </c>
    </row>
    <row r="84" spans="2:2">
      <c r="B84" s="4">
        <v>44.258481666731065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Goiza</dc:creator>
  <cp:lastModifiedBy>Gabriele Goiza</cp:lastModifiedBy>
  <dcterms:created xsi:type="dcterms:W3CDTF">2015-06-05T18:19:34Z</dcterms:created>
  <dcterms:modified xsi:type="dcterms:W3CDTF">2026-07-10T17:35:44Z</dcterms:modified>
</cp:coreProperties>
</file>