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bri\Desktop\Epicode-Dapt0326\M2. Statistica &amp; Excel\W3D1\"/>
    </mc:Choice>
  </mc:AlternateContent>
  <xr:revisionPtr revIDLastSave="0" documentId="13_ncr:1_{2BEC7AD6-92F7-4422-A204-D7F8D17845C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endite">Vend[]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H28" i="3" l="1" a="1"/>
  <c r="H28" i="3" s="1"/>
  <c r="K3" i="3"/>
  <c r="K2" i="3"/>
  <c r="H4" i="3" a="1"/>
  <c r="H4" i="3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2" i="2" a="1"/>
  <c r="D2" i="2" s="1"/>
  <c r="C2" i="2"/>
  <c r="C3" i="2"/>
  <c r="C4" i="2"/>
  <c r="C5" i="2"/>
  <c r="C6" i="2"/>
  <c r="C7" i="2"/>
  <c r="C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<sst xmlns="http://schemas.openxmlformats.org/spreadsheetml/2006/main" count="805" uniqueCount="575">
  <si>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</si>
  <si>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</si>
  <si>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</si>
  <si>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</si>
  <si>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</si>
  <si>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</si>
  <si>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</si>
  <si>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</si>
  <si>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</si>
  <si>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</si>
  <si>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</si>
  <si>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</si>
  <si>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</si>
  <si>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</si>
  <si>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</si>
  <si>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</si>
  <si>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</si>
  <si>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</si>
  <si>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</si>
  <si>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</si>
  <si>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</si>
  <si>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</si>
  <si>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</si>
  <si>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</si>
  <si>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</si>
  <si>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</si>
  <si>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</si>
  <si>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</si>
  <si>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</si>
  <si>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</si>
  <si>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</si>
  <si>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</si>
  <si>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</si>
  <si>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</si>
  <si>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</si>
  <si>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</si>
  <si>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</si>
  <si>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</si>
  <si>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</si>
  <si>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</si>
  <si>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</si>
  <si>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</si>
  <si>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</si>
  <si>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</si>
  <si>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</si>
  <si>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</si>
  <si>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</si>
  <si>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</si>
  <si>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</si>
  <si>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</si>
  <si>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</si>
  <si>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</si>
  <si>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</si>
  <si>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</si>
  <si>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</si>
  <si>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</si>
  <si>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</si>
  <si>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</si>
  <si>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</si>
  <si>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</si>
  <si>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</si>
  <si>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</si>
  <si>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</si>
  <si>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</si>
  <si>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</si>
  <si>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</si>
  <si>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</si>
  <si>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</si>
  <si>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</si>
  <si>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</si>
  <si>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</si>
  <si>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</si>
  <si>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</si>
  <si>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</si>
  <si>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</si>
  <si>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</si>
  <si>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</si>
  <si>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</si>
  <si>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</si>
  <si>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</si>
  <si>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</si>
  <si>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</si>
  <si>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</si>
  <si>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</si>
  <si>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</si>
  <si>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</si>
  <si>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</si>
  <si>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</si>
  <si>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</si>
  <si>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</si>
  <si>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</si>
  <si>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</si>
  <si>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</si>
  <si>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</si>
  <si>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</si>
  <si>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</si>
  <si>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</si>
  <si>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</si>
  <si>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</si>
  <si>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</si>
  <si>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</si>
  <si>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</si>
  <si>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</si>
  <si>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</si>
  <si>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</si>
  <si>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</si>
  <si>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</si>
  <si>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</si>
  <si>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</si>
  <si>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</si>
  <si>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</si>
  <si>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</si>
  <si>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</si>
  <si>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</si>
  <si>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</si>
  <si>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</si>
  <si>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</si>
  <si>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</si>
  <si>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</si>
  <si>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</si>
  <si>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</si>
  <si>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</si>
  <si>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</si>
  <si>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</si>
  <si>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</si>
  <si>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</si>
  <si>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</si>
  <si>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</si>
  <si>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</si>
  <si>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</si>
  <si>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</si>
  <si>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</si>
  <si>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</si>
  <si>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</si>
  <si>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</si>
  <si>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</si>
  <si>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</si>
  <si>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</si>
  <si>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</si>
  <si>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</si>
  <si>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</si>
  <si>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</si>
  <si>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</si>
  <si>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</si>
  <si>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</si>
  <si>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</si>
  <si>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</si>
  <si>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</si>
  <si>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</si>
  <si>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</si>
  <si>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</si>
  <si>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</si>
  <si>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</si>
  <si>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</si>
  <si>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</si>
  <si>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</si>
  <si>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</si>
  <si>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</si>
  <si>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</si>
  <si>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</si>
  <si>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</si>
  <si>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</si>
  <si>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</si>
  <si>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</si>
  <si>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</si>
  <si>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</si>
  <si>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</si>
  <si>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</si>
  <si>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</si>
  <si>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</si>
  <si>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</si>
  <si>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</si>
  <si>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</si>
  <si>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</si>
  <si>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</si>
  <si>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</si>
  <si>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</si>
  <si>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</si>
  <si>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</si>
  <si>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</si>
  <si>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</si>
  <si>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</si>
  <si>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</si>
  <si>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</si>
  <si>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</si>
  <si>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</si>
  <si>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</si>
  <si>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</si>
  <si>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</si>
  <si>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</si>
  <si>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</si>
  <si>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</si>
  <si>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</si>
  <si>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</si>
  <si>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</si>
  <si>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</si>
  <si>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</si>
  <si>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</si>
  <si>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</si>
  <si>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</si>
  <si>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</si>
  <si>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</si>
  <si>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</si>
  <si>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</si>
  <si>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</si>
  <si>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</si>
  <si>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</si>
  <si>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</si>
  <si>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</si>
  <si>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</si>
  <si>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</si>
  <si>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</si>
  <si>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</si>
  <si>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</si>
  <si>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</si>
  <si>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</si>
  <si>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</si>
  <si>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</si>
  <si>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</si>
  <si>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</si>
  <si>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</si>
  <si>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</si>
  <si>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</si>
  <si>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</si>
  <si>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</si>
  <si>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</si>
  <si>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</si>
  <si>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</si>
  <si>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</si>
  <si>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</si>
  <si>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</si>
  <si>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</si>
  <si>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</si>
  <si>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</si>
  <si>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</si>
  <si>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</si>
  <si>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</si>
  <si>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</si>
  <si>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</si>
  <si>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</si>
  <si>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</si>
  <si>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</si>
  <si>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</si>
  <si>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</si>
  <si>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</si>
  <si>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</si>
  <si>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</si>
  <si>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</si>
  <si>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</si>
  <si>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</si>
  <si>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</si>
  <si>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</si>
  <si>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</si>
  <si>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</si>
  <si>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</si>
  <si>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</si>
  <si>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</si>
  <si>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</si>
  <si>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</si>
  <si>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</si>
  <si>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</si>
  <si>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</si>
  <si>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</si>
  <si>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</si>
  <si>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</si>
  <si>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</si>
  <si>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</si>
  <si>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</si>
  <si>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</si>
  <si>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</si>
  <si>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</si>
  <si>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</si>
  <si>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</si>
  <si>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</si>
  <si>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</si>
  <si>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</si>
  <si>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</si>
  <si>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</si>
  <si>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</si>
  <si>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</si>
  <si>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</si>
  <si>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</si>
  <si>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</si>
  <si>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</si>
  <si>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</si>
  <si>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</si>
  <si>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</si>
  <si>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</si>
  <si>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</si>
  <si>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</si>
  <si>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</si>
  <si>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</si>
  <si>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</si>
  <si>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</si>
  <si>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</si>
  <si>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</si>
  <si>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</si>
  <si>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</si>
  <si>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</si>
  <si>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</si>
  <si>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</si>
  <si>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</si>
  <si>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</si>
  <si>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</si>
  <si>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</si>
  <si>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</si>
  <si>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</si>
  <si>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</si>
  <si>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</si>
  <si>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</si>
  <si>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</si>
  <si>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</si>
  <si>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</si>
  <si>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</si>
  <si>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</si>
  <si>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</si>
  <si>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</si>
  <si>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</si>
  <si>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</si>
  <si>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</si>
  <si>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</si>
  <si>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</si>
  <si>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</si>
  <si>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</si>
  <si>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</si>
  <si>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</si>
  <si>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</si>
  <si>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</si>
  <si>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</si>
  <si>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</si>
  <si>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</si>
  <si>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</si>
  <si>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</si>
  <si>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</si>
  <si>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</si>
  <si>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</si>
  <si>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</si>
  <si>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</si>
  <si>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</si>
  <si>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</si>
  <si>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</si>
  <si>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</si>
  <si>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</si>
  <si>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</si>
  <si>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</si>
  <si>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</si>
  <si>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</si>
  <si>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</si>
  <si>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</si>
  <si>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</si>
  <si>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</si>
  <si>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</si>
  <si>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</si>
  <si>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</si>
  <si>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</si>
  <si>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</si>
  <si>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</si>
  <si>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</si>
  <si>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</si>
  <si>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</si>
  <si>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</si>
  <si>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</si>
  <si>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</si>
  <si>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</si>
  <si>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</si>
  <si>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</si>
  <si>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</si>
  <si>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</si>
  <si>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</si>
  <si>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</si>
  <si>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</si>
  <si>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</si>
  <si>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</si>
  <si>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</si>
  <si>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</si>
  <si>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</si>
  <si>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</si>
  <si>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</si>
  <si>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</si>
  <si>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</si>
  <si>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</si>
  <si>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</si>
  <si>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</si>
  <si>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</si>
  <si>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</si>
  <si>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</si>
  <si>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</si>
  <si>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</si>
  <si>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</si>
  <si>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</si>
  <si>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</si>
  <si>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</si>
  <si>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</si>
  <si>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</si>
  <si>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</si>
  <si>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</si>
  <si>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</si>
  <si>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</si>
  <si>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</si>
  <si>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</si>
  <si>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</si>
  <si>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</si>
  <si>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</si>
  <si>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</si>
  <si>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</si>
  <si>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</si>
  <si>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</si>
  <si>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</si>
  <si>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</si>
  <si>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</si>
  <si>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</si>
  <si>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</si>
  <si>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</si>
  <si>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</si>
  <si>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</si>
  <si>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</si>
  <si>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</si>
  <si>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</si>
  <si>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</si>
  <si>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</si>
  <si>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</si>
  <si>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</si>
  <si>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</si>
  <si>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</si>
  <si>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</si>
  <si>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</si>
  <si>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</si>
  <si>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</si>
  <si>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</si>
  <si>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</si>
  <si>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</si>
  <si>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</si>
  <si>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</si>
  <si>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</si>
  <si>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</si>
  <si>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</si>
  <si>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</si>
  <si>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</si>
  <si>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</si>
  <si>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</si>
  <si>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</si>
  <si>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</si>
  <si>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</si>
  <si>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</si>
  <si>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</si>
  <si>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</si>
  <si>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</si>
  <si>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</si>
  <si>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</si>
  <si>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</si>
  <si>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</si>
  <si>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</si>
  <si>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</si>
  <si>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</si>
  <si>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</si>
  <si>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</si>
  <si>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</si>
  <si>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</si>
  <si>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</si>
  <si>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</si>
  <si>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</si>
  <si>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</si>
  <si>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</si>
  <si>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</si>
  <si>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</si>
  <si>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</si>
  <si>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</si>
  <si>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</si>
  <si>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</si>
  <si>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</si>
  <si>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</si>
  <si>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</si>
  <si>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</si>
  <si>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</si>
  <si>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</si>
  <si>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</si>
  <si>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</si>
  <si>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</si>
  <si>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</si>
  <si>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</si>
  <si>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</si>
  <si>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</si>
  <si>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</si>
  <si>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</si>
  <si>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</si>
  <si>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</si>
  <si>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</si>
  <si>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</si>
  <si>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</si>
  <si>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</si>
  <si>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</si>
  <si>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</si>
  <si>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</si>
  <si>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</si>
  <si>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</si>
  <si>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</si>
  <si>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</si>
  <si>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</si>
  <si>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</si>
  <si>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</si>
  <si>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</si>
  <si>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</si>
  <si>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</si>
  <si>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</si>
  <si>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</si>
  <si>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</si>
  <si>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</si>
  <si>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</si>
  <si>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</si>
  <si>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</si>
  <si>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</si>
  <si>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</si>
  <si>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</si>
  <si>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</si>
  <si>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</si>
  <si>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</si>
  <si>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</si>
  <si>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</si>
  <si>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</si>
  <si>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</si>
  <si>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</si>
  <si>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</si>
  <si>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</si>
  <si>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</si>
  <si>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</si>
  <si>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</si>
  <si>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</si>
  <si>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</si>
  <si>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</si>
  <si>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</si>
  <si>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</si>
  <si>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</si>
  <si>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</si>
  <si>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</si>
  <si>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</si>
  <si>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</si>
  <si>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</si>
  <si>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</si>
  <si>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</si>
  <si>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</si>
  <si>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</si>
  <si>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</si>
  <si>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</si>
  <si>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</si>
  <si>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</si>
  <si>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</si>
  <si>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</si>
  <si>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</si>
  <si>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</si>
  <si>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</si>
  <si>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</si>
  <si>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</si>
  <si>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</si>
  <si>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</si>
  <si>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</si>
  <si>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</si>
  <si>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</si>
  <si>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</si>
  <si>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</si>
  <si>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</si>
  <si>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</si>
  <si>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</si>
  <si>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</si>
  <si>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</si>
  <si>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</si>
  <si>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</si>
  <si>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</si>
  <si>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</si>
  <si>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</si>
  <si>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valutazione</t>
  </si>
  <si>
    <t>sufficienza</t>
  </si>
  <si>
    <t xml:space="preserve">N.Vendite </t>
  </si>
  <si>
    <t>Tot.Fatturato</t>
  </si>
  <si>
    <t>Categorie uniche</t>
  </si>
  <si>
    <t>Fatture in ordine decrescente superiori ai 40000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</si>
</sst>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</numFmts>
  <fonts count="8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7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e" xfId="0" builtinId="0"/>
  </cellStyles>
  <dxfs count="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[$€-410]\ * #,##0.00_-;\-[$€-410]\ * #,##0.00_-;_-[$€-410]\ 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[$€-410]\ * #,##0.00_-;\-[$€-410]\ * #,##0.00_-;_-[$€-410]\ 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border outline="0">
        <bottom style="thick">
          <color rgb="FFA6BF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497D"/>
        <name val="Calibri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>IF(Table_1[[#This Row],[Column2]]&gt;=60,"sufficiente","insufficiente")</calculatedColumnFormula>
    </tableColumn>
    <tableColumn id="4" xr3:uid="{A6C1C6EE-F142-41D4-B455-75391C6ED649}" name="Colonna1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59A4C-6DCE-404C-A04F-EF08738DAA25}" name="Vend" displayName="Vend" ref="A1:E80" totalsRowShown="0" headerRowDxfId="8" dataDxfId="6" headerRowBorderDxfId="7">
  <autoFilter ref="A1:E80" xr:uid="{22959A4C-6DCE-404C-A04F-EF08738DAA25}"/>
  <tableColumns count="5">
    <tableColumn id="1" xr3:uid="{44F056FD-5448-422B-A8D8-10A5A5149495}" name="Data" dataDxfId="5"/>
    <tableColumn id="2" xr3:uid="{1F7406BD-7666-4A00-87BB-EBC70F0CA4B4}" name="Cliente" dataDxfId="4"/>
    <tableColumn id="3" xr3:uid="{5044C080-54BA-480D-8708-0C5EC62782CD}" name="Categoria" dataDxfId="3"/>
    <tableColumn id="4" xr3:uid="{F62A5755-5A89-49F3-A4F3-9C71CE30CE10}" name="Importo fattura" dataDxfId="2"/>
    <tableColumn id="5" xr3:uid="{869A4D71-33F8-48DE-AD04-85B2BA6492FC}" name="Spese di spedizion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"/>
  <cols>
    <col min="1" max="1" width="41.28515625" customWidth="1"/>
    <col min="2" max="2" width="54.42578125" customWidth="1"/>
    <col min="3" max="3" width="27.28515625" customWidth="1"/>
    <col min="4" max="4" width="11.7109375" customWidth="1"/>
    <col min="5" max="5" width="47.7109375" customWidth="1"/>
    <col min="6" max="6" width="5.5703125" customWidth="1"/>
    <col min="7" max="7" width="7.140625" customWidth="1"/>
    <col min="8" max="26" width="8.71093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2"/>
      <c r="E1" s="1"/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 t="s">
        <v>3</v>
      </c>
      <c r="B2" s="4" t="s">
        <v>4</v>
      </c>
      <c r="C2" s="5">
        <v>281000</v>
      </c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 t="s">
        <v>5</v>
      </c>
      <c r="B3" s="4" t="s">
        <v>6</v>
      </c>
      <c r="C3" s="5">
        <v>323000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 t="s">
        <v>7</v>
      </c>
      <c r="B4" s="4" t="s">
        <v>8</v>
      </c>
      <c r="C4" s="5">
        <v>344000</v>
      </c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 t="s">
        <v>9</v>
      </c>
      <c r="B5" s="4" t="s">
        <v>10</v>
      </c>
      <c r="C5" s="5">
        <v>361000</v>
      </c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E7" sqref="E7"/>
    </sheetView>
  </sheetViews>
  <sheetFormatPr defaultColWidth="14.42578125" defaultRowHeight="15" customHeight="1" x14ac:dyDescent="0.2"/>
  <cols>
    <col min="1" max="1" width="16.28515625" customWidth="1"/>
    <col min="2" max="2" width="18.5703125" customWidth="1"/>
    <col min="3" max="3" width="19.28515625" customWidth="1"/>
    <col min="4" max="4" width="13.5703125" bestFit="1" customWidth="1"/>
    <col min="5" max="5" width="9.28515625" customWidth="1"/>
    <col min="6" max="6" width="7.28515625" customWidth="1"/>
    <col min="7" max="7" width="14.28515625" customWidth="1"/>
    <col min="8" max="8" width="8" customWidth="1"/>
    <col min="9" max="26" width="9.28515625" customWidth="1"/>
  </cols>
  <sheetData>
    <row r="1" spans="1:26" ht="12.75" customHeight="1" x14ac:dyDescent="0.2">
      <c r="A1" s="6" t="s">
        <v>484</v>
      </c>
      <c r="B1" s="6" t="s">
        <v>485</v>
      </c>
      <c r="C1" s="6" t="s">
        <v>570</v>
      </c>
      <c r="D1" s="6" t="s">
        <v>569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7" t="s">
        <v>486</v>
      </c>
      <c r="B2" s="7">
        <v>40</v>
      </c>
      <c r="C2" s="7" t="str">
        <f>IF(Table_1[[#This Row],[Column2]]&gt;=60,"sufficiente","insufficiente")</f>
        <v>insufficiente</v>
      </c>
      <c r="D2" s="8" t="str" cm="1">
        <f t="array" ref="D2">_xlfn.IFS(Table_1[[#This Row],[Column2]]&gt;=70,"buono",Table_1[[#This Row],[Column2]]&gt;=60,"discreto",Table_1[[#This Row],[Column2]]&lt;60,"insufficiente")</f>
        <v>insufficiente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">
      <c r="A3" s="7" t="s">
        <v>487</v>
      </c>
      <c r="B3" s="7">
        <v>60</v>
      </c>
      <c r="C3" s="7" t="str">
        <f>IF(Table_1[[#This Row],[Column2]]&gt;=60,"sufficiente","insufficiente")</f>
        <v>sufficiente</v>
      </c>
      <c r="D3" s="8" t="str" cm="1">
        <f t="array" ref="D3">_xlfn.IFS(Table_1[[#This Row],[Column2]]&gt;=70,"buono",Table_1[[#This Row],[Column2]]&gt;=60,"discreto",Table_1[[#This Row],[Column2]]&lt;60,"insufficiente")</f>
        <v>discreto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">
      <c r="A4" s="7" t="s">
        <v>488</v>
      </c>
      <c r="B4" s="7">
        <v>60</v>
      </c>
      <c r="C4" s="7" t="str">
        <f>IF(Table_1[[#This Row],[Column2]]&gt;=60,"sufficiente","insufficiente")</f>
        <v>sufficiente</v>
      </c>
      <c r="D4" s="8" t="str" cm="1">
        <f t="array" ref="D4">_xlfn.IFS(Table_1[[#This Row],[Column2]]&gt;=70,"buono",Table_1[[#This Row],[Column2]]&gt;=60,"discreto",Table_1[[#This Row],[Column2]]&lt;60,"insufficiente")</f>
        <v>discreto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">
      <c r="A5" s="7" t="s">
        <v>489</v>
      </c>
      <c r="B5" s="7">
        <v>40</v>
      </c>
      <c r="C5" s="7" t="str">
        <f>IF(Table_1[[#This Row],[Column2]]&gt;=60,"sufficiente","insufficiente")</f>
        <v>insufficiente</v>
      </c>
      <c r="D5" s="8" t="str" cm="1">
        <f t="array" ref="D5">_xlfn.IFS(Table_1[[#This Row],[Column2]]&gt;=70,"buono",Table_1[[#This Row],[Column2]]&gt;=60,"discreto",Table_1[[#This Row],[Column2]]&lt;60,"insufficiente")</f>
        <v>insufficiente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7" t="s">
        <v>490</v>
      </c>
      <c r="B6" s="7">
        <v>70</v>
      </c>
      <c r="C6" s="7" t="str">
        <f>IF(Table_1[[#This Row],[Column2]]&gt;=60,"sufficiente","insufficiente")</f>
        <v>sufficiente</v>
      </c>
      <c r="D6" s="8" t="str" cm="1">
        <f t="array" ref="D6">_xlfn.IFS(Table_1[[#This Row],[Column2]]&gt;=70,"buono",Table_1[[#This Row],[Column2]]&gt;=60,"discreto",Table_1[[#This Row],[Column2]]&lt;60,"insufficiente")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7" t="s">
        <v>491</v>
      </c>
      <c r="B7" s="7">
        <v>0</v>
      </c>
      <c r="C7" s="7" t="str">
        <f>IF(Table_1[[#This Row],[Column2]]&gt;=60,"sufficiente","insufficiente")</f>
        <v>insufficiente</v>
      </c>
      <c r="D7" s="8" t="str" cm="1">
        <f t="array" ref="D7">_xlfn.IFS(Table_1[[#This Row],[Column2]]&gt;=70,"buono",Table_1[[#This Row],[Column2]]&gt;=60,"discreto",Table_1[[#This Row],[Column2]]&lt;60,"insufficiente")</f>
        <v>insufficiente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7" t="s">
        <v>492</v>
      </c>
      <c r="B8" s="7">
        <v>0</v>
      </c>
      <c r="C8" s="7" t="str">
        <f>IF(Table_1[[#This Row],[Column2]]&gt;=60,"sufficiente","insufficiente")</f>
        <v>insufficiente</v>
      </c>
      <c r="D8" s="8" t="str" cm="1">
        <f t="array" ref="D8">_xlfn.IFS(Table_1[[#This Row],[Column2]]&gt;=70,"buono",Table_1[[#This Row],[Column2]]&gt;=60,"discreto",Table_1[[#This Row],[Column2]]&lt;60,"insufficiente")</f>
        <v>insufficiente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tabSelected="1" topLeftCell="A18" workbookViewId="0">
      <selection activeCell="N27" sqref="N27"/>
    </sheetView>
  </sheetViews>
  <sheetFormatPr defaultColWidth="14.42578125" defaultRowHeight="15" customHeight="1" x14ac:dyDescent="0.2"/>
  <cols>
    <col min="1" max="1" width="9.85546875" customWidth="1"/>
    <col min="2" max="2" width="28.28515625" customWidth="1"/>
    <col min="3" max="3" width="21.28515625" customWidth="1"/>
    <col min="4" max="4" width="19.5703125" customWidth="1"/>
    <col min="5" max="5" width="23.7109375" customWidth="1"/>
    <col min="6" max="6" width="3.7109375" customWidth="1"/>
    <col min="7" max="7" width="2.42578125" customWidth="1"/>
    <col min="8" max="8" width="23.42578125" bestFit="1" customWidth="1"/>
    <col min="9" max="9" width="23.42578125" customWidth="1"/>
    <col min="10" max="10" width="12.42578125" bestFit="1" customWidth="1"/>
    <col min="11" max="11" width="12.7109375" bestFit="1" customWidth="1"/>
    <col min="12" max="25" width="8.7109375" customWidth="1"/>
  </cols>
  <sheetData>
    <row r="1" spans="1:25" ht="13.5" customHeight="1" x14ac:dyDescent="0.3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3.5" customHeight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H2" t="s">
        <v>573</v>
      </c>
      <c r="I2" t="s">
        <v>571</v>
      </c>
      <c r="J2" t="s">
        <v>499</v>
      </c>
      <c r="K2">
        <f>COUNTIF(Vend[Categoria],$J$2)</f>
        <v>11</v>
      </c>
    </row>
    <row r="3" spans="1:25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I3" t="s">
        <v>572</v>
      </c>
      <c r="J3" t="s">
        <v>510</v>
      </c>
      <c r="K3" s="15">
        <f>SUMIF(C:C,J3,D:D)</f>
        <v>185900</v>
      </c>
    </row>
    <row r="4" spans="1:25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H4" t="str" cm="1">
        <f t="array" ref="H4:H26">_xlfn.UNIQUE(Vend[Categoria])</f>
        <v>Abbigliamento</v>
      </c>
    </row>
    <row r="5" spans="1:25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H5" t="str">
        <v>Svago</v>
      </c>
    </row>
    <row r="6" spans="1:25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H6" t="str">
        <v>Attrezzatura</v>
      </c>
    </row>
    <row r="7" spans="1:25" ht="13.5" customHeight="1" x14ac:dyDescent="0.2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H7" t="str">
        <v>Personale</v>
      </c>
    </row>
    <row r="8" spans="1:25" ht="13.5" customHeight="1" x14ac:dyDescent="0.2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H8" t="str">
        <v>Assicurazione</v>
      </c>
    </row>
    <row r="9" spans="1:25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H9" t="str">
        <v>Ufficio</v>
      </c>
    </row>
    <row r="10" spans="1:25" ht="13.5" customHeight="1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H10" t="str">
        <v>Posta elettronica</v>
      </c>
    </row>
    <row r="11" spans="1:25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H11" t="str">
        <v>Manuali</v>
      </c>
    </row>
    <row r="12" spans="1:25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H12" t="str">
        <v>Mobili</v>
      </c>
    </row>
    <row r="13" spans="1:25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H13" t="str">
        <v>Educazione dei figli</v>
      </c>
    </row>
    <row r="14" spans="1:25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H14" t="str">
        <v>Viaggio d'affari</v>
      </c>
    </row>
    <row r="15" spans="1:25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H15" t="str">
        <v>Ristorante</v>
      </c>
    </row>
    <row r="16" spans="1:25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  <c r="H16" t="str">
        <v>Viaggio d'affari: trasporto</v>
      </c>
    </row>
    <row r="17" spans="1:12" ht="13.5" customHeight="1" x14ac:dyDescent="0.2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  <c r="H17" t="str">
        <v>Viaggio d'affari: pasti</v>
      </c>
    </row>
    <row r="18" spans="1:12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  <c r="H18" t="str">
        <v>Regali</v>
      </c>
    </row>
    <row r="19" spans="1:12" ht="13.5" customHeight="1" x14ac:dyDescent="0.2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  <c r="H19" t="str">
        <v>Operazioni bancarie</v>
      </c>
    </row>
    <row r="20" spans="1:12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  <c r="H20" t="str">
        <v>Salute</v>
      </c>
    </row>
    <row r="21" spans="1:12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  <c r="H21" t="str">
        <v>Giocattoli e libri</v>
      </c>
    </row>
    <row r="22" spans="1:12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  <c r="H22" t="str">
        <v>Hardware</v>
      </c>
    </row>
    <row r="23" spans="1:12" ht="13.5" customHeight="1" x14ac:dyDescent="0.2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  <c r="H23" t="str">
        <v>Abitazione</v>
      </c>
    </row>
    <row r="24" spans="1:12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  <c r="H24" t="str">
        <v>Software ufficio</v>
      </c>
    </row>
    <row r="25" spans="1:12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  <c r="H25" t="str">
        <v>Alimentari</v>
      </c>
    </row>
    <row r="26" spans="1:12" ht="13.5" customHeight="1" x14ac:dyDescent="0.2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  <c r="H26" t="str">
        <v>Benzina</v>
      </c>
    </row>
    <row r="27" spans="1:12" ht="13.5" customHeight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  <c r="H27" s="17" t="s">
        <v>574</v>
      </c>
      <c r="I27" s="17"/>
      <c r="J27" s="17"/>
      <c r="K27" s="17"/>
      <c r="L27" s="17"/>
    </row>
    <row r="28" spans="1:12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  <c r="H28" s="16" cm="1">
        <f t="array" ref="H28:L60">_xlfn.SORTBY(_xlfn._xlws.FILTER(Vend[],Vend[Importo fattura]&gt;40000),_xlfn._xlws.FILTER(Vend[Importo fattura],Vend[Importo fattura]&gt;40000),-1)</f>
        <v>36604</v>
      </c>
      <c r="I28" t="str">
        <v>Gateway 2000</v>
      </c>
      <c r="J28" t="str">
        <v>Hardware</v>
      </c>
      <c r="K28" s="15">
        <v>2425000</v>
      </c>
      <c r="L28">
        <v>11</v>
      </c>
    </row>
    <row r="29" spans="1:12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  <c r="H29" s="16">
        <v>36649</v>
      </c>
      <c r="I29" t="str">
        <v>Gateway 2000</v>
      </c>
      <c r="J29" t="str">
        <v>Hardware</v>
      </c>
      <c r="K29" s="15">
        <v>2425000</v>
      </c>
      <c r="L29">
        <v>21</v>
      </c>
    </row>
    <row r="30" spans="1:12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  <c r="H30" s="16">
        <v>36651</v>
      </c>
      <c r="I30" t="str">
        <v>Gateway 2000</v>
      </c>
      <c r="J30" t="str">
        <v>Hardware</v>
      </c>
      <c r="K30" s="15">
        <v>1860000</v>
      </c>
      <c r="L30">
        <v>19</v>
      </c>
    </row>
    <row r="31" spans="1:12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  <c r="H31" s="16">
        <v>36573</v>
      </c>
      <c r="I31" t="str">
        <v>American Airlines</v>
      </c>
      <c r="J31" t="str">
        <v>Viaggio d'affari</v>
      </c>
      <c r="K31" s="15">
        <v>1368000</v>
      </c>
      <c r="L31">
        <v>28</v>
      </c>
    </row>
    <row r="32" spans="1:12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  <c r="H32" s="16">
        <v>36555</v>
      </c>
      <c r="I32" t="str">
        <v>Fletcher's for Children</v>
      </c>
      <c r="J32" t="str">
        <v>Mobili</v>
      </c>
      <c r="K32" s="15">
        <v>348980</v>
      </c>
      <c r="L32">
        <v>15</v>
      </c>
    </row>
    <row r="33" spans="1:12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  <c r="H33" s="16">
        <v>36554</v>
      </c>
      <c r="I33" t="str">
        <v>Agora Publishing</v>
      </c>
      <c r="J33" t="str">
        <v>Manuali</v>
      </c>
      <c r="K33" s="15">
        <v>295000</v>
      </c>
      <c r="L33">
        <v>27</v>
      </c>
    </row>
    <row r="34" spans="1:12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  <c r="H34" s="16">
        <v>36573</v>
      </c>
      <c r="I34" t="str">
        <v>Alaska Airlines</v>
      </c>
      <c r="J34" t="str">
        <v>Viaggio d'affari</v>
      </c>
      <c r="K34" s="15">
        <v>201000</v>
      </c>
      <c r="L34">
        <v>14</v>
      </c>
    </row>
    <row r="35" spans="1:12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  <c r="H35" s="16">
        <v>36596</v>
      </c>
      <c r="I35" t="str">
        <v>DAK Industries</v>
      </c>
      <c r="J35" t="str">
        <v>Mobili</v>
      </c>
      <c r="K35" s="15">
        <v>183900</v>
      </c>
      <c r="L35">
        <v>26</v>
      </c>
    </row>
    <row r="36" spans="1:12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  <c r="H36" s="16">
        <v>36637</v>
      </c>
      <c r="I36" t="str">
        <v>DAK Industries</v>
      </c>
      <c r="J36" t="str">
        <v>Mobili</v>
      </c>
      <c r="K36" s="15">
        <v>183900</v>
      </c>
      <c r="L36">
        <v>18</v>
      </c>
    </row>
    <row r="37" spans="1:12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  <c r="H37" s="16">
        <v>36596</v>
      </c>
      <c r="I37" t="str">
        <v>After the Stork</v>
      </c>
      <c r="J37" t="str">
        <v>Abbigliamento</v>
      </c>
      <c r="K37" s="15">
        <v>163500</v>
      </c>
      <c r="L37">
        <v>18</v>
      </c>
    </row>
    <row r="38" spans="1:12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  <c r="H38" s="16">
        <v>36580</v>
      </c>
      <c r="I38" t="str">
        <v>Biobottoms</v>
      </c>
      <c r="J38" t="str">
        <v>Abbigliamento</v>
      </c>
      <c r="K38" s="15">
        <v>151500</v>
      </c>
      <c r="L38">
        <v>13</v>
      </c>
    </row>
    <row r="39" spans="1:12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  <c r="H39" s="16">
        <v>36596</v>
      </c>
      <c r="I39" t="str">
        <v>Avis</v>
      </c>
      <c r="J39" t="str">
        <v>Viaggio d'affari: trasporto</v>
      </c>
      <c r="K39" s="15">
        <v>127950</v>
      </c>
      <c r="L39">
        <v>20</v>
      </c>
    </row>
    <row r="40" spans="1:12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  <c r="H40" s="16">
        <v>36558</v>
      </c>
      <c r="I40" t="str">
        <v>Furrow Building Materials</v>
      </c>
      <c r="J40" t="str">
        <v>Educazione dei figli</v>
      </c>
      <c r="K40" s="15">
        <v>127490</v>
      </c>
      <c r="L40">
        <v>17</v>
      </c>
    </row>
    <row r="41" spans="1:12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  <c r="H41" s="16">
        <v>36598</v>
      </c>
      <c r="I41" t="str">
        <v>Furrow Building Materials</v>
      </c>
      <c r="J41" t="str">
        <v>Educazione dei figli</v>
      </c>
      <c r="K41" s="15">
        <v>127490</v>
      </c>
      <c r="L41">
        <v>21</v>
      </c>
    </row>
    <row r="42" spans="1:12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  <c r="H42" s="16">
        <v>36548</v>
      </c>
      <c r="I42" t="str">
        <v>Canon USA</v>
      </c>
      <c r="J42" t="str">
        <v>Ufficio</v>
      </c>
      <c r="K42" s="15">
        <v>98450</v>
      </c>
      <c r="L42">
        <v>21</v>
      </c>
    </row>
    <row r="43" spans="1:12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  <c r="H43" s="16">
        <v>36553</v>
      </c>
      <c r="I43" t="str">
        <v>Deluxe Business Forms</v>
      </c>
      <c r="J43" t="str">
        <v>Ufficio</v>
      </c>
      <c r="K43" s="15">
        <v>87450</v>
      </c>
      <c r="L43">
        <v>24</v>
      </c>
    </row>
    <row r="44" spans="1:12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  <c r="H44" s="16">
        <v>36603</v>
      </c>
      <c r="I44" t="str">
        <v>Chinaberry Book</v>
      </c>
      <c r="J44" t="str">
        <v>Svago</v>
      </c>
      <c r="K44" s="15">
        <v>87300</v>
      </c>
      <c r="L44">
        <v>18</v>
      </c>
    </row>
    <row r="45" spans="1:12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  <c r="H45" s="16">
        <v>36629</v>
      </c>
      <c r="I45" t="str">
        <v>DeLorme Publishing</v>
      </c>
      <c r="J45" t="str">
        <v>Software ufficio</v>
      </c>
      <c r="K45" s="15">
        <v>84500</v>
      </c>
      <c r="L45">
        <v>21</v>
      </c>
    </row>
    <row r="46" spans="1:12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  <c r="H46" s="16">
        <v>36637</v>
      </c>
      <c r="I46" t="str">
        <v>Biobottoms</v>
      </c>
      <c r="J46" t="str">
        <v>Abbigliamento</v>
      </c>
      <c r="K46" s="15">
        <v>81500</v>
      </c>
      <c r="L46">
        <v>25</v>
      </c>
    </row>
    <row r="47" spans="1:12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  <c r="H47" s="16">
        <v>36609</v>
      </c>
      <c r="I47" t="str">
        <v>Avis</v>
      </c>
      <c r="J47" t="str">
        <v>Viaggio d'affari: trasporto</v>
      </c>
      <c r="K47" s="15">
        <v>78530</v>
      </c>
      <c r="L47">
        <v>25</v>
      </c>
    </row>
    <row r="48" spans="1:12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  <c r="H48" s="16">
        <v>36595</v>
      </c>
      <c r="I48" t="str">
        <v>Epcot Center</v>
      </c>
      <c r="J48" t="str">
        <v>Svago</v>
      </c>
      <c r="K48" s="15">
        <v>71800</v>
      </c>
      <c r="L48">
        <v>18</v>
      </c>
    </row>
    <row r="49" spans="1:12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  <c r="H49" s="16">
        <v>36624</v>
      </c>
      <c r="I49" t="str">
        <v>Elco Computers</v>
      </c>
      <c r="J49" t="str">
        <v>Hardware</v>
      </c>
      <c r="K49" s="15">
        <v>55600</v>
      </c>
      <c r="L49">
        <v>11</v>
      </c>
    </row>
    <row r="50" spans="1:12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  <c r="H50" s="16">
        <v>36632</v>
      </c>
      <c r="I50" t="str">
        <v>After the Stork</v>
      </c>
      <c r="J50" t="str">
        <v>Abbigliamento</v>
      </c>
      <c r="K50" s="15">
        <v>51800</v>
      </c>
      <c r="L50">
        <v>21</v>
      </c>
    </row>
    <row r="51" spans="1:12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  <c r="H51" s="16">
        <v>36547</v>
      </c>
      <c r="I51" t="str">
        <v>Allstate</v>
      </c>
      <c r="J51" t="str">
        <v>Assicurazione</v>
      </c>
      <c r="K51" s="15">
        <v>50800</v>
      </c>
      <c r="L51">
        <v>22</v>
      </c>
    </row>
    <row r="52" spans="1:12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  <c r="H52" s="16">
        <v>36700</v>
      </c>
      <c r="I52" t="str">
        <v>H &amp; B Recordings</v>
      </c>
      <c r="J52" t="str">
        <v>Svago</v>
      </c>
      <c r="K52" s="15">
        <v>50280</v>
      </c>
      <c r="L52">
        <v>20</v>
      </c>
    </row>
    <row r="53" spans="1:12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  <c r="H53" s="16">
        <v>36529</v>
      </c>
      <c r="I53" t="str">
        <v>Ferguson and Bardell</v>
      </c>
      <c r="J53" t="str">
        <v>Abbigliamento</v>
      </c>
      <c r="K53" s="15">
        <v>50000</v>
      </c>
      <c r="L53">
        <v>16</v>
      </c>
    </row>
    <row r="54" spans="1:12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  <c r="H54" s="16">
        <v>36598</v>
      </c>
      <c r="I54" t="str">
        <v>Ferguson and Bardell</v>
      </c>
      <c r="J54" t="str">
        <v>Salute</v>
      </c>
      <c r="K54" s="15">
        <v>50000</v>
      </c>
      <c r="L54">
        <v>15</v>
      </c>
    </row>
    <row r="55" spans="1:12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  <c r="H55" s="16">
        <v>36558</v>
      </c>
      <c r="I55" t="str">
        <v>Chinaberry Book</v>
      </c>
      <c r="J55" t="str">
        <v>Svago</v>
      </c>
      <c r="K55" s="15">
        <v>49400</v>
      </c>
      <c r="L55">
        <v>13</v>
      </c>
    </row>
    <row r="56" spans="1:12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  <c r="H56" s="16">
        <v>36551</v>
      </c>
      <c r="I56" t="str">
        <v>H&amp;B</v>
      </c>
      <c r="J56" t="str">
        <v>Svago</v>
      </c>
      <c r="K56" s="15">
        <v>45890</v>
      </c>
      <c r="L56">
        <v>18</v>
      </c>
    </row>
    <row r="57" spans="1:12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  <c r="H57" s="16">
        <v>36622</v>
      </c>
      <c r="I57" t="str">
        <v>Gardeners Eden</v>
      </c>
      <c r="J57" t="str">
        <v>Abitazione</v>
      </c>
      <c r="K57" s="15">
        <v>44950</v>
      </c>
      <c r="L57">
        <v>20</v>
      </c>
    </row>
    <row r="58" spans="1:12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  <c r="H58" s="16">
        <v>36543</v>
      </c>
      <c r="I58" t="str">
        <v>Fletcher's for Children</v>
      </c>
      <c r="J58" t="str">
        <v>Attrezzatura</v>
      </c>
      <c r="K58" s="15">
        <v>43500</v>
      </c>
      <c r="L58">
        <v>29</v>
      </c>
    </row>
    <row r="59" spans="1:12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  <c r="H59" s="16">
        <v>36596</v>
      </c>
      <c r="I59" t="str">
        <v>Chambers</v>
      </c>
      <c r="J59" t="str">
        <v>Regali</v>
      </c>
      <c r="K59" s="15">
        <v>43500</v>
      </c>
      <c r="L59">
        <v>16</v>
      </c>
    </row>
    <row r="60" spans="1:12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  <c r="H60" s="16">
        <v>36697</v>
      </c>
      <c r="I60" t="str">
        <v>Bridgewater Restaurant, Florence</v>
      </c>
      <c r="J60" t="str">
        <v>Ristorante</v>
      </c>
      <c r="K60" s="15">
        <v>40650</v>
      </c>
      <c r="L60">
        <v>17</v>
      </c>
    </row>
    <row r="61" spans="1:12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  <c r="H61" s="16"/>
      <c r="K61" s="15"/>
    </row>
    <row r="62" spans="1:12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  <c r="H62" s="16"/>
    </row>
    <row r="63" spans="1:12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  <c r="H63" s="16"/>
    </row>
    <row r="64" spans="1:12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  <c r="H64" s="16"/>
    </row>
    <row r="65" spans="1:8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  <c r="H65" s="16"/>
    </row>
    <row r="66" spans="1:8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  <c r="H66" s="16"/>
    </row>
    <row r="67" spans="1:8" ht="13.5" customHeight="1" x14ac:dyDescent="0.2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  <c r="H67" s="16"/>
    </row>
    <row r="68" spans="1:8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  <c r="H68" s="16"/>
    </row>
    <row r="69" spans="1:8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  <c r="H69" s="16"/>
    </row>
    <row r="70" spans="1:8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  <c r="H70" s="16"/>
    </row>
    <row r="71" spans="1:8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  <c r="H71" s="16"/>
    </row>
    <row r="72" spans="1:8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  <c r="H72" s="16"/>
    </row>
    <row r="73" spans="1:8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  <c r="H73" s="16"/>
    </row>
    <row r="74" spans="1:8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  <c r="H74" s="16"/>
    </row>
    <row r="75" spans="1:8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  <c r="H75" s="16"/>
    </row>
    <row r="76" spans="1:8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  <c r="H76" s="16"/>
    </row>
    <row r="77" spans="1:8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  <c r="H77" s="16"/>
    </row>
    <row r="78" spans="1:8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  <c r="H78" s="16"/>
    </row>
    <row r="79" spans="1:8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  <c r="H79" s="16"/>
    </row>
    <row r="80" spans="1:8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  <c r="H80" s="16"/>
    </row>
    <row r="81" spans="4:8" ht="13.5" customHeight="1" x14ac:dyDescent="0.2">
      <c r="D81" s="14"/>
      <c r="E81" s="14"/>
      <c r="H81" s="16"/>
    </row>
    <row r="82" spans="4:8" ht="13.5" customHeight="1" x14ac:dyDescent="0.2">
      <c r="D82" s="14"/>
      <c r="E82" s="14"/>
      <c r="H82" s="16"/>
    </row>
    <row r="83" spans="4:8" ht="13.5" customHeight="1" x14ac:dyDescent="0.2">
      <c r="D83" s="14"/>
      <c r="E83" s="14"/>
      <c r="H83" s="16"/>
    </row>
    <row r="84" spans="4:8" ht="13.5" customHeight="1" x14ac:dyDescent="0.2">
      <c r="D84" s="14"/>
      <c r="E84" s="14"/>
      <c r="H84" s="16"/>
    </row>
    <row r="85" spans="4:8" ht="13.5" customHeight="1" x14ac:dyDescent="0.2">
      <c r="D85" s="14"/>
      <c r="E85" s="14"/>
      <c r="H85" s="16"/>
    </row>
    <row r="86" spans="4:8" ht="13.5" customHeight="1" x14ac:dyDescent="0.2">
      <c r="D86" s="14"/>
      <c r="E86" s="14"/>
      <c r="H86" s="16"/>
    </row>
    <row r="87" spans="4:8" ht="13.5" customHeight="1" x14ac:dyDescent="0.2">
      <c r="D87" s="14"/>
      <c r="E87" s="14"/>
      <c r="H87" s="16"/>
    </row>
    <row r="88" spans="4:8" ht="13.5" customHeight="1" x14ac:dyDescent="0.2">
      <c r="D88" s="14"/>
      <c r="E88" s="14"/>
      <c r="H88" s="16"/>
    </row>
    <row r="89" spans="4:8" ht="13.5" customHeight="1" x14ac:dyDescent="0.2">
      <c r="D89" s="14"/>
      <c r="E89" s="14"/>
      <c r="H89" s="16"/>
    </row>
    <row r="90" spans="4:8" ht="13.5" customHeight="1" x14ac:dyDescent="0.2">
      <c r="D90" s="14"/>
      <c r="E90" s="14"/>
      <c r="H90" s="16"/>
    </row>
    <row r="91" spans="4:8" ht="13.5" customHeight="1" x14ac:dyDescent="0.2">
      <c r="D91" s="14"/>
      <c r="E91" s="14"/>
      <c r="H91" s="16"/>
    </row>
    <row r="92" spans="4:8" ht="13.5" customHeight="1" x14ac:dyDescent="0.2">
      <c r="D92" s="14"/>
      <c r="E92" s="14"/>
      <c r="H92" s="16"/>
    </row>
    <row r="93" spans="4:8" ht="13.5" customHeight="1" x14ac:dyDescent="0.2">
      <c r="D93" s="14"/>
      <c r="E93" s="14"/>
      <c r="H93" s="16"/>
    </row>
    <row r="94" spans="4:8" ht="13.5" customHeight="1" x14ac:dyDescent="0.2">
      <c r="D94" s="14"/>
      <c r="E94" s="14"/>
      <c r="H94" s="16"/>
    </row>
    <row r="95" spans="4:8" ht="13.5" customHeight="1" x14ac:dyDescent="0.2">
      <c r="D95" s="14"/>
      <c r="E95" s="14"/>
      <c r="H95" s="16"/>
    </row>
    <row r="96" spans="4:8" ht="13.5" customHeight="1" x14ac:dyDescent="0.2">
      <c r="D96" s="14"/>
      <c r="E96" s="14"/>
      <c r="H96" s="16"/>
    </row>
    <row r="97" spans="4:8" ht="13.5" customHeight="1" x14ac:dyDescent="0.2">
      <c r="D97" s="14"/>
      <c r="E97" s="14"/>
      <c r="H97" s="16"/>
    </row>
    <row r="98" spans="4:8" ht="13.5" customHeight="1" x14ac:dyDescent="0.2">
      <c r="D98" s="14"/>
      <c r="E98" s="14"/>
      <c r="H98" s="16"/>
    </row>
    <row r="99" spans="4:8" ht="13.5" customHeight="1" x14ac:dyDescent="0.2">
      <c r="D99" s="14"/>
      <c r="E99" s="14"/>
      <c r="H99" s="16"/>
    </row>
    <row r="100" spans="4:8" ht="13.5" customHeight="1" x14ac:dyDescent="0.2">
      <c r="D100" s="14"/>
      <c r="E100" s="14"/>
      <c r="H100" s="16"/>
    </row>
    <row r="101" spans="4:8" ht="13.5" customHeight="1" x14ac:dyDescent="0.2">
      <c r="D101" s="14"/>
      <c r="E101" s="14"/>
      <c r="H101" s="16"/>
    </row>
    <row r="102" spans="4:8" ht="13.5" customHeight="1" x14ac:dyDescent="0.2">
      <c r="D102" s="14"/>
      <c r="E102" s="14"/>
      <c r="H102" s="16"/>
    </row>
    <row r="103" spans="4:8" ht="13.5" customHeight="1" x14ac:dyDescent="0.2">
      <c r="D103" s="14"/>
      <c r="E103" s="14"/>
      <c r="H103" s="16"/>
    </row>
    <row r="104" spans="4:8" ht="13.5" customHeight="1" x14ac:dyDescent="0.2">
      <c r="D104" s="14"/>
      <c r="E104" s="14"/>
      <c r="H104" s="16"/>
    </row>
    <row r="105" spans="4:8" ht="13.5" customHeight="1" x14ac:dyDescent="0.2">
      <c r="D105" s="14"/>
      <c r="E105" s="14"/>
      <c r="H105" s="16"/>
    </row>
    <row r="106" spans="4:8" ht="13.5" customHeight="1" x14ac:dyDescent="0.2">
      <c r="D106" s="14"/>
      <c r="E106" s="14"/>
      <c r="H106" s="16"/>
    </row>
    <row r="107" spans="4:8" ht="13.5" customHeight="1" x14ac:dyDescent="0.2">
      <c r="D107" s="14"/>
      <c r="E107" s="14"/>
      <c r="H107" s="16"/>
    </row>
    <row r="108" spans="4:8" ht="13.5" customHeight="1" x14ac:dyDescent="0.2">
      <c r="D108" s="14"/>
      <c r="E108" s="14"/>
      <c r="H108" s="16"/>
    </row>
    <row r="109" spans="4:8" ht="13.5" customHeight="1" x14ac:dyDescent="0.2">
      <c r="D109" s="14"/>
      <c r="E109" s="14"/>
      <c r="H109" s="16"/>
    </row>
    <row r="110" spans="4:8" ht="13.5" customHeight="1" x14ac:dyDescent="0.2">
      <c r="D110" s="14"/>
      <c r="E110" s="14"/>
      <c r="H110" s="16"/>
    </row>
    <row r="111" spans="4:8" ht="13.5" customHeight="1" x14ac:dyDescent="0.2">
      <c r="D111" s="14"/>
      <c r="E111" s="14"/>
      <c r="H111" s="16"/>
    </row>
    <row r="112" spans="4:8" ht="13.5" customHeight="1" x14ac:dyDescent="0.2">
      <c r="D112" s="14"/>
      <c r="E112" s="14"/>
      <c r="H112" s="16"/>
    </row>
    <row r="113" spans="4:8" ht="13.5" customHeight="1" x14ac:dyDescent="0.2">
      <c r="D113" s="14"/>
      <c r="E113" s="14"/>
      <c r="H113" s="16"/>
    </row>
    <row r="114" spans="4:8" ht="13.5" customHeight="1" x14ac:dyDescent="0.2">
      <c r="D114" s="14"/>
      <c r="E114" s="14"/>
      <c r="H114" s="16"/>
    </row>
    <row r="115" spans="4:8" ht="13.5" customHeight="1" x14ac:dyDescent="0.2">
      <c r="D115" s="14"/>
      <c r="E115" s="14"/>
      <c r="H115" s="16"/>
    </row>
    <row r="116" spans="4:8" ht="13.5" customHeight="1" x14ac:dyDescent="0.2">
      <c r="D116" s="14"/>
      <c r="E116" s="14"/>
      <c r="H116" s="16"/>
    </row>
    <row r="117" spans="4:8" ht="13.5" customHeight="1" x14ac:dyDescent="0.2">
      <c r="D117" s="14"/>
      <c r="E117" s="14"/>
      <c r="H117" s="16"/>
    </row>
    <row r="118" spans="4:8" ht="13.5" customHeight="1" x14ac:dyDescent="0.2">
      <c r="D118" s="14"/>
      <c r="E118" s="14"/>
      <c r="H118" s="16"/>
    </row>
    <row r="119" spans="4:8" ht="13.5" customHeight="1" x14ac:dyDescent="0.2">
      <c r="D119" s="14"/>
      <c r="E119" s="14"/>
      <c r="H119" s="16"/>
    </row>
    <row r="120" spans="4:8" ht="13.5" customHeight="1" x14ac:dyDescent="0.2">
      <c r="D120" s="14"/>
      <c r="E120" s="14"/>
      <c r="H120" s="16"/>
    </row>
    <row r="121" spans="4:8" ht="13.5" customHeight="1" x14ac:dyDescent="0.2">
      <c r="D121" s="14"/>
      <c r="E121" s="14"/>
      <c r="H121" s="16"/>
    </row>
    <row r="122" spans="4:8" ht="13.5" customHeight="1" x14ac:dyDescent="0.2">
      <c r="D122" s="14"/>
      <c r="E122" s="14"/>
      <c r="H122" s="16"/>
    </row>
    <row r="123" spans="4:8" ht="13.5" customHeight="1" x14ac:dyDescent="0.2">
      <c r="D123" s="14"/>
      <c r="E123" s="14"/>
      <c r="H123" s="16"/>
    </row>
    <row r="124" spans="4:8" ht="13.5" customHeight="1" x14ac:dyDescent="0.2">
      <c r="D124" s="14"/>
      <c r="E124" s="14"/>
      <c r="H124" s="16"/>
    </row>
    <row r="125" spans="4:8" ht="13.5" customHeight="1" x14ac:dyDescent="0.2">
      <c r="D125" s="14"/>
      <c r="E125" s="14"/>
      <c r="H125" s="16"/>
    </row>
    <row r="126" spans="4:8" ht="13.5" customHeight="1" x14ac:dyDescent="0.2">
      <c r="D126" s="14"/>
      <c r="E126" s="14"/>
      <c r="H126" s="16"/>
    </row>
    <row r="127" spans="4:8" ht="13.5" customHeight="1" x14ac:dyDescent="0.2">
      <c r="D127" s="14"/>
      <c r="E127" s="14"/>
      <c r="H127" s="16"/>
    </row>
    <row r="128" spans="4:8" ht="13.5" customHeight="1" x14ac:dyDescent="0.2">
      <c r="D128" s="14"/>
      <c r="E128" s="14"/>
      <c r="H128" s="16"/>
    </row>
    <row r="129" spans="4:8" ht="13.5" customHeight="1" x14ac:dyDescent="0.2">
      <c r="D129" s="14"/>
      <c r="E129" s="14"/>
      <c r="H129" s="16"/>
    </row>
    <row r="130" spans="4:8" ht="13.5" customHeight="1" x14ac:dyDescent="0.2">
      <c r="D130" s="14"/>
      <c r="E130" s="14"/>
      <c r="H130" s="16"/>
    </row>
    <row r="131" spans="4:8" ht="13.5" customHeight="1" x14ac:dyDescent="0.2">
      <c r="D131" s="14"/>
      <c r="E131" s="14"/>
      <c r="H131" s="16"/>
    </row>
    <row r="132" spans="4:8" ht="13.5" customHeight="1" x14ac:dyDescent="0.2">
      <c r="D132" s="14"/>
      <c r="E132" s="14"/>
      <c r="H132" s="16"/>
    </row>
    <row r="133" spans="4:8" ht="13.5" customHeight="1" x14ac:dyDescent="0.2">
      <c r="D133" s="14"/>
      <c r="E133" s="14"/>
      <c r="H133" s="16"/>
    </row>
    <row r="134" spans="4:8" ht="13.5" customHeight="1" x14ac:dyDescent="0.2">
      <c r="D134" s="14"/>
      <c r="E134" s="14"/>
      <c r="H134" s="16"/>
    </row>
    <row r="135" spans="4:8" ht="13.5" customHeight="1" x14ac:dyDescent="0.2">
      <c r="D135" s="14"/>
      <c r="E135" s="14"/>
      <c r="H135" s="16"/>
    </row>
    <row r="136" spans="4:8" ht="13.5" customHeight="1" x14ac:dyDescent="0.2">
      <c r="D136" s="14"/>
      <c r="E136" s="14"/>
      <c r="H136" s="16"/>
    </row>
    <row r="137" spans="4:8" ht="13.5" customHeight="1" x14ac:dyDescent="0.2">
      <c r="D137" s="14"/>
      <c r="E137" s="14"/>
      <c r="H137" s="16"/>
    </row>
    <row r="138" spans="4:8" ht="13.5" customHeight="1" x14ac:dyDescent="0.2">
      <c r="D138" s="14"/>
      <c r="E138" s="14"/>
      <c r="H138" s="16"/>
    </row>
    <row r="139" spans="4:8" ht="13.5" customHeight="1" x14ac:dyDescent="0.2">
      <c r="D139" s="14"/>
      <c r="E139" s="14"/>
      <c r="H139" s="16"/>
    </row>
    <row r="140" spans="4:8" ht="13.5" customHeight="1" x14ac:dyDescent="0.2">
      <c r="D140" s="14"/>
      <c r="E140" s="14"/>
      <c r="H140" s="16"/>
    </row>
    <row r="141" spans="4:8" ht="13.5" customHeight="1" x14ac:dyDescent="0.2">
      <c r="D141" s="14"/>
      <c r="E141" s="14"/>
      <c r="H141" s="16"/>
    </row>
    <row r="142" spans="4:8" ht="13.5" customHeight="1" x14ac:dyDescent="0.2">
      <c r="D142" s="14"/>
      <c r="E142" s="14"/>
      <c r="H142" s="16"/>
    </row>
    <row r="143" spans="4:8" ht="13.5" customHeight="1" x14ac:dyDescent="0.2">
      <c r="D143" s="14"/>
      <c r="E143" s="14"/>
      <c r="H143" s="16"/>
    </row>
    <row r="144" spans="4:8" ht="13.5" customHeight="1" x14ac:dyDescent="0.2">
      <c r="D144" s="14"/>
      <c r="E144" s="14"/>
      <c r="H144" s="16"/>
    </row>
    <row r="145" spans="4:8" ht="13.5" customHeight="1" x14ac:dyDescent="0.2">
      <c r="D145" s="14"/>
      <c r="E145" s="14"/>
      <c r="H145" s="16"/>
    </row>
    <row r="146" spans="4:8" ht="13.5" customHeight="1" x14ac:dyDescent="0.2">
      <c r="D146" s="14"/>
      <c r="E146" s="14"/>
      <c r="H146" s="16"/>
    </row>
    <row r="147" spans="4:8" ht="13.5" customHeight="1" x14ac:dyDescent="0.2">
      <c r="D147" s="14"/>
      <c r="E147" s="14"/>
      <c r="H147" s="16"/>
    </row>
    <row r="148" spans="4:8" ht="13.5" customHeight="1" x14ac:dyDescent="0.2">
      <c r="D148" s="14"/>
      <c r="E148" s="14"/>
      <c r="H148" s="16"/>
    </row>
    <row r="149" spans="4:8" ht="13.5" customHeight="1" x14ac:dyDescent="0.2">
      <c r="D149" s="14"/>
      <c r="E149" s="14"/>
      <c r="H149" s="16"/>
    </row>
    <row r="150" spans="4:8" ht="13.5" customHeight="1" x14ac:dyDescent="0.2">
      <c r="D150" s="14"/>
      <c r="E150" s="14"/>
      <c r="H150" s="16"/>
    </row>
    <row r="151" spans="4:8" ht="13.5" customHeight="1" x14ac:dyDescent="0.2">
      <c r="D151" s="14"/>
      <c r="E151" s="14"/>
      <c r="H151" s="16"/>
    </row>
    <row r="152" spans="4:8" ht="13.5" customHeight="1" x14ac:dyDescent="0.2">
      <c r="D152" s="14"/>
      <c r="E152" s="14"/>
      <c r="H152" s="16"/>
    </row>
    <row r="153" spans="4:8" ht="13.5" customHeight="1" x14ac:dyDescent="0.2">
      <c r="D153" s="14"/>
      <c r="E153" s="14"/>
      <c r="H153" s="16"/>
    </row>
    <row r="154" spans="4:8" ht="13.5" customHeight="1" x14ac:dyDescent="0.2">
      <c r="D154" s="14"/>
      <c r="E154" s="14"/>
      <c r="H154" s="16"/>
    </row>
    <row r="155" spans="4:8" ht="13.5" customHeight="1" x14ac:dyDescent="0.2">
      <c r="D155" s="14"/>
      <c r="E155" s="14"/>
      <c r="H155" s="16"/>
    </row>
    <row r="156" spans="4:8" ht="13.5" customHeight="1" x14ac:dyDescent="0.2">
      <c r="D156" s="14"/>
      <c r="E156" s="14"/>
      <c r="H156" s="16"/>
    </row>
    <row r="157" spans="4:8" ht="13.5" customHeight="1" x14ac:dyDescent="0.2">
      <c r="D157" s="14"/>
      <c r="E157" s="14"/>
      <c r="H157" s="16"/>
    </row>
    <row r="158" spans="4:8" ht="13.5" customHeight="1" x14ac:dyDescent="0.2">
      <c r="D158" s="14"/>
      <c r="E158" s="14"/>
      <c r="H158" s="16"/>
    </row>
    <row r="159" spans="4:8" ht="13.5" customHeight="1" x14ac:dyDescent="0.2">
      <c r="D159" s="14"/>
      <c r="E159" s="14"/>
      <c r="H159" s="16"/>
    </row>
    <row r="160" spans="4:8" ht="13.5" customHeight="1" x14ac:dyDescent="0.2">
      <c r="D160" s="14"/>
      <c r="E160" s="14"/>
      <c r="H160" s="16"/>
    </row>
    <row r="161" spans="4:8" ht="13.5" customHeight="1" x14ac:dyDescent="0.2">
      <c r="D161" s="14"/>
      <c r="E161" s="14"/>
      <c r="H161" s="16"/>
    </row>
    <row r="162" spans="4:8" ht="13.5" customHeight="1" x14ac:dyDescent="0.2">
      <c r="D162" s="14"/>
      <c r="E162" s="14"/>
      <c r="H162" s="16"/>
    </row>
    <row r="163" spans="4:8" ht="13.5" customHeight="1" x14ac:dyDescent="0.2">
      <c r="D163" s="14"/>
      <c r="E163" s="14"/>
      <c r="H163" s="16"/>
    </row>
    <row r="164" spans="4:8" ht="13.5" customHeight="1" x14ac:dyDescent="0.2">
      <c r="D164" s="14"/>
      <c r="E164" s="14"/>
      <c r="H164" s="16"/>
    </row>
    <row r="165" spans="4:8" ht="13.5" customHeight="1" x14ac:dyDescent="0.2">
      <c r="D165" s="14"/>
      <c r="E165" s="14"/>
      <c r="H165" s="16"/>
    </row>
    <row r="166" spans="4:8" ht="13.5" customHeight="1" x14ac:dyDescent="0.2">
      <c r="D166" s="14"/>
      <c r="E166" s="14"/>
      <c r="H166" s="16"/>
    </row>
    <row r="167" spans="4:8" ht="13.5" customHeight="1" x14ac:dyDescent="0.2">
      <c r="D167" s="14"/>
      <c r="E167" s="14"/>
      <c r="H167" s="16"/>
    </row>
    <row r="168" spans="4:8" ht="13.5" customHeight="1" x14ac:dyDescent="0.2">
      <c r="D168" s="14"/>
      <c r="E168" s="14"/>
      <c r="H168" s="16"/>
    </row>
    <row r="169" spans="4:8" ht="13.5" customHeight="1" x14ac:dyDescent="0.2">
      <c r="D169" s="14"/>
      <c r="E169" s="14"/>
      <c r="H169" s="16"/>
    </row>
    <row r="170" spans="4:8" ht="13.5" customHeight="1" x14ac:dyDescent="0.2">
      <c r="D170" s="14"/>
      <c r="E170" s="14"/>
      <c r="H170" s="16"/>
    </row>
    <row r="171" spans="4:8" ht="13.5" customHeight="1" x14ac:dyDescent="0.2">
      <c r="D171" s="14"/>
      <c r="E171" s="14"/>
      <c r="H171" s="16"/>
    </row>
    <row r="172" spans="4:8" ht="13.5" customHeight="1" x14ac:dyDescent="0.2">
      <c r="D172" s="14"/>
      <c r="E172" s="14"/>
      <c r="H172" s="16"/>
    </row>
    <row r="173" spans="4:8" ht="13.5" customHeight="1" x14ac:dyDescent="0.2">
      <c r="D173" s="14"/>
      <c r="E173" s="14"/>
      <c r="H173" s="16"/>
    </row>
    <row r="174" spans="4:8" ht="13.5" customHeight="1" x14ac:dyDescent="0.2">
      <c r="D174" s="14"/>
      <c r="E174" s="14"/>
      <c r="H174" s="16"/>
    </row>
    <row r="175" spans="4:8" ht="13.5" customHeight="1" x14ac:dyDescent="0.2">
      <c r="D175" s="14"/>
      <c r="E175" s="14"/>
      <c r="H175" s="16"/>
    </row>
    <row r="176" spans="4:8" ht="13.5" customHeight="1" x14ac:dyDescent="0.2">
      <c r="D176" s="14"/>
      <c r="E176" s="14"/>
      <c r="H176" s="16"/>
    </row>
    <row r="177" spans="4:8" ht="13.5" customHeight="1" x14ac:dyDescent="0.2">
      <c r="D177" s="14"/>
      <c r="E177" s="14"/>
      <c r="H177" s="16"/>
    </row>
    <row r="178" spans="4:8" ht="13.5" customHeight="1" x14ac:dyDescent="0.2">
      <c r="D178" s="14"/>
      <c r="E178" s="14"/>
      <c r="H178" s="16"/>
    </row>
    <row r="179" spans="4:8" ht="13.5" customHeight="1" x14ac:dyDescent="0.2">
      <c r="D179" s="14"/>
      <c r="E179" s="14"/>
      <c r="H179" s="16"/>
    </row>
    <row r="180" spans="4:8" ht="13.5" customHeight="1" x14ac:dyDescent="0.2">
      <c r="D180" s="14"/>
      <c r="E180" s="14"/>
      <c r="H180" s="16"/>
    </row>
    <row r="181" spans="4:8" ht="13.5" customHeight="1" x14ac:dyDescent="0.2">
      <c r="D181" s="14"/>
      <c r="E181" s="14"/>
      <c r="H181" s="16"/>
    </row>
    <row r="182" spans="4:8" ht="13.5" customHeight="1" x14ac:dyDescent="0.2">
      <c r="D182" s="14"/>
      <c r="E182" s="14"/>
      <c r="H182" s="16"/>
    </row>
    <row r="183" spans="4:8" ht="13.5" customHeight="1" x14ac:dyDescent="0.2">
      <c r="D183" s="14"/>
      <c r="E183" s="14"/>
      <c r="H183" s="16"/>
    </row>
    <row r="184" spans="4:8" ht="13.5" customHeight="1" x14ac:dyDescent="0.2">
      <c r="D184" s="14"/>
      <c r="E184" s="14"/>
      <c r="H184" s="16"/>
    </row>
    <row r="185" spans="4:8" ht="13.5" customHeight="1" x14ac:dyDescent="0.2">
      <c r="D185" s="14"/>
      <c r="E185" s="14"/>
      <c r="H185" s="16"/>
    </row>
    <row r="186" spans="4:8" ht="13.5" customHeight="1" x14ac:dyDescent="0.2">
      <c r="D186" s="14"/>
      <c r="E186" s="14"/>
      <c r="H186" s="16"/>
    </row>
    <row r="187" spans="4:8" ht="13.5" customHeight="1" x14ac:dyDescent="0.2">
      <c r="D187" s="14"/>
      <c r="E187" s="14"/>
      <c r="H187" s="16"/>
    </row>
    <row r="188" spans="4:8" ht="13.5" customHeight="1" x14ac:dyDescent="0.2">
      <c r="D188" s="14"/>
      <c r="E188" s="14"/>
      <c r="H188" s="16"/>
    </row>
    <row r="189" spans="4:8" ht="13.5" customHeight="1" x14ac:dyDescent="0.2">
      <c r="D189" s="14"/>
      <c r="E189" s="14"/>
      <c r="H189" s="16"/>
    </row>
    <row r="190" spans="4:8" ht="13.5" customHeight="1" x14ac:dyDescent="0.2">
      <c r="D190" s="14"/>
      <c r="E190" s="14"/>
      <c r="H190" s="16"/>
    </row>
    <row r="191" spans="4:8" ht="13.5" customHeight="1" x14ac:dyDescent="0.2">
      <c r="D191" s="14"/>
      <c r="E191" s="14"/>
      <c r="H191" s="16"/>
    </row>
    <row r="192" spans="4:8" ht="13.5" customHeight="1" x14ac:dyDescent="0.2">
      <c r="D192" s="14"/>
      <c r="E192" s="14"/>
      <c r="H192" s="16"/>
    </row>
    <row r="193" spans="4:8" ht="13.5" customHeight="1" x14ac:dyDescent="0.2">
      <c r="D193" s="14"/>
      <c r="E193" s="14"/>
      <c r="H193" s="16"/>
    </row>
    <row r="194" spans="4:8" ht="13.5" customHeight="1" x14ac:dyDescent="0.2">
      <c r="D194" s="14"/>
      <c r="E194" s="14"/>
      <c r="H194" s="16"/>
    </row>
    <row r="195" spans="4:8" ht="13.5" customHeight="1" x14ac:dyDescent="0.2">
      <c r="D195" s="14"/>
      <c r="E195" s="14"/>
      <c r="H195" s="16"/>
    </row>
    <row r="196" spans="4:8" ht="13.5" customHeight="1" x14ac:dyDescent="0.2">
      <c r="D196" s="14"/>
      <c r="E196" s="14"/>
      <c r="H196" s="16"/>
    </row>
    <row r="197" spans="4:8" ht="13.5" customHeight="1" x14ac:dyDescent="0.2">
      <c r="D197" s="14"/>
      <c r="E197" s="14"/>
      <c r="H197" s="16"/>
    </row>
    <row r="198" spans="4:8" ht="13.5" customHeight="1" x14ac:dyDescent="0.2">
      <c r="D198" s="14"/>
      <c r="E198" s="14"/>
      <c r="H198" s="16"/>
    </row>
    <row r="199" spans="4:8" ht="13.5" customHeight="1" x14ac:dyDescent="0.2">
      <c r="D199" s="14"/>
      <c r="E199" s="14"/>
      <c r="H199" s="16"/>
    </row>
    <row r="200" spans="4:8" ht="13.5" customHeight="1" x14ac:dyDescent="0.2">
      <c r="D200" s="14"/>
      <c r="E200" s="14"/>
      <c r="H200" s="16"/>
    </row>
    <row r="201" spans="4:8" ht="13.5" customHeight="1" x14ac:dyDescent="0.2">
      <c r="D201" s="14"/>
      <c r="E201" s="14"/>
      <c r="H201" s="16"/>
    </row>
    <row r="202" spans="4:8" ht="13.5" customHeight="1" x14ac:dyDescent="0.2">
      <c r="D202" s="14"/>
      <c r="E202" s="14"/>
      <c r="H202" s="16"/>
    </row>
    <row r="203" spans="4:8" ht="13.5" customHeight="1" x14ac:dyDescent="0.2">
      <c r="D203" s="14"/>
      <c r="E203" s="14"/>
      <c r="H203" s="16"/>
    </row>
    <row r="204" spans="4:8" ht="13.5" customHeight="1" x14ac:dyDescent="0.2">
      <c r="D204" s="14"/>
      <c r="E204" s="14"/>
      <c r="H204" s="16"/>
    </row>
    <row r="205" spans="4:8" ht="13.5" customHeight="1" x14ac:dyDescent="0.2">
      <c r="D205" s="14"/>
      <c r="E205" s="14"/>
      <c r="H205" s="16"/>
    </row>
    <row r="206" spans="4:8" ht="13.5" customHeight="1" x14ac:dyDescent="0.2">
      <c r="D206" s="14"/>
      <c r="E206" s="14"/>
      <c r="H206" s="16"/>
    </row>
    <row r="207" spans="4:8" ht="13.5" customHeight="1" x14ac:dyDescent="0.2">
      <c r="D207" s="14"/>
      <c r="E207" s="14"/>
      <c r="H207" s="16"/>
    </row>
    <row r="208" spans="4:8" ht="13.5" customHeight="1" x14ac:dyDescent="0.2">
      <c r="D208" s="14"/>
      <c r="E208" s="14"/>
      <c r="H208" s="16"/>
    </row>
    <row r="209" spans="4:8" ht="13.5" customHeight="1" x14ac:dyDescent="0.2">
      <c r="D209" s="14"/>
      <c r="E209" s="14"/>
      <c r="H209" s="16"/>
    </row>
    <row r="210" spans="4:8" ht="13.5" customHeight="1" x14ac:dyDescent="0.2">
      <c r="D210" s="14"/>
      <c r="E210" s="14"/>
      <c r="H210" s="16"/>
    </row>
    <row r="211" spans="4:8" ht="13.5" customHeight="1" x14ac:dyDescent="0.2">
      <c r="D211" s="14"/>
      <c r="E211" s="14"/>
      <c r="H211" s="16"/>
    </row>
    <row r="212" spans="4:8" ht="13.5" customHeight="1" x14ac:dyDescent="0.2">
      <c r="D212" s="14"/>
      <c r="E212" s="14"/>
      <c r="H212" s="16"/>
    </row>
    <row r="213" spans="4:8" ht="13.5" customHeight="1" x14ac:dyDescent="0.2">
      <c r="D213" s="14"/>
      <c r="E213" s="14"/>
      <c r="H213" s="16"/>
    </row>
    <row r="214" spans="4:8" ht="13.5" customHeight="1" x14ac:dyDescent="0.2">
      <c r="D214" s="14"/>
      <c r="E214" s="14"/>
      <c r="H214" s="16"/>
    </row>
    <row r="215" spans="4:8" ht="13.5" customHeight="1" x14ac:dyDescent="0.2">
      <c r="D215" s="14"/>
      <c r="E215" s="14"/>
      <c r="H215" s="16"/>
    </row>
    <row r="216" spans="4:8" ht="13.5" customHeight="1" x14ac:dyDescent="0.2">
      <c r="D216" s="14"/>
      <c r="E216" s="14"/>
      <c r="H216" s="16"/>
    </row>
    <row r="217" spans="4:8" ht="13.5" customHeight="1" x14ac:dyDescent="0.2">
      <c r="D217" s="14"/>
      <c r="E217" s="14"/>
      <c r="H217" s="16"/>
    </row>
    <row r="218" spans="4:8" ht="13.5" customHeight="1" x14ac:dyDescent="0.2">
      <c r="D218" s="14"/>
      <c r="E218" s="14"/>
      <c r="H218" s="16"/>
    </row>
    <row r="219" spans="4:8" ht="13.5" customHeight="1" x14ac:dyDescent="0.2">
      <c r="D219" s="14"/>
      <c r="E219" s="14"/>
      <c r="H219" s="16"/>
    </row>
    <row r="220" spans="4:8" ht="13.5" customHeight="1" x14ac:dyDescent="0.2">
      <c r="D220" s="14"/>
      <c r="E220" s="14"/>
      <c r="H220" s="16"/>
    </row>
    <row r="221" spans="4:8" ht="13.5" customHeight="1" x14ac:dyDescent="0.2">
      <c r="D221" s="14"/>
      <c r="E221" s="14"/>
      <c r="H221" s="16"/>
    </row>
    <row r="222" spans="4:8" ht="13.5" customHeight="1" x14ac:dyDescent="0.2">
      <c r="D222" s="14"/>
      <c r="E222" s="14"/>
      <c r="H222" s="16"/>
    </row>
    <row r="223" spans="4:8" ht="13.5" customHeight="1" x14ac:dyDescent="0.2">
      <c r="D223" s="14"/>
      <c r="E223" s="14"/>
      <c r="H223" s="16"/>
    </row>
    <row r="224" spans="4:8" ht="13.5" customHeight="1" x14ac:dyDescent="0.2">
      <c r="D224" s="14"/>
      <c r="E224" s="14"/>
      <c r="H224" s="16"/>
    </row>
    <row r="225" spans="4:8" ht="13.5" customHeight="1" x14ac:dyDescent="0.2">
      <c r="D225" s="14"/>
      <c r="E225" s="14"/>
      <c r="H225" s="16"/>
    </row>
    <row r="226" spans="4:8" ht="13.5" customHeight="1" x14ac:dyDescent="0.2">
      <c r="D226" s="14"/>
      <c r="E226" s="14"/>
      <c r="H226" s="16"/>
    </row>
    <row r="227" spans="4:8" ht="13.5" customHeight="1" x14ac:dyDescent="0.2">
      <c r="D227" s="14"/>
      <c r="E227" s="14"/>
      <c r="H227" s="16"/>
    </row>
    <row r="228" spans="4:8" ht="13.5" customHeight="1" x14ac:dyDescent="0.2">
      <c r="D228" s="14"/>
      <c r="E228" s="14"/>
      <c r="H228" s="16"/>
    </row>
    <row r="229" spans="4:8" ht="13.5" customHeight="1" x14ac:dyDescent="0.2">
      <c r="D229" s="14"/>
      <c r="E229" s="14"/>
      <c r="H229" s="16"/>
    </row>
    <row r="230" spans="4:8" ht="13.5" customHeight="1" x14ac:dyDescent="0.2">
      <c r="D230" s="14"/>
      <c r="E230" s="14"/>
      <c r="H230" s="16"/>
    </row>
    <row r="231" spans="4:8" ht="13.5" customHeight="1" x14ac:dyDescent="0.2">
      <c r="D231" s="14"/>
      <c r="E231" s="14"/>
      <c r="H231" s="16"/>
    </row>
    <row r="232" spans="4:8" ht="13.5" customHeight="1" x14ac:dyDescent="0.2">
      <c r="D232" s="14"/>
      <c r="E232" s="14"/>
      <c r="H232" s="16"/>
    </row>
    <row r="233" spans="4:8" ht="13.5" customHeight="1" x14ac:dyDescent="0.2">
      <c r="D233" s="14"/>
      <c r="E233" s="14"/>
      <c r="H233" s="16"/>
    </row>
    <row r="234" spans="4:8" ht="13.5" customHeight="1" x14ac:dyDescent="0.2">
      <c r="D234" s="14"/>
      <c r="E234" s="14"/>
      <c r="H234" s="16"/>
    </row>
    <row r="235" spans="4:8" ht="13.5" customHeight="1" x14ac:dyDescent="0.2">
      <c r="D235" s="14"/>
      <c r="E235" s="14"/>
      <c r="H235" s="16"/>
    </row>
    <row r="236" spans="4:8" ht="13.5" customHeight="1" x14ac:dyDescent="0.2">
      <c r="D236" s="14"/>
      <c r="E236" s="14"/>
      <c r="H236" s="16"/>
    </row>
    <row r="237" spans="4:8" ht="13.5" customHeight="1" x14ac:dyDescent="0.2">
      <c r="D237" s="14"/>
      <c r="E237" s="14"/>
      <c r="H237" s="16"/>
    </row>
    <row r="238" spans="4:8" ht="13.5" customHeight="1" x14ac:dyDescent="0.2">
      <c r="D238" s="14"/>
      <c r="E238" s="14"/>
      <c r="H238" s="16"/>
    </row>
    <row r="239" spans="4:8" ht="13.5" customHeight="1" x14ac:dyDescent="0.2">
      <c r="D239" s="14"/>
      <c r="E239" s="14"/>
      <c r="H239" s="16"/>
    </row>
    <row r="240" spans="4:8" ht="13.5" customHeight="1" x14ac:dyDescent="0.2">
      <c r="D240" s="14"/>
      <c r="E240" s="14"/>
      <c r="H240" s="16"/>
    </row>
    <row r="241" spans="4:8" ht="13.5" customHeight="1" x14ac:dyDescent="0.2">
      <c r="D241" s="14"/>
      <c r="E241" s="14"/>
      <c r="H241" s="16"/>
    </row>
    <row r="242" spans="4:8" ht="13.5" customHeight="1" x14ac:dyDescent="0.2">
      <c r="D242" s="14"/>
      <c r="E242" s="14"/>
      <c r="H242" s="16"/>
    </row>
    <row r="243" spans="4:8" ht="13.5" customHeight="1" x14ac:dyDescent="0.2">
      <c r="D243" s="14"/>
      <c r="E243" s="14"/>
      <c r="H243" s="16"/>
    </row>
    <row r="244" spans="4:8" ht="13.5" customHeight="1" x14ac:dyDescent="0.2">
      <c r="D244" s="14"/>
      <c r="E244" s="14"/>
      <c r="H244" s="16"/>
    </row>
    <row r="245" spans="4:8" ht="13.5" customHeight="1" x14ac:dyDescent="0.2">
      <c r="D245" s="14"/>
      <c r="E245" s="14"/>
      <c r="H245" s="16"/>
    </row>
    <row r="246" spans="4:8" ht="13.5" customHeight="1" x14ac:dyDescent="0.2">
      <c r="D246" s="14"/>
      <c r="E246" s="14"/>
      <c r="H246" s="16"/>
    </row>
    <row r="247" spans="4:8" ht="13.5" customHeight="1" x14ac:dyDescent="0.2">
      <c r="D247" s="14"/>
      <c r="E247" s="14"/>
      <c r="H247" s="16"/>
    </row>
    <row r="248" spans="4:8" ht="13.5" customHeight="1" x14ac:dyDescent="0.2">
      <c r="D248" s="14"/>
      <c r="E248" s="14"/>
      <c r="H248" s="16"/>
    </row>
    <row r="249" spans="4:8" ht="13.5" customHeight="1" x14ac:dyDescent="0.2">
      <c r="D249" s="14"/>
      <c r="E249" s="14"/>
      <c r="H249" s="16"/>
    </row>
    <row r="250" spans="4:8" ht="13.5" customHeight="1" x14ac:dyDescent="0.2">
      <c r="D250" s="14"/>
      <c r="E250" s="14"/>
      <c r="H250" s="16"/>
    </row>
    <row r="251" spans="4:8" ht="13.5" customHeight="1" x14ac:dyDescent="0.2">
      <c r="D251" s="14"/>
      <c r="E251" s="14"/>
      <c r="H251" s="16"/>
    </row>
    <row r="252" spans="4:8" ht="13.5" customHeight="1" x14ac:dyDescent="0.2">
      <c r="D252" s="14"/>
      <c r="E252" s="14"/>
      <c r="H252" s="16"/>
    </row>
    <row r="253" spans="4:8" ht="13.5" customHeight="1" x14ac:dyDescent="0.2">
      <c r="D253" s="14"/>
      <c r="E253" s="14"/>
      <c r="H253" s="16"/>
    </row>
    <row r="254" spans="4:8" ht="13.5" customHeight="1" x14ac:dyDescent="0.2">
      <c r="D254" s="14"/>
      <c r="E254" s="14"/>
      <c r="H254" s="16"/>
    </row>
    <row r="255" spans="4:8" ht="13.5" customHeight="1" x14ac:dyDescent="0.2">
      <c r="D255" s="14"/>
      <c r="E255" s="14"/>
      <c r="H255" s="16"/>
    </row>
    <row r="256" spans="4:8" ht="13.5" customHeight="1" x14ac:dyDescent="0.2">
      <c r="D256" s="14"/>
      <c r="E256" s="14"/>
      <c r="H256" s="16"/>
    </row>
    <row r="257" spans="4:8" ht="13.5" customHeight="1" x14ac:dyDescent="0.2">
      <c r="D257" s="14"/>
      <c r="E257" s="14"/>
      <c r="H257" s="16"/>
    </row>
    <row r="258" spans="4:8" ht="13.5" customHeight="1" x14ac:dyDescent="0.2">
      <c r="D258" s="14"/>
      <c r="E258" s="14"/>
      <c r="H258" s="16"/>
    </row>
    <row r="259" spans="4:8" ht="13.5" customHeight="1" x14ac:dyDescent="0.2">
      <c r="D259" s="14"/>
      <c r="E259" s="14"/>
      <c r="H259" s="16"/>
    </row>
    <row r="260" spans="4:8" ht="13.5" customHeight="1" x14ac:dyDescent="0.2">
      <c r="D260" s="14"/>
      <c r="E260" s="14"/>
      <c r="H260" s="16"/>
    </row>
    <row r="261" spans="4:8" ht="13.5" customHeight="1" x14ac:dyDescent="0.2">
      <c r="D261" s="14"/>
      <c r="E261" s="14"/>
      <c r="H261" s="16"/>
    </row>
    <row r="262" spans="4:8" ht="13.5" customHeight="1" x14ac:dyDescent="0.2">
      <c r="D262" s="14"/>
      <c r="E262" s="14"/>
      <c r="H262" s="16"/>
    </row>
    <row r="263" spans="4:8" ht="13.5" customHeight="1" x14ac:dyDescent="0.2">
      <c r="D263" s="14"/>
      <c r="E263" s="14"/>
      <c r="H263" s="16"/>
    </row>
    <row r="264" spans="4:8" ht="13.5" customHeight="1" x14ac:dyDescent="0.2">
      <c r="D264" s="14"/>
      <c r="E264" s="14"/>
      <c r="H264" s="16"/>
    </row>
    <row r="265" spans="4:8" ht="13.5" customHeight="1" x14ac:dyDescent="0.2">
      <c r="D265" s="14"/>
      <c r="E265" s="14"/>
      <c r="H265" s="16"/>
    </row>
    <row r="266" spans="4:8" ht="13.5" customHeight="1" x14ac:dyDescent="0.2">
      <c r="D266" s="14"/>
      <c r="E266" s="14"/>
      <c r="H266" s="16"/>
    </row>
    <row r="267" spans="4:8" ht="13.5" customHeight="1" x14ac:dyDescent="0.2">
      <c r="D267" s="14"/>
      <c r="E267" s="14"/>
      <c r="H267" s="16"/>
    </row>
    <row r="268" spans="4:8" ht="13.5" customHeight="1" x14ac:dyDescent="0.2">
      <c r="D268" s="14"/>
      <c r="E268" s="14"/>
      <c r="H268" s="16"/>
    </row>
    <row r="269" spans="4:8" ht="13.5" customHeight="1" x14ac:dyDescent="0.2">
      <c r="D269" s="14"/>
      <c r="E269" s="14"/>
      <c r="H269" s="16"/>
    </row>
    <row r="270" spans="4:8" ht="13.5" customHeight="1" x14ac:dyDescent="0.2">
      <c r="D270" s="14"/>
      <c r="E270" s="14"/>
      <c r="H270" s="16"/>
    </row>
    <row r="271" spans="4:8" ht="13.5" customHeight="1" x14ac:dyDescent="0.2">
      <c r="D271" s="14"/>
      <c r="E271" s="14"/>
      <c r="H271" s="16"/>
    </row>
    <row r="272" spans="4:8" ht="13.5" customHeight="1" x14ac:dyDescent="0.2">
      <c r="D272" s="14"/>
      <c r="E272" s="14"/>
      <c r="H272" s="16"/>
    </row>
    <row r="273" spans="4:8" ht="13.5" customHeight="1" x14ac:dyDescent="0.2">
      <c r="D273" s="14"/>
      <c r="E273" s="14"/>
      <c r="H273" s="16"/>
    </row>
    <row r="274" spans="4:8" ht="13.5" customHeight="1" x14ac:dyDescent="0.2">
      <c r="D274" s="14"/>
      <c r="E274" s="14"/>
      <c r="H274" s="16"/>
    </row>
    <row r="275" spans="4:8" ht="13.5" customHeight="1" x14ac:dyDescent="0.2">
      <c r="D275" s="14"/>
      <c r="E275" s="14"/>
      <c r="H275" s="16"/>
    </row>
    <row r="276" spans="4:8" ht="13.5" customHeight="1" x14ac:dyDescent="0.2">
      <c r="D276" s="14"/>
      <c r="E276" s="14"/>
      <c r="H276" s="16"/>
    </row>
    <row r="277" spans="4:8" ht="13.5" customHeight="1" x14ac:dyDescent="0.2">
      <c r="D277" s="14"/>
      <c r="E277" s="14"/>
      <c r="H277" s="16"/>
    </row>
    <row r="278" spans="4:8" ht="13.5" customHeight="1" x14ac:dyDescent="0.2">
      <c r="D278" s="14"/>
      <c r="E278" s="14"/>
      <c r="H278" s="16"/>
    </row>
    <row r="279" spans="4:8" ht="13.5" customHeight="1" x14ac:dyDescent="0.2">
      <c r="D279" s="14"/>
      <c r="E279" s="14"/>
      <c r="H279" s="16"/>
    </row>
    <row r="280" spans="4:8" ht="13.5" customHeight="1" x14ac:dyDescent="0.2">
      <c r="D280" s="14"/>
      <c r="E280" s="14"/>
      <c r="H280" s="16"/>
    </row>
    <row r="281" spans="4:8" ht="13.5" customHeight="1" x14ac:dyDescent="0.2">
      <c r="D281" s="14"/>
      <c r="E281" s="14"/>
      <c r="H281" s="16"/>
    </row>
    <row r="282" spans="4:8" ht="13.5" customHeight="1" x14ac:dyDescent="0.2">
      <c r="D282" s="14"/>
      <c r="E282" s="14"/>
      <c r="H282" s="16"/>
    </row>
    <row r="283" spans="4:8" ht="13.5" customHeight="1" x14ac:dyDescent="0.2">
      <c r="D283" s="14"/>
      <c r="E283" s="14"/>
      <c r="H283" s="16"/>
    </row>
    <row r="284" spans="4:8" ht="13.5" customHeight="1" x14ac:dyDescent="0.2">
      <c r="D284" s="14"/>
      <c r="E284" s="14"/>
      <c r="H284" s="16"/>
    </row>
    <row r="285" spans="4:8" ht="13.5" customHeight="1" x14ac:dyDescent="0.2">
      <c r="D285" s="14"/>
      <c r="E285" s="14"/>
      <c r="H285" s="16"/>
    </row>
    <row r="286" spans="4:8" ht="13.5" customHeight="1" x14ac:dyDescent="0.2">
      <c r="D286" s="14"/>
      <c r="E286" s="14"/>
      <c r="H286" s="16"/>
    </row>
    <row r="287" spans="4:8" ht="13.5" customHeight="1" x14ac:dyDescent="0.2">
      <c r="D287" s="14"/>
      <c r="E287" s="14"/>
      <c r="H287" s="16"/>
    </row>
    <row r="288" spans="4:8" ht="13.5" customHeight="1" x14ac:dyDescent="0.2">
      <c r="D288" s="14"/>
      <c r="E288" s="14"/>
      <c r="H288" s="16"/>
    </row>
    <row r="289" spans="4:8" ht="13.5" customHeight="1" x14ac:dyDescent="0.2">
      <c r="D289" s="14"/>
      <c r="E289" s="14"/>
      <c r="H289" s="16"/>
    </row>
    <row r="290" spans="4:8" ht="13.5" customHeight="1" x14ac:dyDescent="0.2">
      <c r="D290" s="14"/>
      <c r="E290" s="14"/>
      <c r="H290" s="16"/>
    </row>
    <row r="291" spans="4:8" ht="13.5" customHeight="1" x14ac:dyDescent="0.2">
      <c r="D291" s="14"/>
      <c r="E291" s="14"/>
      <c r="H291" s="16"/>
    </row>
    <row r="292" spans="4:8" ht="13.5" customHeight="1" x14ac:dyDescent="0.2">
      <c r="D292" s="14"/>
      <c r="E292" s="14"/>
      <c r="H292" s="16"/>
    </row>
    <row r="293" spans="4:8" ht="13.5" customHeight="1" x14ac:dyDescent="0.2">
      <c r="D293" s="14"/>
      <c r="E293" s="14"/>
      <c r="H293" s="16"/>
    </row>
    <row r="294" spans="4:8" ht="13.5" customHeight="1" x14ac:dyDescent="0.2">
      <c r="D294" s="14"/>
      <c r="E294" s="14"/>
      <c r="H294" s="16"/>
    </row>
    <row r="295" spans="4:8" ht="13.5" customHeight="1" x14ac:dyDescent="0.2">
      <c r="D295" s="14"/>
      <c r="E295" s="14"/>
      <c r="H295" s="16"/>
    </row>
    <row r="296" spans="4:8" ht="13.5" customHeight="1" x14ac:dyDescent="0.2">
      <c r="D296" s="14"/>
      <c r="E296" s="14"/>
      <c r="H296" s="16"/>
    </row>
    <row r="297" spans="4:8" ht="13.5" customHeight="1" x14ac:dyDescent="0.2">
      <c r="D297" s="14"/>
      <c r="E297" s="14"/>
      <c r="H297" s="16"/>
    </row>
    <row r="298" spans="4:8" ht="13.5" customHeight="1" x14ac:dyDescent="0.2">
      <c r="D298" s="14"/>
      <c r="E298" s="14"/>
      <c r="H298" s="16"/>
    </row>
    <row r="299" spans="4:8" ht="13.5" customHeight="1" x14ac:dyDescent="0.2">
      <c r="D299" s="14"/>
      <c r="E299" s="14"/>
      <c r="H299" s="16"/>
    </row>
    <row r="300" spans="4:8" ht="13.5" customHeight="1" x14ac:dyDescent="0.2">
      <c r="D300" s="14"/>
      <c r="E300" s="14"/>
      <c r="H300" s="16"/>
    </row>
    <row r="301" spans="4:8" ht="13.5" customHeight="1" x14ac:dyDescent="0.2">
      <c r="D301" s="14"/>
      <c r="E301" s="14"/>
      <c r="H301" s="16"/>
    </row>
    <row r="302" spans="4:8" ht="13.5" customHeight="1" x14ac:dyDescent="0.2">
      <c r="D302" s="14"/>
      <c r="E302" s="14"/>
      <c r="H302" s="16"/>
    </row>
    <row r="303" spans="4:8" ht="13.5" customHeight="1" x14ac:dyDescent="0.2">
      <c r="D303" s="14"/>
      <c r="E303" s="14"/>
      <c r="H303" s="16"/>
    </row>
    <row r="304" spans="4:8" ht="13.5" customHeight="1" x14ac:dyDescent="0.2">
      <c r="D304" s="14"/>
      <c r="E304" s="14"/>
      <c r="H304" s="16"/>
    </row>
    <row r="305" spans="4:8" ht="13.5" customHeight="1" x14ac:dyDescent="0.2">
      <c r="D305" s="14"/>
      <c r="E305" s="14"/>
      <c r="H305" s="16"/>
    </row>
    <row r="306" spans="4:8" ht="13.5" customHeight="1" x14ac:dyDescent="0.2">
      <c r="D306" s="14"/>
      <c r="E306" s="14"/>
      <c r="H306" s="16"/>
    </row>
    <row r="307" spans="4:8" ht="13.5" customHeight="1" x14ac:dyDescent="0.2">
      <c r="D307" s="14"/>
      <c r="E307" s="14"/>
      <c r="H307" s="16"/>
    </row>
    <row r="308" spans="4:8" ht="13.5" customHeight="1" x14ac:dyDescent="0.2">
      <c r="D308" s="14"/>
      <c r="E308" s="14"/>
      <c r="H308" s="16"/>
    </row>
    <row r="309" spans="4:8" ht="13.5" customHeight="1" x14ac:dyDescent="0.2">
      <c r="D309" s="14"/>
      <c r="E309" s="14"/>
      <c r="H309" s="16"/>
    </row>
    <row r="310" spans="4:8" ht="13.5" customHeight="1" x14ac:dyDescent="0.2">
      <c r="D310" s="14"/>
      <c r="E310" s="14"/>
      <c r="H310" s="16"/>
    </row>
    <row r="311" spans="4:8" ht="13.5" customHeight="1" x14ac:dyDescent="0.2">
      <c r="D311" s="14"/>
      <c r="E311" s="14"/>
      <c r="H311" s="16"/>
    </row>
    <row r="312" spans="4:8" ht="13.5" customHeight="1" x14ac:dyDescent="0.2">
      <c r="D312" s="14"/>
      <c r="E312" s="14"/>
      <c r="H312" s="16"/>
    </row>
    <row r="313" spans="4:8" ht="13.5" customHeight="1" x14ac:dyDescent="0.2">
      <c r="D313" s="14"/>
      <c r="E313" s="14"/>
      <c r="H313" s="16"/>
    </row>
    <row r="314" spans="4:8" ht="13.5" customHeight="1" x14ac:dyDescent="0.2">
      <c r="D314" s="14"/>
      <c r="E314" s="14"/>
      <c r="H314" s="16"/>
    </row>
    <row r="315" spans="4:8" ht="13.5" customHeight="1" x14ac:dyDescent="0.2">
      <c r="D315" s="14"/>
      <c r="E315" s="14"/>
      <c r="H315" s="16"/>
    </row>
    <row r="316" spans="4:8" ht="13.5" customHeight="1" x14ac:dyDescent="0.2">
      <c r="D316" s="14"/>
      <c r="E316" s="14"/>
      <c r="H316" s="16"/>
    </row>
    <row r="317" spans="4:8" ht="13.5" customHeight="1" x14ac:dyDescent="0.2">
      <c r="D317" s="14"/>
      <c r="E317" s="14"/>
      <c r="H317" s="16"/>
    </row>
    <row r="318" spans="4:8" ht="13.5" customHeight="1" x14ac:dyDescent="0.2">
      <c r="D318" s="14"/>
      <c r="E318" s="14"/>
      <c r="H318" s="16"/>
    </row>
    <row r="319" spans="4:8" ht="13.5" customHeight="1" x14ac:dyDescent="0.2">
      <c r="D319" s="14"/>
      <c r="E319" s="14"/>
      <c r="H319" s="16"/>
    </row>
    <row r="320" spans="4:8" ht="13.5" customHeight="1" x14ac:dyDescent="0.2">
      <c r="D320" s="14"/>
      <c r="E320" s="14"/>
      <c r="H320" s="16"/>
    </row>
    <row r="321" spans="4:8" ht="13.5" customHeight="1" x14ac:dyDescent="0.2">
      <c r="D321" s="14"/>
      <c r="E321" s="14"/>
      <c r="H321" s="16"/>
    </row>
    <row r="322" spans="4:8" ht="13.5" customHeight="1" x14ac:dyDescent="0.2">
      <c r="D322" s="14"/>
      <c r="E322" s="14"/>
      <c r="H322" s="16"/>
    </row>
    <row r="323" spans="4:8" ht="13.5" customHeight="1" x14ac:dyDescent="0.2">
      <c r="D323" s="14"/>
      <c r="E323" s="14"/>
      <c r="H323" s="16"/>
    </row>
    <row r="324" spans="4:8" ht="13.5" customHeight="1" x14ac:dyDescent="0.2">
      <c r="D324" s="14"/>
      <c r="E324" s="14"/>
      <c r="H324" s="16"/>
    </row>
    <row r="325" spans="4:8" ht="13.5" customHeight="1" x14ac:dyDescent="0.2">
      <c r="D325" s="14"/>
      <c r="E325" s="14"/>
      <c r="H325" s="16"/>
    </row>
    <row r="326" spans="4:8" ht="13.5" customHeight="1" x14ac:dyDescent="0.2">
      <c r="D326" s="14"/>
      <c r="E326" s="14"/>
      <c r="H326" s="16"/>
    </row>
    <row r="327" spans="4:8" ht="13.5" customHeight="1" x14ac:dyDescent="0.2">
      <c r="D327" s="14"/>
      <c r="E327" s="14"/>
      <c r="H327" s="16"/>
    </row>
    <row r="328" spans="4:8" ht="13.5" customHeight="1" x14ac:dyDescent="0.2">
      <c r="D328" s="14"/>
      <c r="E328" s="14"/>
      <c r="H328" s="16"/>
    </row>
    <row r="329" spans="4:8" ht="13.5" customHeight="1" x14ac:dyDescent="0.2">
      <c r="D329" s="14"/>
      <c r="E329" s="14"/>
      <c r="H329" s="16"/>
    </row>
    <row r="330" spans="4:8" ht="13.5" customHeight="1" x14ac:dyDescent="0.2">
      <c r="D330" s="14"/>
      <c r="E330" s="14"/>
      <c r="H330" s="16"/>
    </row>
    <row r="331" spans="4:8" ht="13.5" customHeight="1" x14ac:dyDescent="0.2">
      <c r="D331" s="14"/>
      <c r="E331" s="14"/>
      <c r="H331" s="16"/>
    </row>
    <row r="332" spans="4:8" ht="13.5" customHeight="1" x14ac:dyDescent="0.2">
      <c r="D332" s="14"/>
      <c r="E332" s="14"/>
      <c r="H332" s="16"/>
    </row>
    <row r="333" spans="4:8" ht="13.5" customHeight="1" x14ac:dyDescent="0.2">
      <c r="D333" s="14"/>
      <c r="E333" s="14"/>
      <c r="H333" s="16"/>
    </row>
    <row r="334" spans="4:8" ht="13.5" customHeight="1" x14ac:dyDescent="0.2">
      <c r="D334" s="14"/>
      <c r="E334" s="14"/>
      <c r="H334" s="16"/>
    </row>
    <row r="335" spans="4:8" ht="13.5" customHeight="1" x14ac:dyDescent="0.2">
      <c r="D335" s="14"/>
      <c r="E335" s="14"/>
      <c r="H335" s="16"/>
    </row>
    <row r="336" spans="4:8" ht="13.5" customHeight="1" x14ac:dyDescent="0.2">
      <c r="D336" s="14"/>
      <c r="E336" s="14"/>
      <c r="H336" s="16"/>
    </row>
    <row r="337" spans="4:8" ht="13.5" customHeight="1" x14ac:dyDescent="0.2">
      <c r="D337" s="14"/>
      <c r="E337" s="14"/>
      <c r="H337" s="16"/>
    </row>
    <row r="338" spans="4:8" ht="13.5" customHeight="1" x14ac:dyDescent="0.2">
      <c r="D338" s="14"/>
      <c r="E338" s="14"/>
      <c r="H338" s="16"/>
    </row>
    <row r="339" spans="4:8" ht="13.5" customHeight="1" x14ac:dyDescent="0.2">
      <c r="D339" s="14"/>
      <c r="E339" s="14"/>
      <c r="H339" s="16"/>
    </row>
    <row r="340" spans="4:8" ht="13.5" customHeight="1" x14ac:dyDescent="0.2">
      <c r="D340" s="14"/>
      <c r="E340" s="14"/>
      <c r="H340" s="16"/>
    </row>
    <row r="341" spans="4:8" ht="13.5" customHeight="1" x14ac:dyDescent="0.2">
      <c r="D341" s="14"/>
      <c r="E341" s="14"/>
      <c r="H341" s="16"/>
    </row>
    <row r="342" spans="4:8" ht="13.5" customHeight="1" x14ac:dyDescent="0.2">
      <c r="D342" s="14"/>
      <c r="E342" s="14"/>
      <c r="H342" s="16"/>
    </row>
    <row r="343" spans="4:8" ht="13.5" customHeight="1" x14ac:dyDescent="0.2">
      <c r="D343" s="14"/>
      <c r="E343" s="14"/>
      <c r="H343" s="16"/>
    </row>
    <row r="344" spans="4:8" ht="13.5" customHeight="1" x14ac:dyDescent="0.2">
      <c r="D344" s="14"/>
      <c r="E344" s="14"/>
      <c r="H344" s="16"/>
    </row>
    <row r="345" spans="4:8" ht="13.5" customHeight="1" x14ac:dyDescent="0.2">
      <c r="D345" s="14"/>
      <c r="E345" s="14"/>
    </row>
    <row r="346" spans="4:8" ht="13.5" customHeight="1" x14ac:dyDescent="0.2">
      <c r="D346" s="14"/>
      <c r="E346" s="14"/>
    </row>
    <row r="347" spans="4:8" ht="13.5" customHeight="1" x14ac:dyDescent="0.2">
      <c r="D347" s="14"/>
      <c r="E347" s="14"/>
    </row>
    <row r="348" spans="4:8" ht="13.5" customHeight="1" x14ac:dyDescent="0.2">
      <c r="D348" s="14"/>
      <c r="E348" s="14"/>
    </row>
    <row r="349" spans="4:8" ht="13.5" customHeight="1" x14ac:dyDescent="0.2">
      <c r="D349" s="14"/>
      <c r="E349" s="14"/>
    </row>
    <row r="350" spans="4:8" ht="13.5" customHeight="1" x14ac:dyDescent="0.2">
      <c r="D350" s="14"/>
      <c r="E350" s="14"/>
    </row>
    <row r="351" spans="4:8" ht="13.5" customHeight="1" x14ac:dyDescent="0.2">
      <c r="D351" s="14"/>
      <c r="E351" s="14"/>
    </row>
    <row r="352" spans="4:8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mergeCells count="1">
    <mergeCell ref="H27:L27"/>
  </mergeCells>
  <dataValidations count="1">
    <dataValidation type="list" allowBlank="1" showInputMessage="1" showErrorMessage="1" sqref="J2 J3" xr:uid="{A671F473-48BF-42ED-AF95-80541F8D925A}">
      <formula1>_xlfn.ANCHORARRAY($H$4)</formula1>
    </dataValidation>
  </dataValidations>
  <pageMargins left="0.75" right="0.75" top="1" bottom="1" header="0" footer="0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810D51-9ED5-4297-B882-9700006555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22</vt:i4>
      </vt:variant>
    </vt:vector>
  </HeadingPairs>
  <TitlesOfParts>
    <vt:vector size="25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Vendite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Gabriele Goiza</cp:lastModifiedBy>
  <dcterms:created xsi:type="dcterms:W3CDTF">2005-04-12T12:35:30Z</dcterms:created>
  <dcterms:modified xsi:type="dcterms:W3CDTF">2026-07-26T09:08:04Z</dcterms:modified>
</cp:coreProperties>
</file>