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Epicode-Dapt0326\M2. Statistica &amp; Excel\"/>
    </mc:Choice>
  </mc:AlternateContent>
  <xr:revisionPtr revIDLastSave="0" documentId="13_ncr:1_{E5D39CBA-2D77-4766-9F5B-492C28F0986E}" xr6:coauthVersionLast="47" xr6:coauthVersionMax="47" xr10:uidLastSave="{00000000-0000-0000-0000-000000000000}"/>
  <bookViews>
    <workbookView xWindow="-120" yWindow="-120" windowWidth="29040" windowHeight="15720" xr2:uid="{82F25D09-57DB-4D96-801F-99FA20AF9E9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G21" i="1" s="1"/>
  <c r="B57" i="1"/>
  <c r="C52" i="1"/>
  <c r="C51" i="1"/>
  <c r="G40" i="1"/>
  <c r="G41" i="1"/>
  <c r="G42" i="1"/>
  <c r="G43" i="1"/>
  <c r="G44" i="1"/>
  <c r="G39" i="1"/>
  <c r="F40" i="1"/>
  <c r="F41" i="1"/>
  <c r="F42" i="1"/>
  <c r="F43" i="1"/>
  <c r="F44" i="1"/>
  <c r="F39" i="1"/>
  <c r="C50" i="1"/>
  <c r="C46" i="1"/>
  <c r="E40" i="1"/>
  <c r="E41" i="1"/>
  <c r="E42" i="1"/>
  <c r="E43" i="1"/>
  <c r="E44" i="1"/>
  <c r="E39" i="1"/>
  <c r="C47" i="1"/>
  <c r="D39" i="1"/>
  <c r="D40" i="1"/>
  <c r="D41" i="1"/>
  <c r="D42" i="1"/>
  <c r="D43" i="1"/>
  <c r="D44" i="1"/>
  <c r="C31" i="1"/>
  <c r="E24" i="1"/>
  <c r="D24" i="1"/>
  <c r="D22" i="1"/>
  <c r="E22" i="1"/>
  <c r="C16" i="1"/>
  <c r="E7" i="1"/>
  <c r="E8" i="1"/>
  <c r="E9" i="1"/>
  <c r="E10" i="1"/>
  <c r="E11" i="1"/>
  <c r="E6" i="1"/>
  <c r="C15" i="1"/>
  <c r="C14" i="1"/>
  <c r="C13" i="1"/>
  <c r="D7" i="1"/>
  <c r="D8" i="1"/>
  <c r="D9" i="1"/>
  <c r="D10" i="1"/>
  <c r="D11" i="1"/>
  <c r="D6" i="1"/>
  <c r="C7" i="1"/>
  <c r="C8" i="1"/>
  <c r="C9" i="1"/>
  <c r="C10" i="1"/>
  <c r="C11" i="1"/>
  <c r="C6" i="1"/>
  <c r="C48" i="1" l="1"/>
</calcChain>
</file>

<file path=xl/sharedStrings.xml><?xml version="1.0" encoding="utf-8"?>
<sst xmlns="http://schemas.openxmlformats.org/spreadsheetml/2006/main" count="33" uniqueCount="31">
  <si>
    <t>Evento: lancio dato numero pari e maggiore di 4</t>
  </si>
  <si>
    <t>è pari</t>
  </si>
  <si>
    <t>è maggiore di 4</t>
  </si>
  <si>
    <t>P(pari)</t>
  </si>
  <si>
    <t>Casi</t>
  </si>
  <si>
    <t>Totale casi pos</t>
  </si>
  <si>
    <t>p(&gt;4)</t>
  </si>
  <si>
    <t>se pari e maggiore di 4</t>
  </si>
  <si>
    <t>p(pari e &gt;4)</t>
  </si>
  <si>
    <t>MEDIA</t>
  </si>
  <si>
    <t xml:space="preserve">DEV </t>
  </si>
  <si>
    <t>DATO INF</t>
  </si>
  <si>
    <t>DATO SUP</t>
  </si>
  <si>
    <t>PUNTEGGI TEST TRA 42 E 58</t>
  </si>
  <si>
    <t>ALTRO DATO</t>
  </si>
  <si>
    <t>VALORE 66 SUPERIORE ALLA NORMA 2 DEV SOPRA LA MEDIA</t>
  </si>
  <si>
    <t>MAZZO</t>
  </si>
  <si>
    <t>FIGURE</t>
  </si>
  <si>
    <t>P(FIGURA)</t>
  </si>
  <si>
    <t>Casi DADO1</t>
  </si>
  <si>
    <t>Casi DADO 2</t>
  </si>
  <si>
    <t>CASI POSSIBILI</t>
  </si>
  <si>
    <t>P(DUE PARI)</t>
  </si>
  <si>
    <t>CASI VERI</t>
  </si>
  <si>
    <t>è pari DADO1</t>
  </si>
  <si>
    <t>è pari DADO2</t>
  </si>
  <si>
    <t>è 6 dado 1</t>
  </si>
  <si>
    <t>è 6 dado 2</t>
  </si>
  <si>
    <t>CASI falsi</t>
  </si>
  <si>
    <t>P(6)</t>
  </si>
  <si>
    <t>Probabilitá che un valore nella normale standard sia sotto z=1,5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</si>
</sst>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2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2" borderId="0" xfId="0" applyFill="1"/>
    <xf numFmtId="13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C277-8DB2-4EF1-A33D-A0ED528F9E2B}">
  <dimension ref="A3:K57"/>
  <sheetViews>
    <sheetView tabSelected="1" topLeftCell="A34" workbookViewId="0">
      <selection activeCell="E24" sqref="E24"/>
    </sheetView>
  </sheetViews>
  <sheetFormatPr defaultRowHeight="15" x14ac:dyDescent="0.25"/>
  <cols>
    <col min="2" max="2" width="14.5703125" customWidth="1"/>
    <col min="3" max="3" width="11.7109375" bestFit="1" customWidth="1"/>
    <col min="4" max="4" width="14.5703125" bestFit="1" customWidth="1"/>
    <col min="5" max="5" width="21" bestFit="1" customWidth="1"/>
    <col min="6" max="6" width="9.85546875" bestFit="1" customWidth="1"/>
  </cols>
  <sheetData>
    <row r="3" spans="2:5" x14ac:dyDescent="0.25">
      <c r="B3" t="s">
        <v>0</v>
      </c>
    </row>
    <row r="5" spans="2:5" x14ac:dyDescent="0.25">
      <c r="B5" t="s">
        <v>4</v>
      </c>
      <c r="C5" s="1" t="s">
        <v>1</v>
      </c>
      <c r="D5" t="s">
        <v>2</v>
      </c>
      <c r="E5" t="s">
        <v>7</v>
      </c>
    </row>
    <row r="6" spans="2:5" x14ac:dyDescent="0.25">
      <c r="B6">
        <v>1</v>
      </c>
      <c r="C6" t="b">
        <f>ISEVEN(B6)</f>
        <v>0</v>
      </c>
      <c r="D6" t="b">
        <f>IF(B6&gt;4,TRUE,FALSE)</f>
        <v>0</v>
      </c>
      <c r="E6" t="b">
        <f>AND(C6,D6)</f>
        <v>0</v>
      </c>
    </row>
    <row r="7" spans="2:5" x14ac:dyDescent="0.25">
      <c r="B7">
        <v>2</v>
      </c>
      <c r="C7" t="b">
        <f t="shared" ref="C7:C11" si="0">ISEVEN(B7)</f>
        <v>1</v>
      </c>
      <c r="D7" t="b">
        <f t="shared" ref="D7:D11" si="1">IF(B7&gt;4,TRUE,FALSE)</f>
        <v>0</v>
      </c>
      <c r="E7" t="b">
        <f t="shared" ref="E7:E11" si="2">AND(C7,D7)</f>
        <v>0</v>
      </c>
    </row>
    <row r="8" spans="2:5" x14ac:dyDescent="0.25">
      <c r="B8">
        <v>3</v>
      </c>
      <c r="C8" t="b">
        <f t="shared" si="0"/>
        <v>0</v>
      </c>
      <c r="D8" t="b">
        <f t="shared" si="1"/>
        <v>0</v>
      </c>
      <c r="E8" t="b">
        <f t="shared" si="2"/>
        <v>0</v>
      </c>
    </row>
    <row r="9" spans="2:5" x14ac:dyDescent="0.25">
      <c r="B9">
        <v>4</v>
      </c>
      <c r="C9" t="b">
        <f t="shared" si="0"/>
        <v>1</v>
      </c>
      <c r="D9" t="b">
        <f t="shared" si="1"/>
        <v>0</v>
      </c>
      <c r="E9" t="b">
        <f t="shared" si="2"/>
        <v>0</v>
      </c>
    </row>
    <row r="10" spans="2:5" x14ac:dyDescent="0.25">
      <c r="B10">
        <v>5</v>
      </c>
      <c r="C10" t="b">
        <f t="shared" si="0"/>
        <v>0</v>
      </c>
      <c r="D10" t="b">
        <f t="shared" si="1"/>
        <v>1</v>
      </c>
      <c r="E10" t="b">
        <f t="shared" si="2"/>
        <v>0</v>
      </c>
    </row>
    <row r="11" spans="2:5" x14ac:dyDescent="0.25">
      <c r="B11">
        <v>6</v>
      </c>
      <c r="C11" t="b">
        <f t="shared" si="0"/>
        <v>1</v>
      </c>
      <c r="D11" t="b">
        <f t="shared" si="1"/>
        <v>1</v>
      </c>
      <c r="E11" t="b">
        <f t="shared" si="2"/>
        <v>1</v>
      </c>
    </row>
    <row r="13" spans="2:5" x14ac:dyDescent="0.25">
      <c r="B13" t="s">
        <v>5</v>
      </c>
      <c r="C13">
        <f>COUNTA(B6:B11)</f>
        <v>6</v>
      </c>
    </row>
    <row r="14" spans="2:5" x14ac:dyDescent="0.25">
      <c r="B14" t="s">
        <v>3</v>
      </c>
      <c r="C14">
        <f>COUNTIF(C6:C11,TRUE)/C13</f>
        <v>0.5</v>
      </c>
    </row>
    <row r="15" spans="2:5" x14ac:dyDescent="0.25">
      <c r="B15" t="s">
        <v>6</v>
      </c>
      <c r="C15" s="2">
        <f>COUNTIF(D6:D11,TRUE)/C13</f>
        <v>0.33333333333333331</v>
      </c>
    </row>
    <row r="16" spans="2:5" x14ac:dyDescent="0.25">
      <c r="B16" t="s">
        <v>8</v>
      </c>
      <c r="C16" s="2">
        <f>COUNTIF(E6:E11,TRUE)/C13</f>
        <v>0.16666666666666666</v>
      </c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B18" t="s">
        <v>9</v>
      </c>
      <c r="C18">
        <v>50</v>
      </c>
    </row>
    <row r="19" spans="1:11" x14ac:dyDescent="0.25">
      <c r="B19" t="s">
        <v>10</v>
      </c>
      <c r="C19">
        <v>8</v>
      </c>
    </row>
    <row r="20" spans="1:11" x14ac:dyDescent="0.25">
      <c r="G20" t="s">
        <v>13</v>
      </c>
    </row>
    <row r="21" spans="1:11" x14ac:dyDescent="0.25">
      <c r="B21" t="s">
        <v>11</v>
      </c>
      <c r="C21">
        <v>42</v>
      </c>
      <c r="D21">
        <f>(C21-C18)/C19</f>
        <v>-1</v>
      </c>
      <c r="E21" s="3">
        <f>_xlfn.NORM.S.DIST(D21,TRUE)</f>
        <v>0.15865525393145699</v>
      </c>
      <c r="G21" s="4">
        <f>E22-E21</f>
        <v>0.68268949213708607</v>
      </c>
    </row>
    <row r="22" spans="1:11" x14ac:dyDescent="0.25">
      <c r="B22" t="s">
        <v>12</v>
      </c>
      <c r="C22">
        <v>58</v>
      </c>
      <c r="D22">
        <f>(C22-C18)/C19</f>
        <v>1</v>
      </c>
      <c r="E22" s="3">
        <f>_xlfn.NORM.S.DIST(D22,TRUE)</f>
        <v>0.84134474606854304</v>
      </c>
    </row>
    <row r="23" spans="1:11" x14ac:dyDescent="0.25">
      <c r="E23" s="3"/>
    </row>
    <row r="24" spans="1:11" x14ac:dyDescent="0.25">
      <c r="B24" t="s">
        <v>14</v>
      </c>
      <c r="C24">
        <v>66</v>
      </c>
      <c r="D24">
        <f>(C24-C18)/C19</f>
        <v>2</v>
      </c>
      <c r="E24" s="3">
        <f t="shared" ref="E24" si="3">_xlfn.NORM.S.DIST(D24,TRUE)</f>
        <v>0.97724986805182079</v>
      </c>
      <c r="G24" t="s">
        <v>15</v>
      </c>
    </row>
    <row r="26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8" spans="1:11" x14ac:dyDescent="0.25">
      <c r="B28" t="s">
        <v>16</v>
      </c>
      <c r="C28">
        <v>40</v>
      </c>
    </row>
    <row r="29" spans="1:11" x14ac:dyDescent="0.25">
      <c r="B29" t="s">
        <v>17</v>
      </c>
      <c r="C29">
        <v>12</v>
      </c>
    </row>
    <row r="31" spans="1:11" x14ac:dyDescent="0.25">
      <c r="B31" t="s">
        <v>18</v>
      </c>
      <c r="C31" s="2">
        <f>C29/C28</f>
        <v>0.3</v>
      </c>
    </row>
    <row r="33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6" spans="1:11" x14ac:dyDescent="0.25">
      <c r="B36" t="s">
        <v>0</v>
      </c>
    </row>
    <row r="38" spans="1:11" x14ac:dyDescent="0.25">
      <c r="B38" t="s">
        <v>19</v>
      </c>
      <c r="C38" t="s">
        <v>20</v>
      </c>
      <c r="D38" s="1" t="s">
        <v>24</v>
      </c>
      <c r="E38" s="1" t="s">
        <v>25</v>
      </c>
      <c r="F38" t="s">
        <v>26</v>
      </c>
      <c r="G38" t="s">
        <v>27</v>
      </c>
    </row>
    <row r="39" spans="1:11" x14ac:dyDescent="0.25">
      <c r="B39">
        <v>1</v>
      </c>
      <c r="C39">
        <v>1</v>
      </c>
      <c r="D39" t="b">
        <f>ISEVEN(B39)</f>
        <v>0</v>
      </c>
      <c r="E39" t="b">
        <f>ISEVEN(C39)</f>
        <v>0</v>
      </c>
      <c r="F39" t="b">
        <f>IF(B39=6,TRUE,FALSE)</f>
        <v>0</v>
      </c>
      <c r="G39" t="b">
        <f>IF(C39=6,TRUE,FALSE)</f>
        <v>0</v>
      </c>
    </row>
    <row r="40" spans="1:11" x14ac:dyDescent="0.25">
      <c r="B40">
        <v>2</v>
      </c>
      <c r="C40">
        <v>2</v>
      </c>
      <c r="D40" t="b">
        <f>ISEVEN(B40)</f>
        <v>1</v>
      </c>
      <c r="E40" t="b">
        <f t="shared" ref="E40:E44" si="4">ISEVEN(C40)</f>
        <v>1</v>
      </c>
      <c r="F40" t="b">
        <f t="shared" ref="F40:F44" si="5">IF(B40=6,TRUE,FALSE)</f>
        <v>0</v>
      </c>
      <c r="G40" t="b">
        <f t="shared" ref="G40:G44" si="6">IF(C40=6,TRUE,FALSE)</f>
        <v>0</v>
      </c>
    </row>
    <row r="41" spans="1:11" x14ac:dyDescent="0.25">
      <c r="B41">
        <v>3</v>
      </c>
      <c r="C41">
        <v>3</v>
      </c>
      <c r="D41" t="b">
        <f>ISEVEN(B41)</f>
        <v>0</v>
      </c>
      <c r="E41" t="b">
        <f t="shared" si="4"/>
        <v>0</v>
      </c>
      <c r="F41" t="b">
        <f t="shared" si="5"/>
        <v>0</v>
      </c>
      <c r="G41" t="b">
        <f t="shared" si="6"/>
        <v>0</v>
      </c>
    </row>
    <row r="42" spans="1:11" x14ac:dyDescent="0.25">
      <c r="B42">
        <v>4</v>
      </c>
      <c r="C42">
        <v>4</v>
      </c>
      <c r="D42" t="b">
        <f>ISEVEN(B42)</f>
        <v>1</v>
      </c>
      <c r="E42" t="b">
        <f t="shared" si="4"/>
        <v>1</v>
      </c>
      <c r="F42" t="b">
        <f t="shared" si="5"/>
        <v>0</v>
      </c>
      <c r="G42" t="b">
        <f t="shared" si="6"/>
        <v>0</v>
      </c>
    </row>
    <row r="43" spans="1:11" x14ac:dyDescent="0.25">
      <c r="B43">
        <v>5</v>
      </c>
      <c r="C43">
        <v>5</v>
      </c>
      <c r="D43" t="b">
        <f>ISEVEN(B43)</f>
        <v>0</v>
      </c>
      <c r="E43" t="b">
        <f t="shared" si="4"/>
        <v>0</v>
      </c>
      <c r="F43" t="b">
        <f t="shared" si="5"/>
        <v>0</v>
      </c>
      <c r="G43" t="b">
        <f t="shared" si="6"/>
        <v>0</v>
      </c>
    </row>
    <row r="44" spans="1:11" x14ac:dyDescent="0.25">
      <c r="B44">
        <v>6</v>
      </c>
      <c r="C44">
        <v>6</v>
      </c>
      <c r="D44" t="b">
        <f>ISEVEN(B44)</f>
        <v>1</v>
      </c>
      <c r="E44" t="b">
        <f t="shared" si="4"/>
        <v>1</v>
      </c>
      <c r="F44" t="b">
        <f t="shared" si="5"/>
        <v>1</v>
      </c>
      <c r="G44" t="b">
        <f t="shared" si="6"/>
        <v>1</v>
      </c>
    </row>
    <row r="46" spans="1:11" x14ac:dyDescent="0.25">
      <c r="B46" t="s">
        <v>21</v>
      </c>
      <c r="C46">
        <f>COUNTA(B39:B44)*COUNTA(C39:C44)</f>
        <v>36</v>
      </c>
    </row>
    <row r="47" spans="1:11" x14ac:dyDescent="0.25">
      <c r="B47" t="s">
        <v>23</v>
      </c>
      <c r="C47">
        <f>COUNTIF(D39:D44,TRUE)*COUNTIF(E39:E44,TRUE)</f>
        <v>9</v>
      </c>
    </row>
    <row r="48" spans="1:11" x14ac:dyDescent="0.25">
      <c r="B48" t="s">
        <v>22</v>
      </c>
      <c r="C48" s="2">
        <f>C47/C46</f>
        <v>0.25</v>
      </c>
    </row>
    <row r="50" spans="1:11" x14ac:dyDescent="0.25">
      <c r="B50" t="s">
        <v>21</v>
      </c>
      <c r="C50">
        <f>COUNTA(B39:B44)*COUNTA(C39:C44)</f>
        <v>36</v>
      </c>
    </row>
    <row r="51" spans="1:11" x14ac:dyDescent="0.25">
      <c r="B51" t="s">
        <v>28</v>
      </c>
      <c r="C51">
        <f>COUNTIF(F39:F44,FALSE)*COUNTIF(G39:G44,FALSE)</f>
        <v>25</v>
      </c>
    </row>
    <row r="52" spans="1:11" x14ac:dyDescent="0.25">
      <c r="B52" t="s">
        <v>29</v>
      </c>
      <c r="C52" s="6">
        <f>1-(C51/C50)</f>
        <v>0.30555555555555558</v>
      </c>
    </row>
    <row r="54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6" spans="1:11" x14ac:dyDescent="0.25">
      <c r="B56" t="s">
        <v>30</v>
      </c>
    </row>
    <row r="57" spans="1:11" x14ac:dyDescent="0.25">
      <c r="B57" s="3">
        <f>_xlfn.NORM.S.DIST(1.5,TRUE)</f>
        <v>0.93319279873114191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Goiza</dc:creator>
  <cp:lastModifiedBy>Gabriele Goiza</cp:lastModifiedBy>
  <dcterms:created xsi:type="dcterms:W3CDTF">2026-07-03T14:50:44Z</dcterms:created>
  <dcterms:modified xsi:type="dcterms:W3CDTF">2026-07-07T19:13:22Z</dcterms:modified>
</cp:coreProperties>
</file>