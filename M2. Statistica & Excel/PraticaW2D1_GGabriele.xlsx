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abri\Desktop\Epicode-Dapt0326\M2. Statistica &amp; Excel\"/>
    </mc:Choice>
  </mc:AlternateContent>
  <xr:revisionPtr revIDLastSave="0" documentId="13_ncr:1_{ACDAB191-B757-43F8-909B-33403C0D8C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" i="1" l="1"/>
  <c r="H10" i="1" s="1"/>
  <c r="F8" i="1"/>
  <c r="G8" i="1"/>
  <c r="H8" i="1"/>
  <c r="H11" i="1" s="1"/>
  <c r="F7" i="1"/>
  <c r="F9" i="1" s="1"/>
  <c r="F11" i="1" s="1"/>
  <c r="G7" i="1"/>
  <c r="G9" i="1" s="1"/>
  <c r="G10" i="1" s="1"/>
  <c r="H7" i="1"/>
  <c r="E9" i="1"/>
  <c r="E11" i="1" s="1"/>
  <c r="C9" i="1"/>
  <c r="C11" i="1" s="1"/>
  <c r="D8" i="1"/>
  <c r="E8" i="1"/>
  <c r="E10" i="1" s="1"/>
  <c r="C8" i="1"/>
  <c r="D7" i="1"/>
  <c r="D9" i="1" s="1"/>
  <c r="D11" i="1" s="1"/>
  <c r="E7" i="1"/>
  <c r="C7" i="1"/>
  <c r="D10" i="1" l="1"/>
  <c r="G11" i="1"/>
  <c r="F10" i="1"/>
  <c r="C10" i="1"/>
</calcChain>
</file>

<file path=xl/sharedStrings.xml><?xml version="1.0" encoding="utf-8"?>
<sst xmlns="http://schemas.openxmlformats.org/spreadsheetml/2006/main" count="13" uniqueCount="13">
  <si>
    <t>Media</t>
  </si>
  <si>
    <t>Dev.ST</t>
  </si>
  <si>
    <t>Campione</t>
  </si>
  <si>
    <t>Confidenza</t>
  </si>
  <si>
    <t>Alfa</t>
  </si>
  <si>
    <t>Media campionaria</t>
  </si>
  <si>
    <t>Margine</t>
  </si>
  <si>
    <t>Limite inferiore</t>
  </si>
  <si>
    <t>Limite superiore</t>
  </si>
  <si>
    <t>Siamo fiduciosi al 95% che la vera media della popolazione sia compresa tra 50,04 e 53,96.</t>
  </si>
  <si>
    <r>
      <t xml:space="preserve">Aumentando il livello di confidenza, l'ampiezza dell'intervallo </t>
    </r>
    <r>
      <rPr>
        <b/>
        <sz val="11"/>
        <color theme="1"/>
        <rFont val="Calibri"/>
        <family val="2"/>
        <scheme val="minor"/>
      </rPr>
      <t>aumenta</t>
    </r>
    <r>
      <rPr>
        <sz val="11"/>
        <color theme="1"/>
        <rFont val="Calibri"/>
        <family val="2"/>
        <scheme val="minor"/>
      </rPr>
      <t>. Per essere più sicuri (99% contro 90%) di includere il vero valore della popolazione, dobbiamo necessariamente allargare la nostra "rete" di stima.</t>
    </r>
  </si>
  <si>
    <t>Il motivo risiede nella formula del margine di errore, dove la dimensione del campione si trova sotto radice quadrata al denominatore.</t>
  </si>
  <si>
    <t xml:space="preserve"> Trovandosi al denominatore, l'intero margine di errore viene diviso per 2, dimezzandosi. Aumentare la dimensione del campione aumenta la precisione della stima, riducendo l'errore.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</si>
</sst>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H18"/>
  <sheetViews>
    <sheetView tabSelected="1" workbookViewId="0">
      <selection activeCell="J9" sqref="J9"/>
    </sheetView>
  </sheetViews>
  <sheetFormatPr defaultRowHeight="15" x14ac:dyDescent="0.25"/>
  <cols>
    <col min="2" max="2" width="18.140625" bestFit="1" customWidth="1"/>
  </cols>
  <sheetData>
    <row r="3" spans="2:8" x14ac:dyDescent="0.25">
      <c r="B3" t="s">
        <v>0</v>
      </c>
      <c r="C3">
        <v>52</v>
      </c>
    </row>
    <row r="4" spans="2:8" x14ac:dyDescent="0.25">
      <c r="B4" t="s">
        <v>1</v>
      </c>
      <c r="C4">
        <v>9</v>
      </c>
      <c r="D4">
        <v>9</v>
      </c>
      <c r="E4">
        <v>9</v>
      </c>
      <c r="F4">
        <v>9</v>
      </c>
      <c r="G4">
        <v>9</v>
      </c>
      <c r="H4">
        <v>9</v>
      </c>
    </row>
    <row r="5" spans="2:8" x14ac:dyDescent="0.25">
      <c r="B5" t="s">
        <v>2</v>
      </c>
      <c r="C5">
        <v>81</v>
      </c>
      <c r="D5">
        <v>81</v>
      </c>
      <c r="E5">
        <v>81</v>
      </c>
      <c r="F5">
        <v>324</v>
      </c>
      <c r="G5">
        <v>324</v>
      </c>
      <c r="H5">
        <v>324</v>
      </c>
    </row>
    <row r="6" spans="2:8" x14ac:dyDescent="0.25">
      <c r="B6" t="s">
        <v>3</v>
      </c>
      <c r="C6" s="1">
        <v>0.95</v>
      </c>
      <c r="D6" s="1">
        <v>0.99</v>
      </c>
      <c r="E6" s="1">
        <v>0.9</v>
      </c>
      <c r="F6" s="1">
        <v>0.95</v>
      </c>
      <c r="G6" s="1">
        <v>0.99</v>
      </c>
      <c r="H6" s="1">
        <v>0.9</v>
      </c>
    </row>
    <row r="7" spans="2:8" x14ac:dyDescent="0.25">
      <c r="B7" t="s">
        <v>4</v>
      </c>
      <c r="C7" s="2">
        <f>1-C6</f>
        <v>5.0000000000000044E-2</v>
      </c>
      <c r="D7" s="2">
        <f t="shared" ref="D7:E7" si="0">1-D6</f>
        <v>1.0000000000000009E-2</v>
      </c>
      <c r="E7" s="2">
        <f t="shared" si="0"/>
        <v>9.9999999999999978E-2</v>
      </c>
      <c r="F7" s="2">
        <f t="shared" ref="F7" si="1">1-F6</f>
        <v>5.0000000000000044E-2</v>
      </c>
      <c r="G7" s="2">
        <f t="shared" ref="G7" si="2">1-G6</f>
        <v>1.0000000000000009E-2</v>
      </c>
      <c r="H7" s="2">
        <f t="shared" ref="H7" si="3">1-H6</f>
        <v>9.9999999999999978E-2</v>
      </c>
    </row>
    <row r="8" spans="2:8" x14ac:dyDescent="0.25">
      <c r="B8" t="s">
        <v>5</v>
      </c>
      <c r="C8">
        <f>$C$3</f>
        <v>52</v>
      </c>
      <c r="D8">
        <f t="shared" ref="D8:H8" si="4">$C$3</f>
        <v>52</v>
      </c>
      <c r="E8">
        <f t="shared" si="4"/>
        <v>52</v>
      </c>
      <c r="F8">
        <f t="shared" si="4"/>
        <v>52</v>
      </c>
      <c r="G8">
        <f t="shared" si="4"/>
        <v>52</v>
      </c>
      <c r="H8">
        <f t="shared" si="4"/>
        <v>52</v>
      </c>
    </row>
    <row r="9" spans="2:8" x14ac:dyDescent="0.25">
      <c r="B9" t="s">
        <v>6</v>
      </c>
      <c r="C9" s="2">
        <f>_xlfn.CONFIDENCE.NORM(C7,C4,C5)</f>
        <v>1.9599639845400536</v>
      </c>
      <c r="D9" s="2">
        <f>_xlfn.CONFIDENCE.NORM(D7,D4,D5)</f>
        <v>2.5758293035488999</v>
      </c>
      <c r="E9" s="2">
        <f>_xlfn.CONFIDENCE.NORM(E7,E4,E5)</f>
        <v>1.6448536269514715</v>
      </c>
      <c r="F9" s="2">
        <f>_xlfn.CONFIDENCE.NORM(F7,F4,F5)</f>
        <v>0.9799819922700268</v>
      </c>
      <c r="G9" s="2">
        <f>_xlfn.CONFIDENCE.NORM(G7,G4,G5)</f>
        <v>1.28791465177445</v>
      </c>
      <c r="H9" s="2">
        <f>_xlfn.CONFIDENCE.NORM(H7,H4,H5)</f>
        <v>0.82242681347573576</v>
      </c>
    </row>
    <row r="10" spans="2:8" x14ac:dyDescent="0.25">
      <c r="B10" t="s">
        <v>7</v>
      </c>
      <c r="C10" s="2">
        <f>C8-C9</f>
        <v>50.040036015459947</v>
      </c>
      <c r="D10" s="2">
        <f t="shared" ref="D10:E10" si="5">D8-D9</f>
        <v>49.4241706964511</v>
      </c>
      <c r="E10" s="2">
        <f t="shared" si="5"/>
        <v>50.355146373048527</v>
      </c>
      <c r="F10" s="2">
        <f t="shared" ref="F10" si="6">F8-F9</f>
        <v>51.020018007729973</v>
      </c>
      <c r="G10" s="2">
        <f t="shared" ref="G10" si="7">G8-G9</f>
        <v>50.71208534822555</v>
      </c>
      <c r="H10" s="2">
        <f t="shared" ref="H10" si="8">H8-H9</f>
        <v>51.177573186524263</v>
      </c>
    </row>
    <row r="11" spans="2:8" x14ac:dyDescent="0.25">
      <c r="B11" t="s">
        <v>8</v>
      </c>
      <c r="C11" s="2">
        <f>C8+C9</f>
        <v>53.959963984540053</v>
      </c>
      <c r="D11" s="2">
        <f t="shared" ref="D11:H11" si="9">D8+D9</f>
        <v>54.5758293035489</v>
      </c>
      <c r="E11" s="2">
        <f t="shared" si="9"/>
        <v>53.644853626951473</v>
      </c>
      <c r="F11" s="2">
        <f t="shared" si="9"/>
        <v>52.979981992270027</v>
      </c>
      <c r="G11" s="2">
        <f t="shared" si="9"/>
        <v>53.28791465177445</v>
      </c>
      <c r="H11" s="2">
        <f t="shared" si="9"/>
        <v>52.822426813475737</v>
      </c>
    </row>
    <row r="13" spans="2:8" x14ac:dyDescent="0.25">
      <c r="B13" t="s">
        <v>9</v>
      </c>
    </row>
    <row r="15" spans="2:8" x14ac:dyDescent="0.25">
      <c r="B15" t="s">
        <v>10</v>
      </c>
    </row>
    <row r="17" spans="2:2" x14ac:dyDescent="0.25">
      <c r="B17" t="s">
        <v>11</v>
      </c>
    </row>
    <row r="18" spans="2:2" x14ac:dyDescent="0.25">
      <c r="B18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Goiza</dc:creator>
  <cp:lastModifiedBy>Gabriele Goiza</cp:lastModifiedBy>
  <dcterms:created xsi:type="dcterms:W3CDTF">2015-06-05T18:19:34Z</dcterms:created>
  <dcterms:modified xsi:type="dcterms:W3CDTF">2026-07-07T17:27:11Z</dcterms:modified>
</cp:coreProperties>
</file>