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abri\Desktop\Epicode-Dapt0326\M2. Statistica &amp; Excel\"/>
    </mc:Choice>
  </mc:AlternateContent>
  <xr:revisionPtr revIDLastSave="0" documentId="13_ncr:1_{B538F657-31A1-4616-86CC-BC285F0D9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F10" i="1"/>
  <c r="G10" i="1"/>
  <c r="H10" i="1"/>
  <c r="I10" i="1"/>
  <c r="D10" i="1"/>
  <c r="G9" i="1"/>
  <c r="G11" i="1" s="1"/>
  <c r="H9" i="1"/>
  <c r="H11" i="1" s="1"/>
  <c r="I9" i="1"/>
  <c r="I11" i="1" s="1"/>
  <c r="E9" i="1"/>
  <c r="E11" i="1" s="1"/>
  <c r="F9" i="1"/>
  <c r="F11" i="1" s="1"/>
  <c r="D9" i="1"/>
  <c r="D11" i="1" s="1"/>
  <c r="H12" i="1" l="1"/>
  <c r="G13" i="1"/>
  <c r="I12" i="1"/>
  <c r="D13" i="1"/>
  <c r="F13" i="1"/>
  <c r="E13" i="1"/>
  <c r="I13" i="1"/>
  <c r="F12" i="1"/>
  <c r="E12" i="1"/>
  <c r="H13" i="1"/>
  <c r="G12" i="1"/>
  <c r="D12" i="1"/>
</calcChain>
</file>

<file path=xl/sharedStrings.xml><?xml version="1.0" encoding="utf-8"?>
<sst xmlns="http://schemas.openxmlformats.org/spreadsheetml/2006/main" count="13" uniqueCount="13">
  <si>
    <t>Media</t>
  </si>
  <si>
    <t>Dev.ST</t>
  </si>
  <si>
    <t>Campione</t>
  </si>
  <si>
    <t>Confidenza</t>
  </si>
  <si>
    <t>Alfa</t>
  </si>
  <si>
    <t>Media campionaria</t>
  </si>
  <si>
    <t>Margine</t>
  </si>
  <si>
    <t>Limite inferiore</t>
  </si>
  <si>
    <t>Limite superiore</t>
  </si>
  <si>
    <t>Siamo fiduciosi al 95% che la vera media della popolazione sia compresa tra 50,04 e 53,96.</t>
  </si>
  <si>
    <r>
      <t xml:space="preserve">Aumentando il livello di confidenza, l'ampiezza dell'intervallo </t>
    </r>
    <r>
      <rPr>
        <b/>
        <sz val="11"/>
        <color theme="1"/>
        <rFont val="Calibri"/>
        <family val="2"/>
        <scheme val="minor"/>
      </rPr>
      <t>aumenta</t>
    </r>
    <r>
      <rPr>
        <sz val="11"/>
        <color theme="1"/>
        <rFont val="Calibri"/>
        <family val="2"/>
        <scheme val="minor"/>
      </rPr>
      <t>. Per essere più sicuri (99% contro 90%) di includere il vero valore della popolazione, dobbiamo necessariamente allargare la nostra "rete" di stima.</t>
    </r>
  </si>
  <si>
    <t>Il motivo risiede nella formula del margine di errore, dove la dimensione del campione si trova sotto radice quadrata al denominatore.</t>
  </si>
  <si>
    <t xml:space="preserve"> Trovandosi al denominatore, l'intero margine di errore viene diviso per 2, dimezzandosi. Aumentare la dimensione del campione aumenta la precisione della stima, riducendo l'errore.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</si>
</sst>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CF20"/>
  <sheetViews>
    <sheetView tabSelected="1" workbookViewId="0">
      <selection activeCell="C4" sqref="C4"/>
    </sheetView>
  </sheetViews>
  <sheetFormatPr defaultRowHeight="15" x14ac:dyDescent="0.25"/>
  <cols>
    <col min="3" max="3" width="17.28515625" customWidth="1"/>
  </cols>
  <sheetData>
    <row r="3" spans="3:84" x14ac:dyDescent="0.25">
      <c r="C3" s="3"/>
    </row>
    <row r="4" spans="3:84" x14ac:dyDescent="0.25">
      <c r="C4" s="3"/>
      <c r="D4" s="3">
        <v>55</v>
      </c>
      <c r="E4">
        <v>49</v>
      </c>
      <c r="F4">
        <v>62</v>
      </c>
      <c r="G4">
        <v>42</v>
      </c>
      <c r="H4">
        <v>53</v>
      </c>
      <c r="I4">
        <v>61</v>
      </c>
      <c r="J4">
        <v>37</v>
      </c>
      <c r="K4">
        <v>57</v>
      </c>
      <c r="L4">
        <v>38</v>
      </c>
      <c r="M4">
        <v>42</v>
      </c>
      <c r="N4">
        <v>62</v>
      </c>
      <c r="O4">
        <v>54</v>
      </c>
      <c r="P4">
        <v>63</v>
      </c>
      <c r="Q4">
        <v>43</v>
      </c>
      <c r="R4">
        <v>59</v>
      </c>
      <c r="S4">
        <v>51</v>
      </c>
      <c r="T4">
        <v>61</v>
      </c>
      <c r="U4">
        <v>43</v>
      </c>
      <c r="V4">
        <v>55</v>
      </c>
      <c r="W4">
        <v>58</v>
      </c>
      <c r="X4">
        <v>66</v>
      </c>
      <c r="Y4">
        <v>39</v>
      </c>
      <c r="Z4">
        <v>45</v>
      </c>
      <c r="AA4">
        <v>54</v>
      </c>
      <c r="AB4">
        <v>64</v>
      </c>
      <c r="AC4">
        <v>50</v>
      </c>
      <c r="AD4">
        <v>62</v>
      </c>
      <c r="AE4">
        <v>40</v>
      </c>
      <c r="AF4">
        <v>52</v>
      </c>
      <c r="AG4">
        <v>43</v>
      </c>
      <c r="AH4">
        <v>55</v>
      </c>
      <c r="AI4">
        <v>50</v>
      </c>
      <c r="AJ4">
        <v>57</v>
      </c>
      <c r="AK4">
        <v>47</v>
      </c>
      <c r="AL4">
        <v>50</v>
      </c>
      <c r="AM4">
        <v>49</v>
      </c>
      <c r="AN4">
        <v>55</v>
      </c>
      <c r="AO4">
        <v>48</v>
      </c>
      <c r="AP4">
        <v>49</v>
      </c>
      <c r="AQ4">
        <v>61</v>
      </c>
      <c r="AR4">
        <v>52</v>
      </c>
      <c r="AS4">
        <v>45</v>
      </c>
      <c r="AT4">
        <v>42</v>
      </c>
      <c r="AU4">
        <v>62</v>
      </c>
      <c r="AV4">
        <v>42</v>
      </c>
      <c r="AW4">
        <v>41</v>
      </c>
      <c r="AX4">
        <v>67</v>
      </c>
      <c r="AY4">
        <v>37</v>
      </c>
      <c r="AZ4">
        <v>47</v>
      </c>
      <c r="BA4">
        <v>66</v>
      </c>
      <c r="BB4">
        <v>50</v>
      </c>
      <c r="BC4">
        <v>54</v>
      </c>
      <c r="BD4">
        <v>47</v>
      </c>
      <c r="BE4">
        <v>50</v>
      </c>
      <c r="BF4">
        <v>42</v>
      </c>
      <c r="BG4">
        <v>57</v>
      </c>
      <c r="BH4">
        <v>49</v>
      </c>
      <c r="BI4">
        <v>62</v>
      </c>
      <c r="BJ4">
        <v>54</v>
      </c>
      <c r="BK4">
        <v>64</v>
      </c>
      <c r="BL4">
        <v>41</v>
      </c>
      <c r="BM4">
        <v>65</v>
      </c>
      <c r="BN4">
        <v>39</v>
      </c>
      <c r="BO4">
        <v>50</v>
      </c>
      <c r="BP4">
        <v>67</v>
      </c>
      <c r="BQ4">
        <v>42</v>
      </c>
      <c r="BR4">
        <v>54</v>
      </c>
      <c r="BS4">
        <v>49</v>
      </c>
      <c r="BT4">
        <v>54</v>
      </c>
      <c r="BU4">
        <v>49</v>
      </c>
      <c r="BV4">
        <v>52</v>
      </c>
      <c r="BW4">
        <v>55</v>
      </c>
      <c r="BX4">
        <v>49</v>
      </c>
      <c r="BY4">
        <v>63</v>
      </c>
      <c r="BZ4">
        <v>48</v>
      </c>
      <c r="CA4">
        <v>49</v>
      </c>
      <c r="CB4">
        <v>55</v>
      </c>
      <c r="CC4">
        <v>67</v>
      </c>
      <c r="CD4">
        <v>37</v>
      </c>
      <c r="CE4">
        <v>45</v>
      </c>
      <c r="CF4">
        <v>59</v>
      </c>
    </row>
    <row r="5" spans="3:84" x14ac:dyDescent="0.25">
      <c r="C5" t="s">
        <v>0</v>
      </c>
      <c r="D5">
        <v>52</v>
      </c>
    </row>
    <row r="6" spans="3:84" x14ac:dyDescent="0.25">
      <c r="C6" t="s">
        <v>1</v>
      </c>
      <c r="D6">
        <v>9</v>
      </c>
      <c r="E6">
        <v>9</v>
      </c>
      <c r="F6">
        <v>9</v>
      </c>
      <c r="G6">
        <v>9</v>
      </c>
      <c r="H6">
        <v>9</v>
      </c>
      <c r="I6">
        <v>9</v>
      </c>
    </row>
    <row r="7" spans="3:84" x14ac:dyDescent="0.25">
      <c r="C7" t="s">
        <v>2</v>
      </c>
      <c r="D7">
        <v>81</v>
      </c>
      <c r="E7">
        <v>81</v>
      </c>
      <c r="F7">
        <v>81</v>
      </c>
      <c r="G7">
        <v>324</v>
      </c>
      <c r="H7">
        <v>324</v>
      </c>
      <c r="I7">
        <v>324</v>
      </c>
    </row>
    <row r="8" spans="3:84" x14ac:dyDescent="0.25">
      <c r="C8" t="s">
        <v>3</v>
      </c>
      <c r="D8" s="1">
        <v>0.95</v>
      </c>
      <c r="E8" s="1">
        <v>0.99</v>
      </c>
      <c r="F8" s="1">
        <v>0.9</v>
      </c>
      <c r="G8" s="1">
        <v>0.95</v>
      </c>
      <c r="H8" s="1">
        <v>0.99</v>
      </c>
      <c r="I8" s="1">
        <v>0.9</v>
      </c>
    </row>
    <row r="9" spans="3:84" x14ac:dyDescent="0.25">
      <c r="C9" t="s">
        <v>4</v>
      </c>
      <c r="D9" s="2">
        <f>1-D8</f>
        <v>5.0000000000000044E-2</v>
      </c>
      <c r="E9" s="2">
        <f t="shared" ref="E9:F9" si="0">1-E8</f>
        <v>1.0000000000000009E-2</v>
      </c>
      <c r="F9" s="2">
        <f t="shared" si="0"/>
        <v>9.9999999999999978E-2</v>
      </c>
      <c r="G9" s="2">
        <f t="shared" ref="G9" si="1">1-G8</f>
        <v>5.0000000000000044E-2</v>
      </c>
      <c r="H9" s="2">
        <f t="shared" ref="H9" si="2">1-H8</f>
        <v>1.0000000000000009E-2</v>
      </c>
      <c r="I9" s="2">
        <f t="shared" ref="I9" si="3">1-I8</f>
        <v>9.9999999999999978E-2</v>
      </c>
    </row>
    <row r="10" spans="3:84" x14ac:dyDescent="0.25">
      <c r="C10" t="s">
        <v>5</v>
      </c>
      <c r="D10">
        <f>AVERAGE(4:4)</f>
        <v>51.851851851851855</v>
      </c>
      <c r="E10">
        <f>AVERAGE(4:4)</f>
        <v>51.851851851851855</v>
      </c>
      <c r="F10">
        <f>AVERAGE(4:4)</f>
        <v>51.851851851851855</v>
      </c>
      <c r="G10">
        <f>AVERAGE(4:4)</f>
        <v>51.851851851851855</v>
      </c>
      <c r="H10">
        <f>AVERAGE(4:4)</f>
        <v>51.851851851851855</v>
      </c>
      <c r="I10">
        <f>AVERAGE(4:4)</f>
        <v>51.851851851851855</v>
      </c>
    </row>
    <row r="11" spans="3:84" x14ac:dyDescent="0.25">
      <c r="C11" t="s">
        <v>6</v>
      </c>
      <c r="D11" s="2">
        <f t="shared" ref="D11:I11" si="4">_xlfn.CONFIDENCE.NORM(D9,D6,D7)</f>
        <v>1.9599639845400536</v>
      </c>
      <c r="E11" s="2">
        <f t="shared" si="4"/>
        <v>2.5758293035488999</v>
      </c>
      <c r="F11" s="2">
        <f t="shared" si="4"/>
        <v>1.6448536269514715</v>
      </c>
      <c r="G11" s="2">
        <f t="shared" si="4"/>
        <v>0.9799819922700268</v>
      </c>
      <c r="H11" s="2">
        <f t="shared" si="4"/>
        <v>1.28791465177445</v>
      </c>
      <c r="I11" s="2">
        <f t="shared" si="4"/>
        <v>0.82242681347573576</v>
      </c>
    </row>
    <row r="12" spans="3:84" x14ac:dyDescent="0.25">
      <c r="C12" t="s">
        <v>7</v>
      </c>
      <c r="D12" s="2">
        <f>D10-D11</f>
        <v>49.891887867311802</v>
      </c>
      <c r="E12" s="2">
        <f t="shared" ref="E12:F12" si="5">E10-E11</f>
        <v>49.276022548302954</v>
      </c>
      <c r="F12" s="2">
        <f t="shared" si="5"/>
        <v>50.206998224900381</v>
      </c>
      <c r="G12" s="2">
        <f t="shared" ref="G12" si="6">G10-G11</f>
        <v>50.871869859581828</v>
      </c>
      <c r="H12" s="2">
        <f t="shared" ref="H12" si="7">H10-H11</f>
        <v>50.563937200077405</v>
      </c>
      <c r="I12" s="2">
        <f t="shared" ref="I12" si="8">I10-I11</f>
        <v>51.029425038376118</v>
      </c>
    </row>
    <row r="13" spans="3:84" x14ac:dyDescent="0.25">
      <c r="C13" t="s">
        <v>8</v>
      </c>
      <c r="D13" s="2">
        <f>D10+D11</f>
        <v>53.811815836391908</v>
      </c>
      <c r="E13" s="2">
        <f t="shared" ref="E13:I13" si="9">E10+E11</f>
        <v>54.427681155400755</v>
      </c>
      <c r="F13" s="2">
        <f t="shared" si="9"/>
        <v>53.496705478803328</v>
      </c>
      <c r="G13" s="2">
        <f t="shared" si="9"/>
        <v>52.831833844121881</v>
      </c>
      <c r="H13" s="2">
        <f t="shared" si="9"/>
        <v>53.139766503626305</v>
      </c>
      <c r="I13" s="2">
        <f t="shared" si="9"/>
        <v>52.674278665327591</v>
      </c>
    </row>
    <row r="15" spans="3:84" x14ac:dyDescent="0.25">
      <c r="C15" t="s">
        <v>9</v>
      </c>
    </row>
    <row r="17" spans="3:3" x14ac:dyDescent="0.25">
      <c r="C17" t="s">
        <v>10</v>
      </c>
    </row>
    <row r="19" spans="3:3" x14ac:dyDescent="0.25">
      <c r="C19" t="s">
        <v>11</v>
      </c>
    </row>
    <row r="20" spans="3:3" x14ac:dyDescent="0.25">
      <c r="C2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Goiza</dc:creator>
  <cp:lastModifiedBy>Gabriele Goiza</cp:lastModifiedBy>
  <dcterms:created xsi:type="dcterms:W3CDTF">2015-06-05T18:19:34Z</dcterms:created>
  <dcterms:modified xsi:type="dcterms:W3CDTF">2026-07-07T19:13:02Z</dcterms:modified>
</cp:coreProperties>
</file>