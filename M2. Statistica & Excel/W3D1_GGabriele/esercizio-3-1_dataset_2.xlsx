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gabri\Desktop\Epicode-Dapt0326\M2. Statistica &amp; Excel\Esercizi M2-3-1\"/>
    </mc:Choice>
  </mc:AlternateContent>
  <xr:revisionPtr revIDLastSave="0" documentId="13_ncr:1_{0230C7E1-8E21-4D88-B355-0A109FEC8DB1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Parcheggio" sheetId="1" r:id="rId1"/>
    <sheet name="Frut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2" l="1" a="1"/>
  <c r="E3" i="2" s="1"/>
  <c r="E4" i="2" a="1"/>
  <c r="E4" i="2" s="1"/>
  <c r="E5" i="2" a="1"/>
  <c r="E5" i="2" s="1"/>
  <c r="E6" i="2" a="1"/>
  <c r="E6" i="2" s="1"/>
  <c r="E7" i="2" a="1"/>
  <c r="E7" i="2" s="1"/>
  <c r="E8" i="2" a="1"/>
  <c r="E8" i="2" s="1"/>
  <c r="E10" i="2" a="1"/>
  <c r="E10" i="2" s="1"/>
  <c r="E11" i="2" a="1"/>
  <c r="E11" i="2" s="1"/>
  <c r="E12" i="2" a="1"/>
  <c r="E12" i="2" s="1"/>
  <c r="E14" i="2" a="1"/>
  <c r="E14" i="2" s="1"/>
  <c r="E15" i="2" a="1"/>
  <c r="E15" i="2" s="1"/>
  <c r="E16" i="2" a="1"/>
  <c r="E16" i="2" s="1"/>
  <c r="E18" i="2" a="1"/>
  <c r="E18" i="2" s="1"/>
  <c r="E19" i="2" a="1"/>
  <c r="E19" i="2" s="1"/>
  <c r="E21" i="2" a="1"/>
  <c r="E21" i="2" s="1"/>
  <c r="E22" i="2" a="1"/>
  <c r="E22" i="2" s="1"/>
  <c r="E23" i="2" a="1"/>
  <c r="E23" i="2" s="1"/>
  <c r="E24" i="2" a="1"/>
  <c r="E24" i="2" s="1"/>
  <c r="E26" i="2" a="1"/>
  <c r="E26" i="2" s="1"/>
  <c r="E27" i="2" a="1"/>
  <c r="E27" i="2" s="1"/>
  <c r="E28" i="2" a="1"/>
  <c r="E28" i="2" s="1"/>
  <c r="E29" i="2" a="1"/>
  <c r="E29" i="2" s="1"/>
  <c r="E30" i="2" a="1"/>
  <c r="E30" i="2" s="1"/>
  <c r="E31" i="2" a="1"/>
  <c r="E31" i="2" s="1"/>
  <c r="E33" i="2" a="1"/>
  <c r="E33" i="2" s="1"/>
  <c r="E34" i="2" a="1"/>
  <c r="E34" i="2" s="1"/>
  <c r="E35" i="2" a="1"/>
  <c r="E35" i="2" s="1"/>
  <c r="E36" i="2" a="1"/>
  <c r="E36" i="2" s="1"/>
  <c r="E38" i="2" a="1"/>
  <c r="E38" i="2" s="1"/>
  <c r="E39" i="2" a="1"/>
  <c r="E39" i="2" s="1"/>
  <c r="E40" i="2" a="1"/>
  <c r="E40" i="2" s="1"/>
  <c r="E41" i="2" a="1"/>
  <c r="E41" i="2" s="1"/>
  <c r="E42" i="2" a="1"/>
  <c r="E42" i="2" s="1"/>
  <c r="E43" i="2" a="1"/>
  <c r="E43" i="2" s="1"/>
  <c r="E44" i="2" a="1"/>
  <c r="E44" i="2" s="1"/>
  <c r="E45" i="2" a="1"/>
  <c r="E45" i="2" s="1"/>
  <c r="D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B50" i="2" a="1"/>
  <c r="B50" i="2" s="1"/>
  <c r="C50" i="2" s="1"/>
  <c r="E32" i="2" l="1" a="1"/>
  <c r="E32" i="2" s="1"/>
  <c r="E9" i="2" a="1"/>
  <c r="E9" i="2" s="1"/>
  <c r="E2" i="2" a="1"/>
  <c r="E2" i="2" s="1"/>
  <c r="C54" i="2"/>
  <c r="E25" i="2" s="1" a="1"/>
  <c r="E25" i="2" s="1"/>
  <c r="C53" i="2"/>
  <c r="E17" i="2" s="1" a="1"/>
  <c r="E17" i="2" s="1"/>
  <c r="C52" i="2"/>
  <c r="E13" i="2" s="1" a="1"/>
  <c r="E13" i="2" s="1"/>
  <c r="C51" i="2"/>
  <c r="E46" i="2" s="1" a="1"/>
  <c r="E46" i="2" s="1"/>
  <c r="E20" i="2" l="1" a="1"/>
  <c r="E20" i="2" s="1"/>
  <c r="E47" i="2" a="1"/>
  <c r="E47" i="2" s="1"/>
  <c r="E37" i="2" a="1"/>
  <c r="E37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<sst xmlns="http://schemas.openxmlformats.org/spreadsheetml/2006/main" count="257" uniqueCount="134">
  <si>
    <t>TARGA</t>
  </si>
  <si>
    <t>ORE PARCHEGGIATE</t>
  </si>
  <si>
    <t>TIPOLOGIA VEICOLO</t>
  </si>
  <si>
    <t>COSTO</t>
  </si>
  <si>
    <t>AC234DF</t>
  </si>
  <si>
    <t>1.5</t>
  </si>
  <si>
    <t>LM789GH</t>
  </si>
  <si>
    <t>2.5</t>
  </si>
  <si>
    <t>PQ456IJ</t>
  </si>
  <si>
    <t>3.5</t>
  </si>
  <si>
    <t>UV123KL</t>
  </si>
  <si>
    <t>4.5</t>
  </si>
  <si>
    <t>WX789MN</t>
  </si>
  <si>
    <t>5.5</t>
  </si>
  <si>
    <t>YZ012OP</t>
  </si>
  <si>
    <t>6.5</t>
  </si>
  <si>
    <t>AB345QR</t>
  </si>
  <si>
    <t>7.5</t>
  </si>
  <si>
    <t>CD678ST</t>
  </si>
  <si>
    <t>8.5</t>
  </si>
  <si>
    <t>EF901UV</t>
  </si>
  <si>
    <t>9.5</t>
  </si>
  <si>
    <t>GH234WX</t>
  </si>
  <si>
    <t>10.0</t>
  </si>
  <si>
    <t>IJ567YZ</t>
  </si>
  <si>
    <t>0.5</t>
  </si>
  <si>
    <t>KL890AB</t>
  </si>
  <si>
    <t>1.0</t>
  </si>
  <si>
    <t>MN123CD</t>
  </si>
  <si>
    <t>2.0</t>
  </si>
  <si>
    <t>OP456EF</t>
  </si>
  <si>
    <t>3.0</t>
  </si>
  <si>
    <t>QR789GH</t>
  </si>
  <si>
    <t>4.0</t>
  </si>
  <si>
    <t>ST012IJ</t>
  </si>
  <si>
    <t>5.0</t>
  </si>
  <si>
    <t>UV345KL</t>
  </si>
  <si>
    <t>6.0</t>
  </si>
  <si>
    <t>WX678MN</t>
  </si>
  <si>
    <t>7.0</t>
  </si>
  <si>
    <t>YZ901OP</t>
  </si>
  <si>
    <t>8.0</t>
  </si>
  <si>
    <t>AB234QR</t>
  </si>
  <si>
    <t>9.0</t>
  </si>
  <si>
    <t>CD567ST</t>
  </si>
  <si>
    <t>EF890UV</t>
  </si>
  <si>
    <t>GH123WX</t>
  </si>
  <si>
    <t>IJ456YZ</t>
  </si>
  <si>
    <t>KL789AB</t>
  </si>
  <si>
    <t>MN012CD</t>
  </si>
  <si>
    <t>OP345EF</t>
  </si>
  <si>
    <t>QR678GH</t>
  </si>
  <si>
    <t>ST901IJ</t>
  </si>
  <si>
    <t>UV234KL</t>
  </si>
  <si>
    <t>WX567MN</t>
  </si>
  <si>
    <t>YZ890OP</t>
  </si>
  <si>
    <t>AB123QR</t>
  </si>
  <si>
    <t>CD456ST</t>
  </si>
  <si>
    <t>EF789UV</t>
  </si>
  <si>
    <t>GH012WX</t>
  </si>
  <si>
    <t>IJ345YZ</t>
  </si>
  <si>
    <t>KL678AB</t>
  </si>
  <si>
    <t>MN901CD</t>
  </si>
  <si>
    <t>OP234EF</t>
  </si>
  <si>
    <t>QR567GH</t>
  </si>
  <si>
    <t>ST890IJ</t>
  </si>
  <si>
    <t>WX456MN</t>
  </si>
  <si>
    <t>YZ789OP</t>
  </si>
  <si>
    <t>AB012QR</t>
  </si>
  <si>
    <t>CD345ST</t>
  </si>
  <si>
    <t>EF678UV</t>
  </si>
  <si>
    <t>GH901WX</t>
  </si>
  <si>
    <t>IJ234YZ</t>
  </si>
  <si>
    <t>KL567AB</t>
  </si>
  <si>
    <t>MN890CD</t>
  </si>
  <si>
    <t>OP123EF</t>
  </si>
  <si>
    <t>QR456GH</t>
  </si>
  <si>
    <t>ST789IJ</t>
  </si>
  <si>
    <t>UV012KL</t>
  </si>
  <si>
    <t>WX345MN</t>
  </si>
  <si>
    <t>YZ678OP</t>
  </si>
  <si>
    <t>AB901QR</t>
  </si>
  <si>
    <t>CD234ST</t>
  </si>
  <si>
    <t>EF567UV</t>
  </si>
  <si>
    <t>GH890WX</t>
  </si>
  <si>
    <t>IJ123YZ</t>
  </si>
  <si>
    <t>KL456AB</t>
  </si>
  <si>
    <t>MN789CD</t>
  </si>
  <si>
    <t>OP012EF</t>
  </si>
  <si>
    <t>QR345GH</t>
  </si>
  <si>
    <t>ST678IJ</t>
  </si>
  <si>
    <t>UV890KL</t>
  </si>
  <si>
    <t>WX123MN</t>
  </si>
  <si>
    <t>YZ456OP</t>
  </si>
  <si>
    <t>AB789QR</t>
  </si>
  <si>
    <t>CD012ST</t>
  </si>
  <si>
    <t>EF345UV</t>
  </si>
  <si>
    <t>GH678WX</t>
  </si>
  <si>
    <t>IJ901YZ</t>
  </si>
  <si>
    <t>KL234AB</t>
  </si>
  <si>
    <t>MN567CD</t>
  </si>
  <si>
    <t>OP890EF</t>
  </si>
  <si>
    <t>QR123GH</t>
  </si>
  <si>
    <t>ST456IJ</t>
  </si>
  <si>
    <t>UV789KL</t>
  </si>
  <si>
    <t>WX012MN</t>
  </si>
  <si>
    <t>YZ345OP</t>
  </si>
  <si>
    <t>AB678QR</t>
  </si>
  <si>
    <t>CD901ST</t>
  </si>
  <si>
    <t>EF234UV</t>
  </si>
  <si>
    <t>GH567WX</t>
  </si>
  <si>
    <t>IJ890YZ</t>
  </si>
  <si>
    <t>KL123AB</t>
  </si>
  <si>
    <t>MN456CD</t>
  </si>
  <si>
    <t>OP789EF</t>
  </si>
  <si>
    <t>QR012GH</t>
  </si>
  <si>
    <t>ST345IJ</t>
  </si>
  <si>
    <t>UV678KL</t>
  </si>
  <si>
    <t>WX901MN</t>
  </si>
  <si>
    <t>YZ234OP</t>
  </si>
  <si>
    <t>AB567QR</t>
  </si>
  <si>
    <t>CD890ST</t>
  </si>
  <si>
    <t>EF123UV</t>
  </si>
  <si>
    <t>FRUTTA</t>
  </si>
  <si>
    <t>PESO</t>
  </si>
  <si>
    <t>Mela</t>
  </si>
  <si>
    <t>Banana</t>
  </si>
  <si>
    <t>Arancia</t>
  </si>
  <si>
    <t>Pera</t>
  </si>
  <si>
    <t>Uva</t>
  </si>
  <si>
    <t>Frutti univoci</t>
  </si>
  <si>
    <t xml:space="preserve">Costo al kg </t>
  </si>
  <si>
    <t>Media con i dati in possesso</t>
  </si>
  <si>
    <t>Costo stimato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</si>
</sst>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6" formatCode="#,##0.00\ &quot;€&quot;"/>
    <numFmt numFmtId="167" formatCode="_-* #,##0.00\ [$€-410]_-;\-* #,##0.00\ [$€-410]_-;_-* &quot;-&quot;??\ [$€-410]_-;_-@_-"/>
  </numFmts>
  <fonts count="4" x14ac:knownFonts="1">
    <font>
      <sz val="10"/>
      <color rgb="FF000000"/>
      <name val="Arial"/>
      <scheme val="minor"/>
    </font>
    <font>
      <b/>
      <sz val="11"/>
      <color theme="1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6" fontId="1" fillId="0" borderId="0" xfId="0" applyNumberFormat="1" applyFont="1"/>
    <xf numFmtId="166" fontId="0" fillId="0" borderId="0" xfId="0" applyNumberFormat="1"/>
    <xf numFmtId="166" fontId="2" fillId="0" borderId="0" xfId="0" applyNumberFormat="1" applyFont="1"/>
    <xf numFmtId="167" fontId="0" fillId="0" borderId="0" xfId="1" applyNumberFormat="1" applyFont="1"/>
    <xf numFmtId="167" fontId="2" fillId="0" borderId="0" xfId="1" applyNumberFormat="1" applyFont="1"/>
  </cellXfs>
  <cellStyles count="2">
    <cellStyle name="Normale" xfId="0" builtinId="0"/>
    <cellStyle name="Valuta" xfId="1" builtinId="4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6" formatCode="#,##0.00\ &quot;€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7" formatCode="_-* #,##0.00\ [$€-410]_-;\-* #,##0.00\ [$€-410]_-;_-* &quot;-&quot;??\ [$€-410]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99D751-B9E1-457B-BDBB-25E4CBEBA046}" name="frutta" displayName="frutta" ref="A1:E47" totalsRowShown="0" headerRowDxfId="4" dataDxfId="5">
  <autoFilter ref="A1:E47" xr:uid="{B199D751-B9E1-457B-BDBB-25E4CBEBA046}">
    <filterColumn colId="0">
      <filters>
        <filter val="Banana"/>
      </filters>
    </filterColumn>
  </autoFilter>
  <tableColumns count="5">
    <tableColumn id="1" xr3:uid="{234B7AF0-F4F7-40CA-8466-ECBB9DE62019}" name="FRUTTA" dataDxfId="6"/>
    <tableColumn id="2" xr3:uid="{F8383C70-7B88-4631-B45E-14A76F142D1A}" name="PESO" dataDxfId="3"/>
    <tableColumn id="3" xr3:uid="{1BFC6BF9-A895-479A-B4AD-7DCAB05D1481}" name="COSTO" dataDxfId="2" dataCellStyle="Valuta"/>
    <tableColumn id="4" xr3:uid="{793E0FAF-3A47-4535-A9F5-913B7368503A}" name="Costo al kg " dataDxfId="1">
      <calculatedColumnFormula>IF(ISBLANK(frutta[[#This Row],[COSTO]]),"",frutta[[#This Row],[COSTO]]/frutta[[#This Row],[PESO]])</calculatedColumnFormula>
    </tableColumn>
    <tableColumn id="5" xr3:uid="{6A6ABDD5-4146-4318-81AF-FD1449E689F8}" name="Costo stimato" dataDxfId="0">
      <calculatedColumnFormula array="1">IF(ISBLANK(frutta[[#This Row],[COSTO]]),frutta[[#This Row],[PESO]]*_xlfn.XLOOKUP(frutta[[#This Row],[FRUTTA]],_xlfn.ANCHORARRAY($B$50),$C$50:$C$54),frutta[[#This Row],[COSTO]])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1"/>
  <sheetViews>
    <sheetView workbookViewId="0"/>
  </sheetViews>
  <sheetFormatPr defaultColWidth="12.5703125" defaultRowHeight="15.75" customHeight="1" x14ac:dyDescent="0.2"/>
  <cols>
    <col min="2" max="2" width="25.42578125" customWidth="1"/>
    <col min="3" max="3" width="20.140625" customWidth="1"/>
    <col min="4" max="4" width="22.7109375" customWidth="1"/>
  </cols>
  <sheetData>
    <row r="1" spans="1:26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">
      <c r="A2" s="2" t="s">
        <v>4</v>
      </c>
      <c r="B2" s="2" t="s">
        <v>5</v>
      </c>
    </row>
    <row r="3" spans="1:26" x14ac:dyDescent="0.2">
      <c r="A3" s="2" t="s">
        <v>6</v>
      </c>
      <c r="B3" s="2" t="s">
        <v>7</v>
      </c>
    </row>
    <row r="4" spans="1:26" x14ac:dyDescent="0.2">
      <c r="A4" s="2" t="s">
        <v>8</v>
      </c>
      <c r="B4" s="2" t="s">
        <v>9</v>
      </c>
    </row>
    <row r="5" spans="1:26" x14ac:dyDescent="0.2">
      <c r="A5" s="2" t="s">
        <v>10</v>
      </c>
      <c r="B5" s="2" t="s">
        <v>11</v>
      </c>
    </row>
    <row r="6" spans="1:26" x14ac:dyDescent="0.2">
      <c r="A6" s="2" t="s">
        <v>12</v>
      </c>
      <c r="B6" s="2" t="s">
        <v>13</v>
      </c>
    </row>
    <row r="7" spans="1:26" x14ac:dyDescent="0.2">
      <c r="A7" s="2" t="s">
        <v>14</v>
      </c>
      <c r="B7" s="2" t="s">
        <v>15</v>
      </c>
    </row>
    <row r="8" spans="1:26" x14ac:dyDescent="0.2">
      <c r="A8" s="2" t="s">
        <v>16</v>
      </c>
      <c r="B8" s="2" t="s">
        <v>17</v>
      </c>
    </row>
    <row r="9" spans="1:26" x14ac:dyDescent="0.2">
      <c r="A9" s="2" t="s">
        <v>18</v>
      </c>
      <c r="B9" s="2" t="s">
        <v>19</v>
      </c>
    </row>
    <row r="10" spans="1:26" x14ac:dyDescent="0.2">
      <c r="A10" s="2" t="s">
        <v>20</v>
      </c>
      <c r="B10" s="2" t="s">
        <v>21</v>
      </c>
    </row>
    <row r="11" spans="1:26" x14ac:dyDescent="0.2">
      <c r="A11" s="2" t="s">
        <v>22</v>
      </c>
      <c r="B11" s="2" t="s">
        <v>23</v>
      </c>
    </row>
    <row r="12" spans="1:26" x14ac:dyDescent="0.2">
      <c r="A12" s="2" t="s">
        <v>24</v>
      </c>
      <c r="B12" s="2" t="s">
        <v>25</v>
      </c>
    </row>
    <row r="13" spans="1:26" x14ac:dyDescent="0.2">
      <c r="A13" s="2" t="s">
        <v>26</v>
      </c>
      <c r="B13" s="2" t="s">
        <v>27</v>
      </c>
    </row>
    <row r="14" spans="1:26" x14ac:dyDescent="0.2">
      <c r="A14" s="2" t="s">
        <v>28</v>
      </c>
      <c r="B14" s="2" t="s">
        <v>29</v>
      </c>
    </row>
    <row r="15" spans="1:26" x14ac:dyDescent="0.2">
      <c r="A15" s="2" t="s">
        <v>30</v>
      </c>
      <c r="B15" s="2" t="s">
        <v>31</v>
      </c>
    </row>
    <row r="16" spans="1:26" x14ac:dyDescent="0.2">
      <c r="A16" s="2" t="s">
        <v>32</v>
      </c>
      <c r="B16" s="2" t="s">
        <v>33</v>
      </c>
    </row>
    <row r="17" spans="1:2" x14ac:dyDescent="0.2">
      <c r="A17" s="2" t="s">
        <v>34</v>
      </c>
      <c r="B17" s="2" t="s">
        <v>35</v>
      </c>
    </row>
    <row r="18" spans="1:2" x14ac:dyDescent="0.2">
      <c r="A18" s="2" t="s">
        <v>36</v>
      </c>
      <c r="B18" s="2" t="s">
        <v>37</v>
      </c>
    </row>
    <row r="19" spans="1:2" x14ac:dyDescent="0.2">
      <c r="A19" s="2" t="s">
        <v>38</v>
      </c>
      <c r="B19" s="2" t="s">
        <v>39</v>
      </c>
    </row>
    <row r="20" spans="1:2" x14ac:dyDescent="0.2">
      <c r="A20" s="2" t="s">
        <v>40</v>
      </c>
      <c r="B20" s="2" t="s">
        <v>41</v>
      </c>
    </row>
    <row r="21" spans="1:2" ht="12.75" x14ac:dyDescent="0.2">
      <c r="A21" s="2" t="s">
        <v>42</v>
      </c>
      <c r="B21" s="2" t="s">
        <v>43</v>
      </c>
    </row>
    <row r="22" spans="1:2" ht="12.75" x14ac:dyDescent="0.2">
      <c r="A22" s="2" t="s">
        <v>44</v>
      </c>
      <c r="B22" s="2" t="s">
        <v>23</v>
      </c>
    </row>
    <row r="23" spans="1:2" ht="12.75" x14ac:dyDescent="0.2">
      <c r="A23" s="2" t="s">
        <v>45</v>
      </c>
      <c r="B23" s="2" t="s">
        <v>25</v>
      </c>
    </row>
    <row r="24" spans="1:2" ht="12.75" x14ac:dyDescent="0.2">
      <c r="A24" s="2" t="s">
        <v>46</v>
      </c>
      <c r="B24" s="2" t="s">
        <v>27</v>
      </c>
    </row>
    <row r="25" spans="1:2" ht="12.75" x14ac:dyDescent="0.2">
      <c r="A25" s="2" t="s">
        <v>47</v>
      </c>
      <c r="B25" s="2" t="s">
        <v>29</v>
      </c>
    </row>
    <row r="26" spans="1:2" ht="12.75" x14ac:dyDescent="0.2">
      <c r="A26" s="2" t="s">
        <v>48</v>
      </c>
      <c r="B26" s="2" t="s">
        <v>31</v>
      </c>
    </row>
    <row r="27" spans="1:2" ht="12.75" x14ac:dyDescent="0.2">
      <c r="A27" s="2" t="s">
        <v>49</v>
      </c>
      <c r="B27" s="2" t="s">
        <v>33</v>
      </c>
    </row>
    <row r="28" spans="1:2" ht="12.75" x14ac:dyDescent="0.2">
      <c r="A28" s="2" t="s">
        <v>50</v>
      </c>
      <c r="B28" s="2" t="s">
        <v>35</v>
      </c>
    </row>
    <row r="29" spans="1:2" ht="12.75" x14ac:dyDescent="0.2">
      <c r="A29" s="2" t="s">
        <v>51</v>
      </c>
      <c r="B29" s="2" t="s">
        <v>37</v>
      </c>
    </row>
    <row r="30" spans="1:2" ht="12.75" x14ac:dyDescent="0.2">
      <c r="A30" s="2" t="s">
        <v>52</v>
      </c>
      <c r="B30" s="2" t="s">
        <v>39</v>
      </c>
    </row>
    <row r="31" spans="1:2" ht="12.75" x14ac:dyDescent="0.2">
      <c r="A31" s="2" t="s">
        <v>53</v>
      </c>
      <c r="B31" s="2" t="s">
        <v>41</v>
      </c>
    </row>
    <row r="32" spans="1:2" ht="12.75" x14ac:dyDescent="0.2">
      <c r="A32" s="2" t="s">
        <v>54</v>
      </c>
      <c r="B32" s="2" t="s">
        <v>43</v>
      </c>
    </row>
    <row r="33" spans="1:2" ht="12.75" x14ac:dyDescent="0.2">
      <c r="A33" s="2" t="s">
        <v>55</v>
      </c>
      <c r="B33" s="2" t="s">
        <v>23</v>
      </c>
    </row>
    <row r="34" spans="1:2" ht="12.75" x14ac:dyDescent="0.2">
      <c r="A34" s="2" t="s">
        <v>56</v>
      </c>
      <c r="B34" s="2" t="s">
        <v>25</v>
      </c>
    </row>
    <row r="35" spans="1:2" ht="12.75" x14ac:dyDescent="0.2">
      <c r="A35" s="2" t="s">
        <v>57</v>
      </c>
      <c r="B35" s="2" t="s">
        <v>27</v>
      </c>
    </row>
    <row r="36" spans="1:2" ht="12.75" x14ac:dyDescent="0.2">
      <c r="A36" s="2" t="s">
        <v>58</v>
      </c>
      <c r="B36" s="2" t="s">
        <v>29</v>
      </c>
    </row>
    <row r="37" spans="1:2" ht="12.75" x14ac:dyDescent="0.2">
      <c r="A37" s="2" t="s">
        <v>59</v>
      </c>
      <c r="B37" s="2" t="s">
        <v>31</v>
      </c>
    </row>
    <row r="38" spans="1:2" ht="12.75" x14ac:dyDescent="0.2">
      <c r="A38" s="2" t="s">
        <v>60</v>
      </c>
      <c r="B38" s="2" t="s">
        <v>33</v>
      </c>
    </row>
    <row r="39" spans="1:2" ht="12.75" x14ac:dyDescent="0.2">
      <c r="A39" s="2" t="s">
        <v>61</v>
      </c>
      <c r="B39" s="2" t="s">
        <v>35</v>
      </c>
    </row>
    <row r="40" spans="1:2" ht="12.75" x14ac:dyDescent="0.2">
      <c r="A40" s="2" t="s">
        <v>62</v>
      </c>
      <c r="B40" s="2" t="s">
        <v>37</v>
      </c>
    </row>
    <row r="41" spans="1:2" ht="12.75" x14ac:dyDescent="0.2">
      <c r="A41" s="2" t="s">
        <v>63</v>
      </c>
      <c r="B41" s="2" t="s">
        <v>39</v>
      </c>
    </row>
    <row r="42" spans="1:2" ht="12.75" x14ac:dyDescent="0.2">
      <c r="A42" s="2" t="s">
        <v>64</v>
      </c>
      <c r="B42" s="2" t="s">
        <v>41</v>
      </c>
    </row>
    <row r="43" spans="1:2" ht="12.75" x14ac:dyDescent="0.2">
      <c r="A43" s="2" t="s">
        <v>65</v>
      </c>
      <c r="B43" s="2" t="s">
        <v>43</v>
      </c>
    </row>
    <row r="44" spans="1:2" ht="12.75" x14ac:dyDescent="0.2">
      <c r="A44" s="2" t="s">
        <v>10</v>
      </c>
      <c r="B44" s="2" t="s">
        <v>23</v>
      </c>
    </row>
    <row r="45" spans="1:2" ht="12.75" x14ac:dyDescent="0.2">
      <c r="A45" s="2" t="s">
        <v>66</v>
      </c>
      <c r="B45" s="2" t="s">
        <v>25</v>
      </c>
    </row>
    <row r="46" spans="1:2" ht="12.75" x14ac:dyDescent="0.2">
      <c r="A46" s="2" t="s">
        <v>67</v>
      </c>
      <c r="B46" s="2" t="s">
        <v>27</v>
      </c>
    </row>
    <row r="47" spans="1:2" ht="12.75" x14ac:dyDescent="0.2">
      <c r="A47" s="2" t="s">
        <v>68</v>
      </c>
      <c r="B47" s="2" t="s">
        <v>29</v>
      </c>
    </row>
    <row r="48" spans="1:2" ht="12.75" x14ac:dyDescent="0.2">
      <c r="A48" s="2" t="s">
        <v>69</v>
      </c>
      <c r="B48" s="2" t="s">
        <v>31</v>
      </c>
    </row>
    <row r="49" spans="1:2" ht="12.75" x14ac:dyDescent="0.2">
      <c r="A49" s="2" t="s">
        <v>70</v>
      </c>
      <c r="B49" s="2" t="s">
        <v>33</v>
      </c>
    </row>
    <row r="50" spans="1:2" ht="12.75" x14ac:dyDescent="0.2">
      <c r="A50" s="2" t="s">
        <v>71</v>
      </c>
      <c r="B50" s="2" t="s">
        <v>35</v>
      </c>
    </row>
    <row r="51" spans="1:2" ht="12.75" x14ac:dyDescent="0.2">
      <c r="A51" s="2" t="s">
        <v>72</v>
      </c>
      <c r="B51" s="2" t="s">
        <v>37</v>
      </c>
    </row>
    <row r="52" spans="1:2" ht="12.75" x14ac:dyDescent="0.2">
      <c r="A52" s="2" t="s">
        <v>73</v>
      </c>
      <c r="B52" s="2" t="s">
        <v>39</v>
      </c>
    </row>
    <row r="53" spans="1:2" ht="12.75" x14ac:dyDescent="0.2">
      <c r="A53" s="2" t="s">
        <v>74</v>
      </c>
      <c r="B53" s="2" t="s">
        <v>41</v>
      </c>
    </row>
    <row r="54" spans="1:2" ht="12.75" x14ac:dyDescent="0.2">
      <c r="A54" s="2" t="s">
        <v>75</v>
      </c>
      <c r="B54" s="2" t="s">
        <v>43</v>
      </c>
    </row>
    <row r="55" spans="1:2" ht="12.75" x14ac:dyDescent="0.2">
      <c r="A55" s="2" t="s">
        <v>76</v>
      </c>
      <c r="B55" s="2" t="s">
        <v>23</v>
      </c>
    </row>
    <row r="56" spans="1:2" ht="12.75" x14ac:dyDescent="0.2">
      <c r="A56" s="2" t="s">
        <v>77</v>
      </c>
      <c r="B56" s="2" t="s">
        <v>25</v>
      </c>
    </row>
    <row r="57" spans="1:2" ht="12.75" x14ac:dyDescent="0.2">
      <c r="A57" s="2" t="s">
        <v>78</v>
      </c>
      <c r="B57" s="2" t="s">
        <v>27</v>
      </c>
    </row>
    <row r="58" spans="1:2" ht="12.75" x14ac:dyDescent="0.2">
      <c r="A58" s="2" t="s">
        <v>79</v>
      </c>
      <c r="B58" s="2" t="s">
        <v>29</v>
      </c>
    </row>
    <row r="59" spans="1:2" ht="12.75" x14ac:dyDescent="0.2">
      <c r="A59" s="2" t="s">
        <v>80</v>
      </c>
      <c r="B59" s="2" t="s">
        <v>31</v>
      </c>
    </row>
    <row r="60" spans="1:2" ht="12.75" x14ac:dyDescent="0.2">
      <c r="A60" s="2" t="s">
        <v>81</v>
      </c>
      <c r="B60" s="2" t="s">
        <v>33</v>
      </c>
    </row>
    <row r="61" spans="1:2" ht="12.75" x14ac:dyDescent="0.2">
      <c r="A61" s="2" t="s">
        <v>82</v>
      </c>
      <c r="B61" s="2" t="s">
        <v>35</v>
      </c>
    </row>
    <row r="62" spans="1:2" ht="12.75" x14ac:dyDescent="0.2">
      <c r="A62" s="2" t="s">
        <v>83</v>
      </c>
      <c r="B62" s="2" t="s">
        <v>37</v>
      </c>
    </row>
    <row r="63" spans="1:2" ht="12.75" x14ac:dyDescent="0.2">
      <c r="A63" s="2" t="s">
        <v>84</v>
      </c>
      <c r="B63" s="2" t="s">
        <v>39</v>
      </c>
    </row>
    <row r="64" spans="1:2" ht="12.75" x14ac:dyDescent="0.2">
      <c r="A64" s="2" t="s">
        <v>85</v>
      </c>
      <c r="B64" s="2" t="s">
        <v>41</v>
      </c>
    </row>
    <row r="65" spans="1:2" ht="12.75" x14ac:dyDescent="0.2">
      <c r="A65" s="2" t="s">
        <v>86</v>
      </c>
      <c r="B65" s="2" t="s">
        <v>43</v>
      </c>
    </row>
    <row r="66" spans="1:2" ht="12.75" x14ac:dyDescent="0.2">
      <c r="A66" s="2" t="s">
        <v>87</v>
      </c>
      <c r="B66" s="2" t="s">
        <v>23</v>
      </c>
    </row>
    <row r="67" spans="1:2" ht="12.75" x14ac:dyDescent="0.2">
      <c r="A67" s="2" t="s">
        <v>88</v>
      </c>
      <c r="B67" s="2" t="s">
        <v>25</v>
      </c>
    </row>
    <row r="68" spans="1:2" ht="12.75" x14ac:dyDescent="0.2">
      <c r="A68" s="2" t="s">
        <v>89</v>
      </c>
      <c r="B68" s="2" t="s">
        <v>27</v>
      </c>
    </row>
    <row r="69" spans="1:2" ht="12.75" x14ac:dyDescent="0.2">
      <c r="A69" s="2" t="s">
        <v>90</v>
      </c>
      <c r="B69" s="2" t="s">
        <v>29</v>
      </c>
    </row>
    <row r="70" spans="1:2" ht="12.75" x14ac:dyDescent="0.2">
      <c r="A70" s="2" t="s">
        <v>91</v>
      </c>
      <c r="B70" s="2" t="s">
        <v>31</v>
      </c>
    </row>
    <row r="71" spans="1:2" ht="12.75" x14ac:dyDescent="0.2">
      <c r="A71" s="2" t="s">
        <v>92</v>
      </c>
      <c r="B71" s="2" t="s">
        <v>33</v>
      </c>
    </row>
    <row r="72" spans="1:2" ht="12.75" x14ac:dyDescent="0.2">
      <c r="A72" s="2" t="s">
        <v>93</v>
      </c>
      <c r="B72" s="2" t="s">
        <v>35</v>
      </c>
    </row>
    <row r="73" spans="1:2" ht="12.75" x14ac:dyDescent="0.2">
      <c r="A73" s="2" t="s">
        <v>94</v>
      </c>
      <c r="B73" s="2" t="s">
        <v>37</v>
      </c>
    </row>
    <row r="74" spans="1:2" ht="12.75" x14ac:dyDescent="0.2">
      <c r="A74" s="2" t="s">
        <v>95</v>
      </c>
      <c r="B74" s="2" t="s">
        <v>39</v>
      </c>
    </row>
    <row r="75" spans="1:2" ht="12.75" x14ac:dyDescent="0.2">
      <c r="A75" s="2" t="s">
        <v>96</v>
      </c>
      <c r="B75" s="2" t="s">
        <v>41</v>
      </c>
    </row>
    <row r="76" spans="1:2" ht="12.75" x14ac:dyDescent="0.2">
      <c r="A76" s="2" t="s">
        <v>97</v>
      </c>
      <c r="B76" s="2" t="s">
        <v>43</v>
      </c>
    </row>
    <row r="77" spans="1:2" ht="12.75" x14ac:dyDescent="0.2">
      <c r="A77" s="2" t="s">
        <v>98</v>
      </c>
      <c r="B77" s="2" t="s">
        <v>23</v>
      </c>
    </row>
    <row r="78" spans="1:2" ht="12.75" x14ac:dyDescent="0.2">
      <c r="A78" s="2" t="s">
        <v>99</v>
      </c>
      <c r="B78" s="2" t="s">
        <v>25</v>
      </c>
    </row>
    <row r="79" spans="1:2" ht="12.75" x14ac:dyDescent="0.2">
      <c r="A79" s="2" t="s">
        <v>100</v>
      </c>
      <c r="B79" s="2" t="s">
        <v>27</v>
      </c>
    </row>
    <row r="80" spans="1:2" ht="12.75" x14ac:dyDescent="0.2">
      <c r="A80" s="2" t="s">
        <v>101</v>
      </c>
      <c r="B80" s="2" t="s">
        <v>29</v>
      </c>
    </row>
    <row r="81" spans="1:2" ht="12.75" x14ac:dyDescent="0.2">
      <c r="A81" s="2" t="s">
        <v>102</v>
      </c>
      <c r="B81" s="2" t="s">
        <v>31</v>
      </c>
    </row>
    <row r="82" spans="1:2" ht="12.75" x14ac:dyDescent="0.2">
      <c r="A82" s="2" t="s">
        <v>103</v>
      </c>
      <c r="B82" s="2" t="s">
        <v>33</v>
      </c>
    </row>
    <row r="83" spans="1:2" ht="12.75" x14ac:dyDescent="0.2">
      <c r="A83" s="2" t="s">
        <v>104</v>
      </c>
      <c r="B83" s="2" t="s">
        <v>35</v>
      </c>
    </row>
    <row r="84" spans="1:2" ht="12.75" x14ac:dyDescent="0.2">
      <c r="A84" s="2" t="s">
        <v>105</v>
      </c>
      <c r="B84" s="2" t="s">
        <v>37</v>
      </c>
    </row>
    <row r="85" spans="1:2" ht="12.75" x14ac:dyDescent="0.2">
      <c r="A85" s="2" t="s">
        <v>106</v>
      </c>
      <c r="B85" s="2" t="s">
        <v>39</v>
      </c>
    </row>
    <row r="86" spans="1:2" ht="12.75" x14ac:dyDescent="0.2">
      <c r="A86" s="2" t="s">
        <v>107</v>
      </c>
      <c r="B86" s="2" t="s">
        <v>41</v>
      </c>
    </row>
    <row r="87" spans="1:2" ht="12.75" x14ac:dyDescent="0.2">
      <c r="A87" s="2" t="s">
        <v>108</v>
      </c>
      <c r="B87" s="2" t="s">
        <v>43</v>
      </c>
    </row>
    <row r="88" spans="1:2" ht="12.75" x14ac:dyDescent="0.2">
      <c r="A88" s="2" t="s">
        <v>109</v>
      </c>
      <c r="B88" s="2" t="s">
        <v>23</v>
      </c>
    </row>
    <row r="89" spans="1:2" ht="12.75" x14ac:dyDescent="0.2">
      <c r="A89" s="2" t="s">
        <v>110</v>
      </c>
      <c r="B89" s="2" t="s">
        <v>25</v>
      </c>
    </row>
    <row r="90" spans="1:2" ht="12.75" x14ac:dyDescent="0.2">
      <c r="A90" s="2" t="s">
        <v>111</v>
      </c>
      <c r="B90" s="2" t="s">
        <v>27</v>
      </c>
    </row>
    <row r="91" spans="1:2" ht="12.75" x14ac:dyDescent="0.2">
      <c r="A91" s="2" t="s">
        <v>112</v>
      </c>
      <c r="B91" s="2" t="s">
        <v>29</v>
      </c>
    </row>
    <row r="92" spans="1:2" ht="12.75" x14ac:dyDescent="0.2">
      <c r="A92" s="2" t="s">
        <v>113</v>
      </c>
      <c r="B92" s="2" t="s">
        <v>31</v>
      </c>
    </row>
    <row r="93" spans="1:2" ht="12.75" x14ac:dyDescent="0.2">
      <c r="A93" s="2" t="s">
        <v>114</v>
      </c>
      <c r="B93" s="2" t="s">
        <v>33</v>
      </c>
    </row>
    <row r="94" spans="1:2" ht="12.75" x14ac:dyDescent="0.2">
      <c r="A94" s="2" t="s">
        <v>115</v>
      </c>
      <c r="B94" s="2" t="s">
        <v>35</v>
      </c>
    </row>
    <row r="95" spans="1:2" ht="12.75" x14ac:dyDescent="0.2">
      <c r="A95" s="2" t="s">
        <v>116</v>
      </c>
      <c r="B95" s="2" t="s">
        <v>37</v>
      </c>
    </row>
    <row r="96" spans="1:2" ht="12.75" x14ac:dyDescent="0.2">
      <c r="A96" s="2" t="s">
        <v>117</v>
      </c>
      <c r="B96" s="2" t="s">
        <v>39</v>
      </c>
    </row>
    <row r="97" spans="1:2" ht="12.75" x14ac:dyDescent="0.2">
      <c r="A97" s="2" t="s">
        <v>118</v>
      </c>
      <c r="B97" s="2" t="s">
        <v>41</v>
      </c>
    </row>
    <row r="98" spans="1:2" ht="12.75" x14ac:dyDescent="0.2">
      <c r="A98" s="2" t="s">
        <v>119</v>
      </c>
      <c r="B98" s="2" t="s">
        <v>43</v>
      </c>
    </row>
    <row r="99" spans="1:2" ht="12.75" x14ac:dyDescent="0.2">
      <c r="A99" s="2" t="s">
        <v>120</v>
      </c>
      <c r="B99" s="2" t="s">
        <v>23</v>
      </c>
    </row>
    <row r="100" spans="1:2" ht="12.75" x14ac:dyDescent="0.2">
      <c r="A100" s="2" t="s">
        <v>121</v>
      </c>
      <c r="B100" s="2" t="s">
        <v>25</v>
      </c>
    </row>
    <row r="101" spans="1:2" ht="12.75" x14ac:dyDescent="0.2">
      <c r="A101" s="2" t="s">
        <v>122</v>
      </c>
      <c r="B101" s="2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54"/>
  <sheetViews>
    <sheetView tabSelected="1" zoomScale="85" zoomScaleNormal="85" workbookViewId="0">
      <selection activeCell="D53" sqref="D53"/>
    </sheetView>
  </sheetViews>
  <sheetFormatPr defaultColWidth="12.5703125" defaultRowHeight="15.75" customHeight="1" x14ac:dyDescent="0.2"/>
  <cols>
    <col min="1" max="1" width="12.7109375" customWidth="1"/>
    <col min="2" max="2" width="25.42578125" customWidth="1"/>
    <col min="3" max="3" width="25.140625" style="4" bestFit="1" customWidth="1"/>
    <col min="4" max="4" width="22.7109375" customWidth="1"/>
    <col min="5" max="5" width="20.5703125" style="4" bestFit="1" customWidth="1"/>
    <col min="9" max="9" width="26" bestFit="1" customWidth="1"/>
  </cols>
  <sheetData>
    <row r="1" spans="1:26" ht="15.75" customHeight="1" x14ac:dyDescent="0.25">
      <c r="A1" s="1" t="s">
        <v>123</v>
      </c>
      <c r="B1" s="1" t="s">
        <v>124</v>
      </c>
      <c r="C1" s="3" t="s">
        <v>3</v>
      </c>
      <c r="D1" s="1" t="s">
        <v>131</v>
      </c>
      <c r="E1" s="3" t="s">
        <v>133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.75" hidden="1" x14ac:dyDescent="0.2">
      <c r="A2" s="2" t="s">
        <v>125</v>
      </c>
      <c r="B2" s="2">
        <v>55</v>
      </c>
      <c r="C2" s="6"/>
      <c r="D2" s="2" t="str">
        <f>IF(ISBLANK(frutta[[#This Row],[COSTO]]),"",frutta[[#This Row],[COSTO]]/frutta[[#This Row],[PESO]])</f>
        <v/>
      </c>
      <c r="E2" s="5" cm="1">
        <f t="array" ref="E2">IF(ISBLANK(frutta[[#This Row],[COSTO]]),frutta[[#This Row],[PESO]]*_xlfn.XLOOKUP(frutta[[#This Row],[FRUTTA]],_xlfn.ANCHORARRAY($B$50),$C$50:$C$54),frutta[[#This Row],[COSTO]])</f>
        <v>102.06919642857143</v>
      </c>
    </row>
    <row r="3" spans="1:26" ht="12.75" x14ac:dyDescent="0.2">
      <c r="A3" s="2" t="s">
        <v>126</v>
      </c>
      <c r="B3" s="2">
        <v>70</v>
      </c>
      <c r="C3" s="7">
        <v>80</v>
      </c>
      <c r="D3" s="2">
        <f>IF(ISBLANK(frutta[[#This Row],[COSTO]]),"",frutta[[#This Row],[COSTO]]/frutta[[#This Row],[PESO]])</f>
        <v>1.1428571428571428</v>
      </c>
      <c r="E3" s="5" cm="1">
        <f t="array" ref="E3">IF(ISBLANK(frutta[[#This Row],[COSTO]]),frutta[[#This Row],[PESO]]*_xlfn.XLOOKUP(frutta[[#This Row],[FRUTTA]],_xlfn.ANCHORARRAY($B$50),$C$50:$C$54),frutta[[#This Row],[COSTO]])</f>
        <v>80</v>
      </c>
    </row>
    <row r="4" spans="1:26" ht="12.75" hidden="1" x14ac:dyDescent="0.2">
      <c r="A4" s="2" t="s">
        <v>127</v>
      </c>
      <c r="B4" s="2">
        <v>40</v>
      </c>
      <c r="C4" s="7">
        <v>60</v>
      </c>
      <c r="D4" s="2">
        <f>IF(ISBLANK(frutta[[#This Row],[COSTO]]),"",frutta[[#This Row],[COSTO]]/frutta[[#This Row],[PESO]])</f>
        <v>1.5</v>
      </c>
      <c r="E4" s="5" cm="1">
        <f t="array" ref="E4">IF(ISBLANK(frutta[[#This Row],[COSTO]]),frutta[[#This Row],[PESO]]*_xlfn.XLOOKUP(frutta[[#This Row],[FRUTTA]],_xlfn.ANCHORARRAY($B$50),$C$50:$C$54),frutta[[#This Row],[COSTO]])</f>
        <v>60</v>
      </c>
    </row>
    <row r="5" spans="1:26" ht="12.75" hidden="1" x14ac:dyDescent="0.2">
      <c r="A5" s="2" t="s">
        <v>125</v>
      </c>
      <c r="B5" s="2">
        <v>20</v>
      </c>
      <c r="C5" s="7">
        <v>100</v>
      </c>
      <c r="D5" s="2">
        <f>IF(ISBLANK(frutta[[#This Row],[COSTO]]),"",frutta[[#This Row],[COSTO]]/frutta[[#This Row],[PESO]])</f>
        <v>5</v>
      </c>
      <c r="E5" s="5" cm="1">
        <f t="array" ref="E5">IF(ISBLANK(frutta[[#This Row],[COSTO]]),frutta[[#This Row],[PESO]]*_xlfn.XLOOKUP(frutta[[#This Row],[FRUTTA]],_xlfn.ANCHORARRAY($B$50),$C$50:$C$54),frutta[[#This Row],[COSTO]])</f>
        <v>100</v>
      </c>
    </row>
    <row r="6" spans="1:26" ht="12.75" hidden="1" x14ac:dyDescent="0.2">
      <c r="A6" s="2" t="s">
        <v>128</v>
      </c>
      <c r="B6" s="2">
        <v>90</v>
      </c>
      <c r="C6" s="7">
        <v>30</v>
      </c>
      <c r="D6" s="2">
        <f>IF(ISBLANK(frutta[[#This Row],[COSTO]]),"",frutta[[#This Row],[COSTO]]/frutta[[#This Row],[PESO]])</f>
        <v>0.33333333333333331</v>
      </c>
      <c r="E6" s="5" cm="1">
        <f t="array" ref="E6">IF(ISBLANK(frutta[[#This Row],[COSTO]]),frutta[[#This Row],[PESO]]*_xlfn.XLOOKUP(frutta[[#This Row],[FRUTTA]],_xlfn.ANCHORARRAY($B$50),$C$50:$C$54),frutta[[#This Row],[COSTO]])</f>
        <v>30</v>
      </c>
    </row>
    <row r="7" spans="1:26" ht="12.75" x14ac:dyDescent="0.2">
      <c r="A7" s="2" t="s">
        <v>126</v>
      </c>
      <c r="B7" s="2">
        <v>50</v>
      </c>
      <c r="C7" s="7">
        <v>40</v>
      </c>
      <c r="D7" s="2">
        <f>IF(ISBLANK(frutta[[#This Row],[COSTO]]),"",frutta[[#This Row],[COSTO]]/frutta[[#This Row],[PESO]])</f>
        <v>0.8</v>
      </c>
      <c r="E7" s="5" cm="1">
        <f t="array" ref="E7">IF(ISBLANK(frutta[[#This Row],[COSTO]]),frutta[[#This Row],[PESO]]*_xlfn.XLOOKUP(frutta[[#This Row],[FRUTTA]],_xlfn.ANCHORARRAY($B$50),$C$50:$C$54),frutta[[#This Row],[COSTO]])</f>
        <v>40</v>
      </c>
    </row>
    <row r="8" spans="1:26" ht="12.75" hidden="1" x14ac:dyDescent="0.2">
      <c r="A8" s="2" t="s">
        <v>127</v>
      </c>
      <c r="B8" s="2">
        <v>60</v>
      </c>
      <c r="C8" s="7">
        <v>55</v>
      </c>
      <c r="D8" s="2">
        <f>IF(ISBLANK(frutta[[#This Row],[COSTO]]),"",frutta[[#This Row],[COSTO]]/frutta[[#This Row],[PESO]])</f>
        <v>0.91666666666666663</v>
      </c>
      <c r="E8" s="5" cm="1">
        <f t="array" ref="E8">IF(ISBLANK(frutta[[#This Row],[COSTO]]),frutta[[#This Row],[PESO]]*_xlfn.XLOOKUP(frutta[[#This Row],[FRUTTA]],_xlfn.ANCHORARRAY($B$50),$C$50:$C$54),frutta[[#This Row],[COSTO]])</f>
        <v>55</v>
      </c>
    </row>
    <row r="9" spans="1:26" ht="12.75" hidden="1" x14ac:dyDescent="0.2">
      <c r="A9" s="2" t="s">
        <v>125</v>
      </c>
      <c r="B9" s="2">
        <v>45</v>
      </c>
      <c r="C9" s="6"/>
      <c r="D9" s="2" t="str">
        <f>IF(ISBLANK(frutta[[#This Row],[COSTO]]),"",frutta[[#This Row],[COSTO]]/frutta[[#This Row],[PESO]])</f>
        <v/>
      </c>
      <c r="E9" s="5" cm="1">
        <f t="array" ref="E9">IF(ISBLANK(frutta[[#This Row],[COSTO]]),frutta[[#This Row],[PESO]]*_xlfn.XLOOKUP(frutta[[#This Row],[FRUTTA]],_xlfn.ANCHORARRAY($B$50),$C$50:$C$54),frutta[[#This Row],[COSTO]])</f>
        <v>83.511160714285708</v>
      </c>
    </row>
    <row r="10" spans="1:26" ht="12.75" x14ac:dyDescent="0.2">
      <c r="A10" s="2" t="s">
        <v>126</v>
      </c>
      <c r="B10" s="2">
        <v>25</v>
      </c>
      <c r="C10" s="7">
        <v>85</v>
      </c>
      <c r="D10" s="2">
        <f>IF(ISBLANK(frutta[[#This Row],[COSTO]]),"",frutta[[#This Row],[COSTO]]/frutta[[#This Row],[PESO]])</f>
        <v>3.4</v>
      </c>
      <c r="E10" s="5" cm="1">
        <f t="array" ref="E10">IF(ISBLANK(frutta[[#This Row],[COSTO]]),frutta[[#This Row],[PESO]]*_xlfn.XLOOKUP(frutta[[#This Row],[FRUTTA]],_xlfn.ANCHORARRAY($B$50),$C$50:$C$54),frutta[[#This Row],[COSTO]])</f>
        <v>85</v>
      </c>
    </row>
    <row r="11" spans="1:26" ht="12.75" hidden="1" x14ac:dyDescent="0.2">
      <c r="A11" s="2" t="s">
        <v>128</v>
      </c>
      <c r="B11" s="2">
        <v>35</v>
      </c>
      <c r="C11" s="7">
        <v>50</v>
      </c>
      <c r="D11" s="2">
        <f>IF(ISBLANK(frutta[[#This Row],[COSTO]]),"",frutta[[#This Row],[COSTO]]/frutta[[#This Row],[PESO]])</f>
        <v>1.4285714285714286</v>
      </c>
      <c r="E11" s="5" cm="1">
        <f t="array" ref="E11">IF(ISBLANK(frutta[[#This Row],[COSTO]]),frutta[[#This Row],[PESO]]*_xlfn.XLOOKUP(frutta[[#This Row],[FRUTTA]],_xlfn.ANCHORARRAY($B$50),$C$50:$C$54),frutta[[#This Row],[COSTO]])</f>
        <v>50</v>
      </c>
    </row>
    <row r="12" spans="1:26" ht="12.75" hidden="1" x14ac:dyDescent="0.2">
      <c r="A12" s="2" t="s">
        <v>129</v>
      </c>
      <c r="B12" s="2">
        <v>60</v>
      </c>
      <c r="C12" s="7">
        <v>95</v>
      </c>
      <c r="D12" s="2">
        <f>IF(ISBLANK(frutta[[#This Row],[COSTO]]),"",frutta[[#This Row],[COSTO]]/frutta[[#This Row],[PESO]])</f>
        <v>1.5833333333333333</v>
      </c>
      <c r="E12" s="5" cm="1">
        <f t="array" ref="E12">IF(ISBLANK(frutta[[#This Row],[COSTO]]),frutta[[#This Row],[PESO]]*_xlfn.XLOOKUP(frutta[[#This Row],[FRUTTA]],_xlfn.ANCHORARRAY($B$50),$C$50:$C$54),frutta[[#This Row],[COSTO]])</f>
        <v>95</v>
      </c>
    </row>
    <row r="13" spans="1:26" ht="12.75" hidden="1" x14ac:dyDescent="0.2">
      <c r="A13" s="2" t="s">
        <v>127</v>
      </c>
      <c r="B13" s="2">
        <v>80</v>
      </c>
      <c r="C13" s="6"/>
      <c r="D13" s="2" t="str">
        <f>IF(ISBLANK(frutta[[#This Row],[COSTO]]),"",frutta[[#This Row],[COSTO]]/frutta[[#This Row],[PESO]])</f>
        <v/>
      </c>
      <c r="E13" s="5" cm="1">
        <f t="array" ref="E13">IF(ISBLANK(frutta[[#This Row],[COSTO]]),frutta[[#This Row],[PESO]]*_xlfn.XLOOKUP(frutta[[#This Row],[FRUTTA]],_xlfn.ANCHORARRAY($B$50),$C$50:$C$54),frutta[[#This Row],[COSTO]])</f>
        <v>113.10911310911311</v>
      </c>
    </row>
    <row r="14" spans="1:26" ht="12.75" x14ac:dyDescent="0.2">
      <c r="A14" s="2" t="s">
        <v>126</v>
      </c>
      <c r="B14" s="2">
        <v>40</v>
      </c>
      <c r="C14" s="7">
        <v>45</v>
      </c>
      <c r="D14" s="2">
        <f>IF(ISBLANK(frutta[[#This Row],[COSTO]]),"",frutta[[#This Row],[COSTO]]/frutta[[#This Row],[PESO]])</f>
        <v>1.125</v>
      </c>
      <c r="E14" s="5" cm="1">
        <f t="array" ref="E14">IF(ISBLANK(frutta[[#This Row],[COSTO]]),frutta[[#This Row],[PESO]]*_xlfn.XLOOKUP(frutta[[#This Row],[FRUTTA]],_xlfn.ANCHORARRAY($B$50),$C$50:$C$54),frutta[[#This Row],[COSTO]])</f>
        <v>45</v>
      </c>
    </row>
    <row r="15" spans="1:26" ht="12.75" hidden="1" x14ac:dyDescent="0.2">
      <c r="A15" s="2" t="s">
        <v>125</v>
      </c>
      <c r="B15" s="2">
        <v>65</v>
      </c>
      <c r="C15" s="7">
        <v>65</v>
      </c>
      <c r="D15" s="2">
        <f>IF(ISBLANK(frutta[[#This Row],[COSTO]]),"",frutta[[#This Row],[COSTO]]/frutta[[#This Row],[PESO]])</f>
        <v>1</v>
      </c>
      <c r="E15" s="5" cm="1">
        <f t="array" ref="E15">IF(ISBLANK(frutta[[#This Row],[COSTO]]),frutta[[#This Row],[PESO]]*_xlfn.XLOOKUP(frutta[[#This Row],[FRUTTA]],_xlfn.ANCHORARRAY($B$50),$C$50:$C$54),frutta[[#This Row],[COSTO]])</f>
        <v>65</v>
      </c>
    </row>
    <row r="16" spans="1:26" ht="12.75" hidden="1" x14ac:dyDescent="0.2">
      <c r="A16" s="2" t="s">
        <v>127</v>
      </c>
      <c r="B16" s="2">
        <v>55</v>
      </c>
      <c r="C16" s="7">
        <v>30</v>
      </c>
      <c r="D16" s="2">
        <f>IF(ISBLANK(frutta[[#This Row],[COSTO]]),"",frutta[[#This Row],[COSTO]]/frutta[[#This Row],[PESO]])</f>
        <v>0.54545454545454541</v>
      </c>
      <c r="E16" s="5" cm="1">
        <f t="array" ref="E16">IF(ISBLANK(frutta[[#This Row],[COSTO]]),frutta[[#This Row],[PESO]]*_xlfn.XLOOKUP(frutta[[#This Row],[FRUTTA]],_xlfn.ANCHORARRAY($B$50),$C$50:$C$54),frutta[[#This Row],[COSTO]])</f>
        <v>30</v>
      </c>
    </row>
    <row r="17" spans="1:5" ht="12.75" hidden="1" x14ac:dyDescent="0.2">
      <c r="A17" s="2" t="s">
        <v>128</v>
      </c>
      <c r="B17" s="2">
        <v>70</v>
      </c>
      <c r="C17" s="6"/>
      <c r="D17" s="2" t="str">
        <f>IF(ISBLANK(frutta[[#This Row],[COSTO]]),"",frutta[[#This Row],[COSTO]]/frutta[[#This Row],[PESO]])</f>
        <v/>
      </c>
      <c r="E17" s="5" cm="1">
        <f t="array" ref="E17">IF(ISBLANK(frutta[[#This Row],[COSTO]]),frutta[[#This Row],[PESO]]*_xlfn.XLOOKUP(frutta[[#This Row],[FRUTTA]],_xlfn.ANCHORARRAY($B$50),$C$50:$C$54),frutta[[#This Row],[COSTO]])</f>
        <v>82.466666666666669</v>
      </c>
    </row>
    <row r="18" spans="1:5" ht="12.75" x14ac:dyDescent="0.2">
      <c r="A18" s="2" t="s">
        <v>126</v>
      </c>
      <c r="B18" s="2">
        <v>45</v>
      </c>
      <c r="C18" s="7">
        <v>80</v>
      </c>
      <c r="D18" s="2">
        <f>IF(ISBLANK(frutta[[#This Row],[COSTO]]),"",frutta[[#This Row],[COSTO]]/frutta[[#This Row],[PESO]])</f>
        <v>1.7777777777777777</v>
      </c>
      <c r="E18" s="5" cm="1">
        <f t="array" ref="E18">IF(ISBLANK(frutta[[#This Row],[COSTO]]),frutta[[#This Row],[PESO]]*_xlfn.XLOOKUP(frutta[[#This Row],[FRUTTA]],_xlfn.ANCHORARRAY($B$50),$C$50:$C$54),frutta[[#This Row],[COSTO]])</f>
        <v>80</v>
      </c>
    </row>
    <row r="19" spans="1:5" ht="12.75" hidden="1" x14ac:dyDescent="0.2">
      <c r="A19" s="2" t="s">
        <v>125</v>
      </c>
      <c r="B19" s="2">
        <v>25</v>
      </c>
      <c r="C19" s="7">
        <v>60</v>
      </c>
      <c r="D19" s="2">
        <f>IF(ISBLANK(frutta[[#This Row],[COSTO]]),"",frutta[[#This Row],[COSTO]]/frutta[[#This Row],[PESO]])</f>
        <v>2.4</v>
      </c>
      <c r="E19" s="5" cm="1">
        <f t="array" ref="E19">IF(ISBLANK(frutta[[#This Row],[COSTO]]),frutta[[#This Row],[PESO]]*_xlfn.XLOOKUP(frutta[[#This Row],[FRUTTA]],_xlfn.ANCHORARRAY($B$50),$C$50:$C$54),frutta[[#This Row],[COSTO]])</f>
        <v>60</v>
      </c>
    </row>
    <row r="20" spans="1:5" ht="12.75" x14ac:dyDescent="0.2">
      <c r="A20" s="2" t="s">
        <v>126</v>
      </c>
      <c r="B20" s="2">
        <v>35</v>
      </c>
      <c r="C20" s="6"/>
      <c r="D20" s="2" t="str">
        <f>IF(ISBLANK(frutta[[#This Row],[COSTO]]),"",frutta[[#This Row],[COSTO]]/frutta[[#This Row],[PESO]])</f>
        <v/>
      </c>
      <c r="E20" s="5" cm="1">
        <f t="array" ref="E20">IF(ISBLANK(frutta[[#This Row],[COSTO]]),frutta[[#This Row],[PESO]]*_xlfn.XLOOKUP(frutta[[#This Row],[FRUTTA]],_xlfn.ANCHORARRAY($B$50),$C$50:$C$54),frutta[[#This Row],[COSTO]])</f>
        <v>50.924400252525253</v>
      </c>
    </row>
    <row r="21" spans="1:5" ht="12.75" hidden="1" x14ac:dyDescent="0.2">
      <c r="A21" s="2" t="s">
        <v>127</v>
      </c>
      <c r="B21" s="2">
        <v>60</v>
      </c>
      <c r="C21" s="7">
        <v>30</v>
      </c>
      <c r="D21" s="2">
        <f>IF(ISBLANK(frutta[[#This Row],[COSTO]]),"",frutta[[#This Row],[COSTO]]/frutta[[#This Row],[PESO]])</f>
        <v>0.5</v>
      </c>
      <c r="E21" s="5" cm="1">
        <f t="array" ref="E21">IF(ISBLANK(frutta[[#This Row],[COSTO]]),frutta[[#This Row],[PESO]]*_xlfn.XLOOKUP(frutta[[#This Row],[FRUTTA]],_xlfn.ANCHORARRAY($B$50),$C$50:$C$54),frutta[[#This Row],[COSTO]])</f>
        <v>30</v>
      </c>
    </row>
    <row r="22" spans="1:5" ht="12.75" hidden="1" x14ac:dyDescent="0.2">
      <c r="A22" s="2" t="s">
        <v>125</v>
      </c>
      <c r="B22" s="2">
        <v>70</v>
      </c>
      <c r="C22" s="7">
        <v>40</v>
      </c>
      <c r="D22" s="2">
        <f>IF(ISBLANK(frutta[[#This Row],[COSTO]]),"",frutta[[#This Row],[COSTO]]/frutta[[#This Row],[PESO]])</f>
        <v>0.5714285714285714</v>
      </c>
      <c r="E22" s="5" cm="1">
        <f t="array" ref="E22">IF(ISBLANK(frutta[[#This Row],[COSTO]]),frutta[[#This Row],[PESO]]*_xlfn.XLOOKUP(frutta[[#This Row],[FRUTTA]],_xlfn.ANCHORARRAY($B$50),$C$50:$C$54),frutta[[#This Row],[COSTO]])</f>
        <v>40</v>
      </c>
    </row>
    <row r="23" spans="1:5" ht="12.75" x14ac:dyDescent="0.2">
      <c r="A23" s="2" t="s">
        <v>126</v>
      </c>
      <c r="B23" s="2">
        <v>45</v>
      </c>
      <c r="C23" s="7">
        <v>55</v>
      </c>
      <c r="D23" s="2">
        <f>IF(ISBLANK(frutta[[#This Row],[COSTO]]),"",frutta[[#This Row],[COSTO]]/frutta[[#This Row],[PESO]])</f>
        <v>1.2222222222222223</v>
      </c>
      <c r="E23" s="5" cm="1">
        <f t="array" ref="E23">IF(ISBLANK(frutta[[#This Row],[COSTO]]),frutta[[#This Row],[PESO]]*_xlfn.XLOOKUP(frutta[[#This Row],[FRUTTA]],_xlfn.ANCHORARRAY($B$50),$C$50:$C$54),frutta[[#This Row],[COSTO]])</f>
        <v>55</v>
      </c>
    </row>
    <row r="24" spans="1:5" ht="12.75" hidden="1" x14ac:dyDescent="0.2">
      <c r="A24" s="2" t="s">
        <v>128</v>
      </c>
      <c r="B24" s="2">
        <v>25</v>
      </c>
      <c r="C24" s="7">
        <v>70</v>
      </c>
      <c r="D24" s="2">
        <f>IF(ISBLANK(frutta[[#This Row],[COSTO]]),"",frutta[[#This Row],[COSTO]]/frutta[[#This Row],[PESO]])</f>
        <v>2.8</v>
      </c>
      <c r="E24" s="5" cm="1">
        <f t="array" ref="E24">IF(ISBLANK(frutta[[#This Row],[COSTO]]),frutta[[#This Row],[PESO]]*_xlfn.XLOOKUP(frutta[[#This Row],[FRUTTA]],_xlfn.ANCHORARRAY($B$50),$C$50:$C$54),frutta[[#This Row],[COSTO]])</f>
        <v>70</v>
      </c>
    </row>
    <row r="25" spans="1:5" ht="12.75" hidden="1" x14ac:dyDescent="0.2">
      <c r="A25" s="2" t="s">
        <v>129</v>
      </c>
      <c r="B25" s="2">
        <v>35</v>
      </c>
      <c r="C25" s="6"/>
      <c r="D25" s="2" t="str">
        <f>IF(ISBLANK(frutta[[#This Row],[COSTO]]),"",frutta[[#This Row],[COSTO]]/frutta[[#This Row],[PESO]])</f>
        <v/>
      </c>
      <c r="E25" s="5" cm="1">
        <f t="array" ref="E25">IF(ISBLANK(frutta[[#This Row],[COSTO]]),frutta[[#This Row],[PESO]]*_xlfn.XLOOKUP(frutta[[#This Row],[FRUTTA]],_xlfn.ANCHORARRAY($B$50),$C$50:$C$54),frutta[[#This Row],[COSTO]])</f>
        <v>42.516025641025635</v>
      </c>
    </row>
    <row r="26" spans="1:5" ht="12.75" hidden="1" x14ac:dyDescent="0.2">
      <c r="A26" s="2" t="s">
        <v>127</v>
      </c>
      <c r="B26" s="2">
        <v>60</v>
      </c>
      <c r="C26" s="7">
        <v>50</v>
      </c>
      <c r="D26" s="2">
        <f>IF(ISBLANK(frutta[[#This Row],[COSTO]]),"",frutta[[#This Row],[COSTO]]/frutta[[#This Row],[PESO]])</f>
        <v>0.83333333333333337</v>
      </c>
      <c r="E26" s="5" cm="1">
        <f t="array" ref="E26">IF(ISBLANK(frutta[[#This Row],[COSTO]]),frutta[[#This Row],[PESO]]*_xlfn.XLOOKUP(frutta[[#This Row],[FRUTTA]],_xlfn.ANCHORARRAY($B$50),$C$50:$C$54),frutta[[#This Row],[COSTO]])</f>
        <v>50</v>
      </c>
    </row>
    <row r="27" spans="1:5" ht="12.75" x14ac:dyDescent="0.2">
      <c r="A27" s="2" t="s">
        <v>126</v>
      </c>
      <c r="B27" s="2">
        <v>80</v>
      </c>
      <c r="C27" s="7">
        <v>95</v>
      </c>
      <c r="D27" s="2">
        <f>IF(ISBLANK(frutta[[#This Row],[COSTO]]),"",frutta[[#This Row],[COSTO]]/frutta[[#This Row],[PESO]])</f>
        <v>1.1875</v>
      </c>
      <c r="E27" s="5" cm="1">
        <f t="array" ref="E27">IF(ISBLANK(frutta[[#This Row],[COSTO]]),frutta[[#This Row],[PESO]]*_xlfn.XLOOKUP(frutta[[#This Row],[FRUTTA]],_xlfn.ANCHORARRAY($B$50),$C$50:$C$54),frutta[[#This Row],[COSTO]])</f>
        <v>95</v>
      </c>
    </row>
    <row r="28" spans="1:5" ht="12.75" hidden="1" x14ac:dyDescent="0.2">
      <c r="A28" s="2" t="s">
        <v>125</v>
      </c>
      <c r="B28" s="2">
        <v>40</v>
      </c>
      <c r="C28" s="7">
        <v>75</v>
      </c>
      <c r="D28" s="2">
        <f>IF(ISBLANK(frutta[[#This Row],[COSTO]]),"",frutta[[#This Row],[COSTO]]/frutta[[#This Row],[PESO]])</f>
        <v>1.875</v>
      </c>
      <c r="E28" s="5" cm="1">
        <f t="array" ref="E28">IF(ISBLANK(frutta[[#This Row],[COSTO]]),frutta[[#This Row],[PESO]]*_xlfn.XLOOKUP(frutta[[#This Row],[FRUTTA]],_xlfn.ANCHORARRAY($B$50),$C$50:$C$54),frutta[[#This Row],[COSTO]])</f>
        <v>75</v>
      </c>
    </row>
    <row r="29" spans="1:5" ht="12.75" hidden="1" x14ac:dyDescent="0.2">
      <c r="A29" s="2" t="s">
        <v>127</v>
      </c>
      <c r="B29" s="2">
        <v>65</v>
      </c>
      <c r="C29" s="7">
        <v>45</v>
      </c>
      <c r="D29" s="2">
        <f>IF(ISBLANK(frutta[[#This Row],[COSTO]]),"",frutta[[#This Row],[COSTO]]/frutta[[#This Row],[PESO]])</f>
        <v>0.69230769230769229</v>
      </c>
      <c r="E29" s="5" cm="1">
        <f t="array" ref="E29">IF(ISBLANK(frutta[[#This Row],[COSTO]]),frutta[[#This Row],[PESO]]*_xlfn.XLOOKUP(frutta[[#This Row],[FRUTTA]],_xlfn.ANCHORARRAY($B$50),$C$50:$C$54),frutta[[#This Row],[COSTO]])</f>
        <v>45</v>
      </c>
    </row>
    <row r="30" spans="1:5" ht="12.75" x14ac:dyDescent="0.2">
      <c r="A30" s="2" t="s">
        <v>126</v>
      </c>
      <c r="B30" s="2">
        <v>55</v>
      </c>
      <c r="C30" s="7">
        <v>65</v>
      </c>
      <c r="D30" s="2">
        <f>IF(ISBLANK(frutta[[#This Row],[COSTO]]),"",frutta[[#This Row],[COSTO]]/frutta[[#This Row],[PESO]])</f>
        <v>1.1818181818181819</v>
      </c>
      <c r="E30" s="5" cm="1">
        <f t="array" ref="E30">IF(ISBLANK(frutta[[#This Row],[COSTO]]),frutta[[#This Row],[PESO]]*_xlfn.XLOOKUP(frutta[[#This Row],[FRUTTA]],_xlfn.ANCHORARRAY($B$50),$C$50:$C$54),frutta[[#This Row],[COSTO]])</f>
        <v>65</v>
      </c>
    </row>
    <row r="31" spans="1:5" ht="12.75" hidden="1" x14ac:dyDescent="0.2">
      <c r="A31" s="2" t="s">
        <v>128</v>
      </c>
      <c r="B31" s="2">
        <v>70</v>
      </c>
      <c r="C31" s="7">
        <v>30</v>
      </c>
      <c r="D31" s="2">
        <f>IF(ISBLANK(frutta[[#This Row],[COSTO]]),"",frutta[[#This Row],[COSTO]]/frutta[[#This Row],[PESO]])</f>
        <v>0.42857142857142855</v>
      </c>
      <c r="E31" s="5" cm="1">
        <f t="array" ref="E31">IF(ISBLANK(frutta[[#This Row],[COSTO]]),frutta[[#This Row],[PESO]]*_xlfn.XLOOKUP(frutta[[#This Row],[FRUTTA]],_xlfn.ANCHORARRAY($B$50),$C$50:$C$54),frutta[[#This Row],[COSTO]])</f>
        <v>30</v>
      </c>
    </row>
    <row r="32" spans="1:5" ht="12.75" hidden="1" x14ac:dyDescent="0.2">
      <c r="A32" s="2" t="s">
        <v>125</v>
      </c>
      <c r="B32" s="2">
        <v>45</v>
      </c>
      <c r="C32" s="6"/>
      <c r="D32" s="2" t="str">
        <f>IF(ISBLANK(frutta[[#This Row],[COSTO]]),"",frutta[[#This Row],[COSTO]]/frutta[[#This Row],[PESO]])</f>
        <v/>
      </c>
      <c r="E32" s="5" cm="1">
        <f t="array" ref="E32">IF(ISBLANK(frutta[[#This Row],[COSTO]]),frutta[[#This Row],[PESO]]*_xlfn.XLOOKUP(frutta[[#This Row],[FRUTTA]],_xlfn.ANCHORARRAY($B$50),$C$50:$C$54),frutta[[#This Row],[COSTO]])</f>
        <v>83.511160714285708</v>
      </c>
    </row>
    <row r="33" spans="1:5" ht="12.75" x14ac:dyDescent="0.2">
      <c r="A33" s="2" t="s">
        <v>126</v>
      </c>
      <c r="B33" s="2">
        <v>25</v>
      </c>
      <c r="C33" s="7">
        <v>80</v>
      </c>
      <c r="D33" s="2">
        <f>IF(ISBLANK(frutta[[#This Row],[COSTO]]),"",frutta[[#This Row],[COSTO]]/frutta[[#This Row],[PESO]])</f>
        <v>3.2</v>
      </c>
      <c r="E33" s="5" cm="1">
        <f t="array" ref="E33">IF(ISBLANK(frutta[[#This Row],[COSTO]]),frutta[[#This Row],[PESO]]*_xlfn.XLOOKUP(frutta[[#This Row],[FRUTTA]],_xlfn.ANCHORARRAY($B$50),$C$50:$C$54),frutta[[#This Row],[COSTO]])</f>
        <v>80</v>
      </c>
    </row>
    <row r="34" spans="1:5" ht="12.75" hidden="1" x14ac:dyDescent="0.2">
      <c r="A34" s="2" t="s">
        <v>127</v>
      </c>
      <c r="B34" s="2">
        <v>35</v>
      </c>
      <c r="C34" s="7">
        <v>60</v>
      </c>
      <c r="D34" s="2">
        <f>IF(ISBLANK(frutta[[#This Row],[COSTO]]),"",frutta[[#This Row],[COSTO]]/frutta[[#This Row],[PESO]])</f>
        <v>1.7142857142857142</v>
      </c>
      <c r="E34" s="5" cm="1">
        <f t="array" ref="E34">IF(ISBLANK(frutta[[#This Row],[COSTO]]),frutta[[#This Row],[PESO]]*_xlfn.XLOOKUP(frutta[[#This Row],[FRUTTA]],_xlfn.ANCHORARRAY($B$50),$C$50:$C$54),frutta[[#This Row],[COSTO]])</f>
        <v>60</v>
      </c>
    </row>
    <row r="35" spans="1:5" ht="12.75" hidden="1" x14ac:dyDescent="0.2">
      <c r="A35" s="2" t="s">
        <v>125</v>
      </c>
      <c r="B35" s="2">
        <v>60</v>
      </c>
      <c r="C35" s="7">
        <v>100</v>
      </c>
      <c r="D35" s="2">
        <f>IF(ISBLANK(frutta[[#This Row],[COSTO]]),"",frutta[[#This Row],[COSTO]]/frutta[[#This Row],[PESO]])</f>
        <v>1.6666666666666667</v>
      </c>
      <c r="E35" s="5" cm="1">
        <f t="array" ref="E35">IF(ISBLANK(frutta[[#This Row],[COSTO]]),frutta[[#This Row],[PESO]]*_xlfn.XLOOKUP(frutta[[#This Row],[FRUTTA]],_xlfn.ANCHORARRAY($B$50),$C$50:$C$54),frutta[[#This Row],[COSTO]])</f>
        <v>100</v>
      </c>
    </row>
    <row r="36" spans="1:5" ht="12.75" x14ac:dyDescent="0.2">
      <c r="A36" s="2" t="s">
        <v>126</v>
      </c>
      <c r="B36" s="2">
        <v>80</v>
      </c>
      <c r="C36" s="7">
        <v>30</v>
      </c>
      <c r="D36" s="2">
        <f>IF(ISBLANK(frutta[[#This Row],[COSTO]]),"",frutta[[#This Row],[COSTO]]/frutta[[#This Row],[PESO]])</f>
        <v>0.375</v>
      </c>
      <c r="E36" s="5" cm="1">
        <f t="array" ref="E36">IF(ISBLANK(frutta[[#This Row],[COSTO]]),frutta[[#This Row],[PESO]]*_xlfn.XLOOKUP(frutta[[#This Row],[FRUTTA]],_xlfn.ANCHORARRAY($B$50),$C$50:$C$54),frutta[[#This Row],[COSTO]])</f>
        <v>30</v>
      </c>
    </row>
    <row r="37" spans="1:5" ht="12.75" hidden="1" x14ac:dyDescent="0.2">
      <c r="A37" s="2" t="s">
        <v>128</v>
      </c>
      <c r="B37" s="2">
        <v>40</v>
      </c>
      <c r="C37" s="6"/>
      <c r="D37" s="2" t="str">
        <f>IF(ISBLANK(frutta[[#This Row],[COSTO]]),"",frutta[[#This Row],[COSTO]]/frutta[[#This Row],[PESO]])</f>
        <v/>
      </c>
      <c r="E37" s="5" cm="1">
        <f t="array" ref="E37">IF(ISBLANK(frutta[[#This Row],[COSTO]]),frutta[[#This Row],[PESO]]*_xlfn.XLOOKUP(frutta[[#This Row],[FRUTTA]],_xlfn.ANCHORARRAY($B$50),$C$50:$C$54),frutta[[#This Row],[COSTO]])</f>
        <v>47.123809523809527</v>
      </c>
    </row>
    <row r="38" spans="1:5" ht="12.75" hidden="1" x14ac:dyDescent="0.2">
      <c r="A38" s="2" t="s">
        <v>129</v>
      </c>
      <c r="B38" s="2">
        <v>65</v>
      </c>
      <c r="C38" s="7">
        <v>55</v>
      </c>
      <c r="D38" s="2">
        <f>IF(ISBLANK(frutta[[#This Row],[COSTO]]),"",frutta[[#This Row],[COSTO]]/frutta[[#This Row],[PESO]])</f>
        <v>0.84615384615384615</v>
      </c>
      <c r="E38" s="5" cm="1">
        <f t="array" ref="E38">IF(ISBLANK(frutta[[#This Row],[COSTO]]),frutta[[#This Row],[PESO]]*_xlfn.XLOOKUP(frutta[[#This Row],[FRUTTA]],_xlfn.ANCHORARRAY($B$50),$C$50:$C$54),frutta[[#This Row],[COSTO]])</f>
        <v>55</v>
      </c>
    </row>
    <row r="39" spans="1:5" ht="12.75" hidden="1" x14ac:dyDescent="0.2">
      <c r="A39" s="2" t="s">
        <v>127</v>
      </c>
      <c r="B39" s="2">
        <v>55</v>
      </c>
      <c r="C39" s="7">
        <v>70</v>
      </c>
      <c r="D39" s="2">
        <f>IF(ISBLANK(frutta[[#This Row],[COSTO]]),"",frutta[[#This Row],[COSTO]]/frutta[[#This Row],[PESO]])</f>
        <v>1.2727272727272727</v>
      </c>
      <c r="E39" s="5" cm="1">
        <f t="array" ref="E39">IF(ISBLANK(frutta[[#This Row],[COSTO]]),frutta[[#This Row],[PESO]]*_xlfn.XLOOKUP(frutta[[#This Row],[FRUTTA]],_xlfn.ANCHORARRAY($B$50),$C$50:$C$54),frutta[[#This Row],[COSTO]])</f>
        <v>70</v>
      </c>
    </row>
    <row r="40" spans="1:5" ht="12.75" x14ac:dyDescent="0.2">
      <c r="A40" s="2" t="s">
        <v>126</v>
      </c>
      <c r="B40" s="2">
        <v>70</v>
      </c>
      <c r="C40" s="7">
        <v>85</v>
      </c>
      <c r="D40" s="2">
        <f>IF(ISBLANK(frutta[[#This Row],[COSTO]]),"",frutta[[#This Row],[COSTO]]/frutta[[#This Row],[PESO]])</f>
        <v>1.2142857142857142</v>
      </c>
      <c r="E40" s="5" cm="1">
        <f t="array" ref="E40">IF(ISBLANK(frutta[[#This Row],[COSTO]]),frutta[[#This Row],[PESO]]*_xlfn.XLOOKUP(frutta[[#This Row],[FRUTTA]],_xlfn.ANCHORARRAY($B$50),$C$50:$C$54),frutta[[#This Row],[COSTO]])</f>
        <v>85</v>
      </c>
    </row>
    <row r="41" spans="1:5" ht="12.75" hidden="1" x14ac:dyDescent="0.2">
      <c r="A41" s="2" t="s">
        <v>125</v>
      </c>
      <c r="B41" s="2">
        <v>40</v>
      </c>
      <c r="C41" s="7">
        <v>50</v>
      </c>
      <c r="D41" s="2">
        <f>IF(ISBLANK(frutta[[#This Row],[COSTO]]),"",frutta[[#This Row],[COSTO]]/frutta[[#This Row],[PESO]])</f>
        <v>1.25</v>
      </c>
      <c r="E41" s="5" cm="1">
        <f t="array" ref="E41">IF(ISBLANK(frutta[[#This Row],[COSTO]]),frutta[[#This Row],[PESO]]*_xlfn.XLOOKUP(frutta[[#This Row],[FRUTTA]],_xlfn.ANCHORARRAY($B$50),$C$50:$C$54),frutta[[#This Row],[COSTO]])</f>
        <v>50</v>
      </c>
    </row>
    <row r="42" spans="1:5" ht="12.75" hidden="1" x14ac:dyDescent="0.2">
      <c r="A42" s="2" t="s">
        <v>127</v>
      </c>
      <c r="B42" s="2">
        <v>20</v>
      </c>
      <c r="C42" s="7">
        <v>95</v>
      </c>
      <c r="D42" s="2">
        <f>IF(ISBLANK(frutta[[#This Row],[COSTO]]),"",frutta[[#This Row],[COSTO]]/frutta[[#This Row],[PESO]])</f>
        <v>4.75</v>
      </c>
      <c r="E42" s="5" cm="1">
        <f t="array" ref="E42">IF(ISBLANK(frutta[[#This Row],[COSTO]]),frutta[[#This Row],[PESO]]*_xlfn.XLOOKUP(frutta[[#This Row],[FRUTTA]],_xlfn.ANCHORARRAY($B$50),$C$50:$C$54),frutta[[#This Row],[COSTO]])</f>
        <v>95</v>
      </c>
    </row>
    <row r="43" spans="1:5" ht="12.75" x14ac:dyDescent="0.2">
      <c r="A43" s="2" t="s">
        <v>126</v>
      </c>
      <c r="B43" s="2">
        <v>90</v>
      </c>
      <c r="C43" s="7">
        <v>75</v>
      </c>
      <c r="D43" s="2">
        <f>IF(ISBLANK(frutta[[#This Row],[COSTO]]),"",frutta[[#This Row],[COSTO]]/frutta[[#This Row],[PESO]])</f>
        <v>0.83333333333333337</v>
      </c>
      <c r="E43" s="5" cm="1">
        <f t="array" ref="E43">IF(ISBLANK(frutta[[#This Row],[COSTO]]),frutta[[#This Row],[PESO]]*_xlfn.XLOOKUP(frutta[[#This Row],[FRUTTA]],_xlfn.ANCHORARRAY($B$50),$C$50:$C$54),frutta[[#This Row],[COSTO]])</f>
        <v>75</v>
      </c>
    </row>
    <row r="44" spans="1:5" ht="12.75" hidden="1" x14ac:dyDescent="0.2">
      <c r="A44" s="2" t="s">
        <v>128</v>
      </c>
      <c r="B44" s="2">
        <v>50</v>
      </c>
      <c r="C44" s="7">
        <v>45</v>
      </c>
      <c r="D44" s="2">
        <f>IF(ISBLANK(frutta[[#This Row],[COSTO]]),"",frutta[[#This Row],[COSTO]]/frutta[[#This Row],[PESO]])</f>
        <v>0.9</v>
      </c>
      <c r="E44" s="5" cm="1">
        <f t="array" ref="E44">IF(ISBLANK(frutta[[#This Row],[COSTO]]),frutta[[#This Row],[PESO]]*_xlfn.XLOOKUP(frutta[[#This Row],[FRUTTA]],_xlfn.ANCHORARRAY($B$50),$C$50:$C$54),frutta[[#This Row],[COSTO]])</f>
        <v>45</v>
      </c>
    </row>
    <row r="45" spans="1:5" ht="12.75" hidden="1" x14ac:dyDescent="0.2">
      <c r="A45" s="2" t="s">
        <v>125</v>
      </c>
      <c r="B45" s="2">
        <v>60</v>
      </c>
      <c r="C45" s="7">
        <v>65</v>
      </c>
      <c r="D45" s="2">
        <f>IF(ISBLANK(frutta[[#This Row],[COSTO]]),"",frutta[[#This Row],[COSTO]]/frutta[[#This Row],[PESO]])</f>
        <v>1.0833333333333333</v>
      </c>
      <c r="E45" s="5" cm="1">
        <f t="array" ref="E45">IF(ISBLANK(frutta[[#This Row],[COSTO]]),frutta[[#This Row],[PESO]]*_xlfn.XLOOKUP(frutta[[#This Row],[FRUTTA]],_xlfn.ANCHORARRAY($B$50),$C$50:$C$54),frutta[[#This Row],[COSTO]])</f>
        <v>65</v>
      </c>
    </row>
    <row r="46" spans="1:5" ht="12.75" x14ac:dyDescent="0.2">
      <c r="A46" s="2" t="s">
        <v>126</v>
      </c>
      <c r="B46" s="2">
        <v>45</v>
      </c>
      <c r="C46" s="6"/>
      <c r="D46" s="2" t="str">
        <f>IF(ISBLANK(frutta[[#This Row],[COSTO]]),"",frutta[[#This Row],[COSTO]]/frutta[[#This Row],[PESO]])</f>
        <v/>
      </c>
      <c r="E46" s="5" cm="1">
        <f t="array" ref="E46">IF(ISBLANK(frutta[[#This Row],[COSTO]]),frutta[[#This Row],[PESO]]*_xlfn.XLOOKUP(frutta[[#This Row],[FRUTTA]],_xlfn.ANCHORARRAY($B$50),$C$50:$C$54),frutta[[#This Row],[COSTO]])</f>
        <v>65.474228896103895</v>
      </c>
    </row>
    <row r="47" spans="1:5" ht="12.75" hidden="1" x14ac:dyDescent="0.2">
      <c r="A47" s="2" t="s">
        <v>127</v>
      </c>
      <c r="B47" s="2">
        <v>25</v>
      </c>
      <c r="C47" s="6"/>
      <c r="D47" s="2" t="str">
        <f>IF(ISBLANK(frutta[[#This Row],[COSTO]]),"",frutta[[#This Row],[COSTO]]/frutta[[#This Row],[PESO]])</f>
        <v/>
      </c>
      <c r="E47" s="5" cm="1">
        <f t="array" ref="E47">IF(ISBLANK(frutta[[#This Row],[COSTO]]),frutta[[#This Row],[PESO]]*_xlfn.XLOOKUP(frutta[[#This Row],[FRUTTA]],_xlfn.ANCHORARRAY($B$50),$C$50:$C$54),frutta[[#This Row],[COSTO]])</f>
        <v>35.346597846597852</v>
      </c>
    </row>
    <row r="49" spans="2:3" ht="15.75" customHeight="1" x14ac:dyDescent="0.2">
      <c r="B49" t="s">
        <v>130</v>
      </c>
      <c r="C49" t="s">
        <v>132</v>
      </c>
    </row>
    <row r="50" spans="2:3" ht="15.75" customHeight="1" x14ac:dyDescent="0.2">
      <c r="B50" t="str" cm="1">
        <f t="array" ref="B50:B54">_xlfn.UNIQUE(frutta[FRUTTA])</f>
        <v>Mela</v>
      </c>
      <c r="C50">
        <f>AVERAGEIFS(frutta[[Costo al kg ]],frutta[FRUTTA],B50)</f>
        <v>1.8558035714285714</v>
      </c>
    </row>
    <row r="51" spans="2:3" ht="15.75" customHeight="1" x14ac:dyDescent="0.2">
      <c r="B51" t="str">
        <v>Banana</v>
      </c>
      <c r="C51">
        <f>AVERAGEIFS(frutta[[Costo al kg ]],frutta[FRUTTA],B51)</f>
        <v>1.4549828643578644</v>
      </c>
    </row>
    <row r="52" spans="2:3" ht="15.75" customHeight="1" x14ac:dyDescent="0.2">
      <c r="B52" t="str">
        <v>Arancia</v>
      </c>
      <c r="C52">
        <f>AVERAGEIFS(frutta[[Costo al kg ]],frutta[FRUTTA],B52)</f>
        <v>1.413863913863914</v>
      </c>
    </row>
    <row r="53" spans="2:3" ht="15.75" customHeight="1" x14ac:dyDescent="0.2">
      <c r="B53" t="str">
        <v>Pera</v>
      </c>
      <c r="C53">
        <f>AVERAGEIFS(frutta[[Costo al kg ]],frutta[FRUTTA],B53)</f>
        <v>1.1780952380952381</v>
      </c>
    </row>
    <row r="54" spans="2:3" ht="15.75" customHeight="1" x14ac:dyDescent="0.2">
      <c r="B54" t="str">
        <v>Uva</v>
      </c>
      <c r="C54">
        <f>AVERAGEIFS(frutta[[Costo al kg ]],frutta[FRUTTA],B54)</f>
        <v>1.2147435897435896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11DD852-4276-4385-A10C-CAEFA0DEE21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Parcheggio</vt:lpstr>
      <vt:lpstr>Frutta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Gabriele Goiza</cp:lastModifiedBy>
  <dcterms:modified xsi:type="dcterms:W3CDTF">2026-07-26T08:55:23Z</dcterms:modified>
</cp:coreProperties>
</file>