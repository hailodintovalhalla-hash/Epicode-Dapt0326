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bri\Desktop\Epicode-Dapt0326\ESERCITAZIONI FINALI\"/>
    </mc:Choice>
  </mc:AlternateContent>
  <xr:revisionPtr revIDLastSave="0" documentId="13_ncr:1_{8C04A4EB-A576-427F-AD25-03CDEA34DD6D}" xr6:coauthVersionLast="47" xr6:coauthVersionMax="47" xr10:uidLastSave="{00000000-0000-0000-0000-000000000000}"/>
  <bookViews>
    <workbookView xWindow="-120" yWindow="-120" windowWidth="29040" windowHeight="15720" tabRatio="929" xr2:uid="{00000000-000D-0000-FFFF-FFFF00000000}"/>
  </bookViews>
  <sheets>
    <sheet name="Strutture ricettive" sheetId="2" r:id="rId1"/>
    <sheet name="Raggruppamento per Cittá e cate" sheetId="4" r:id="rId2"/>
    <sheet name="Ricerca" sheetId="1" r:id="rId3"/>
    <sheet name="Ricerca per cittá" sheetId="8" r:id="rId4"/>
    <sheet name="Analisi prezzi" sheetId="10" r:id="rId5"/>
    <sheet name="Estrazione struttura" sheetId="11" r:id="rId6"/>
    <sheet name="Analisi distribuzione prezzi" sheetId="12" r:id="rId7"/>
    <sheet name="Confrontro tra gruppi" sheetId="13" r:id="rId8"/>
    <sheet name="Correlazione" sheetId="16" r:id="rId9"/>
    <sheet name="Categorie e prezzo" sheetId="14" r:id="rId10"/>
    <sheet name="Conteggio cittá" sheetId="9" r:id="rId11"/>
    <sheet name="Prezzi" sheetId="3" r:id="rId12"/>
    <sheet name="Conteggio denominazione" sheetId="6" r:id="rId13"/>
    <sheet name="Conteggio categorie" sheetId="7" r:id="rId14"/>
  </sheets>
  <definedNames>
    <definedName name="DatiEsterni_1" localSheetId="0" hidden="1">'Strutture ricettive'!$A$8:$H$6266</definedName>
    <definedName name="DatiEsterni_2" localSheetId="9" hidden="1">'Categorie e prezzo'!$A$1:$D$1197</definedName>
    <definedName name="DatiEsterni_2" localSheetId="12" hidden="1">'Conteggio denominazione'!$A$1:$B$5850</definedName>
    <definedName name="DatiEsterni_2" localSheetId="11" hidden="1">Prezzi!$A$1:$B$235</definedName>
    <definedName name="DatiEsterni_3" localSheetId="1" hidden="1">'Raggruppamento per Cittá e cate'!$A$1:$C$1197</definedName>
    <definedName name="DatiEsterni_4" localSheetId="13" hidden="1">'Conteggio categorie'!$A$1:$B$16</definedName>
    <definedName name="DatiEsterni_4" localSheetId="10" hidden="1">'Conteggio cittá'!$A$1:$C$235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2" l="1"/>
  <c r="F37" i="16"/>
  <c r="C5" i="16" l="1"/>
  <c r="C4" i="16"/>
  <c r="O5" i="13"/>
  <c r="G5" i="13"/>
  <c r="P3" i="13" l="1" a="1"/>
  <c r="H3" i="13" a="1"/>
  <c r="O4" i="13"/>
  <c r="G4" i="13"/>
  <c r="E45" i="12"/>
  <c r="E46" i="12"/>
  <c r="E47" i="12"/>
  <c r="D45" i="12"/>
  <c r="D46" i="12"/>
  <c r="D47" i="12"/>
  <c r="C5" i="12"/>
  <c r="C47" i="12"/>
  <c r="C46" i="12"/>
  <c r="C45" i="12"/>
  <c r="C39" i="12"/>
  <c r="C40" i="12"/>
  <c r="C38" i="12"/>
  <c r="C4" i="12"/>
  <c r="D23" i="12"/>
  <c r="C25" i="12" s="1"/>
  <c r="C3" i="12"/>
  <c r="C2" i="12"/>
  <c r="E22" i="11"/>
  <c r="C22" i="11"/>
  <c r="C21" i="11"/>
  <c r="C9" i="11"/>
  <c r="C8" i="11"/>
  <c r="P3" i="13" l="1"/>
  <c r="O7" i="13"/>
  <c r="H3" i="13"/>
  <c r="G7" i="13" s="1"/>
  <c r="O6" i="13"/>
  <c r="G6" i="13"/>
  <c r="F45" i="12"/>
  <c r="F47" i="12"/>
  <c r="F46" i="12"/>
  <c r="D38" i="12"/>
  <c r="F38" i="12" s="1"/>
  <c r="D40" i="12"/>
  <c r="F40" i="12" s="1"/>
  <c r="D39" i="12"/>
  <c r="F39" i="12" s="1"/>
  <c r="C10" i="11"/>
  <c r="C23" i="11"/>
  <c r="E23" i="11"/>
  <c r="D11" i="12"/>
  <c r="D25" i="12"/>
  <c r="B29" i="12" s="1"/>
  <c r="C26" i="12"/>
  <c r="C12" i="12"/>
  <c r="C10" i="12"/>
  <c r="H46" i="12" s="1" a="1"/>
  <c r="H46" i="12" s="1"/>
  <c r="D12" i="12"/>
  <c r="D10" i="12"/>
  <c r="C20" i="10"/>
  <c r="C14" i="10"/>
  <c r="C15" i="10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C11" i="10"/>
  <c r="C10" i="10"/>
  <c r="C11" i="13" l="1"/>
  <c r="C15" i="13" s="1"/>
  <c r="E38" i="12"/>
  <c r="H39" i="12" s="1" a="1"/>
  <c r="H39" i="12" s="1"/>
  <c r="E40" i="12"/>
  <c r="E39" i="12"/>
  <c r="F10" i="12"/>
  <c r="F11" i="12"/>
  <c r="F12" i="12"/>
  <c r="G23" i="11"/>
  <c r="B30" i="12"/>
  <c r="C27" i="12"/>
  <c r="B31" i="12" s="1"/>
  <c r="C12" i="10"/>
  <c r="H7" i="10"/>
  <c r="H10" i="10" s="1" a="1"/>
  <c r="H10" i="10" s="1"/>
  <c r="H8" i="10"/>
  <c r="B37" i="10"/>
  <c r="C36" i="10"/>
  <c r="C22" i="10"/>
  <c r="C21" i="10"/>
  <c r="C9" i="10"/>
  <c r="C8" i="10"/>
  <c r="C7" i="10"/>
  <c r="C6" i="10"/>
  <c r="C5" i="10"/>
  <c r="B13" i="8" a="1"/>
  <c r="B13" i="8" s="1"/>
  <c r="B12" i="8" a="1"/>
  <c r="B12" i="8" s="1"/>
  <c r="D13" i="1"/>
  <c r="D12" i="1"/>
  <c r="D11" i="1" a="1"/>
  <c r="D11" i="1" s="1"/>
  <c r="D10" i="1" a="1"/>
  <c r="D10" i="1" s="1"/>
  <c r="F7" i="1" a="1"/>
  <c r="F7" i="1" s="1"/>
  <c r="D9" i="1" a="1"/>
  <c r="D9" i="1" s="1"/>
  <c r="G5" i="1"/>
  <c r="B38" i="10" l="1"/>
  <c r="C37" i="10"/>
  <c r="C23" i="10"/>
  <c r="B39" i="10" l="1"/>
  <c r="C38" i="10"/>
  <c r="C24" i="10"/>
  <c r="B40" i="10" l="1"/>
  <c r="C39" i="10"/>
  <c r="C25" i="10"/>
  <c r="B41" i="10" l="1"/>
  <c r="C40" i="10"/>
  <c r="C26" i="10"/>
  <c r="B42" i="10" l="1"/>
  <c r="C41" i="10"/>
  <c r="C27" i="10"/>
  <c r="B43" i="10" l="1"/>
  <c r="C42" i="10"/>
  <c r="C28" i="10"/>
  <c r="B44" i="10" l="1"/>
  <c r="C43" i="10"/>
  <c r="C29" i="10"/>
  <c r="B45" i="10" l="1"/>
  <c r="C44" i="10"/>
  <c r="C30" i="10"/>
  <c r="B46" i="10" l="1"/>
  <c r="C46" i="10" s="1"/>
  <c r="C45" i="10"/>
  <c r="C31" i="10"/>
  <c r="C32" i="10" l="1"/>
  <c r="C33" i="10" l="1"/>
  <c r="C34" i="10" l="1"/>
  <c r="C35" i="10" l="1"/>
  <c r="E20" i="10" s="1" a="1"/>
  <c r="E20" i="10" s="1"/>
  <c r="J19" i="10" l="1"/>
  <c r="J20" i="10" l="1"/>
  <c r="J21" i="10" a="1"/>
  <c r="J21" i="10" s="1"/>
  <c r="J23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2A8DF5-50A1-48D7-9355-9661253C1E2E}" keepAlive="1" name="Query - Categorie e prezzo" description="Connessione alla query 'Categorie e prezzo' nella cartella di lavoro." type="5" refreshedVersion="8" background="1" saveData="1">
    <dbPr connection="Provider=Microsoft.Mashup.OleDb.1;Data Source=$Workbook$;Location=&quot;Categorie e prezzo&quot;;Extended Properties=&quot;&quot;" command="SELECT * FROM [Categorie e prezzo]"/>
  </connection>
  <connection id="2" xr16:uid="{13BA7EC5-F9A0-46EF-B11D-8D76BF4C0800}" keepAlive="1" name="Query - Conteggio categorie" description="Connessione alla query 'Conteggio categorie' nella cartella di lavoro." type="5" refreshedVersion="8" background="1" saveData="1">
    <dbPr connection="Provider=Microsoft.Mashup.OleDb.1;Data Source=$Workbook$;Location=&quot;Conteggio categorie&quot;;Extended Properties=&quot;&quot;" command="SELECT * FROM [Conteggio categorie]"/>
  </connection>
  <connection id="3" xr16:uid="{73C838DD-61A1-449E-8D6F-FDF7A7F905B4}" keepAlive="1" name="Query - Conteggio cittá" description="Connessione alla query 'Conteggio cittá' nella cartella di lavoro." type="5" refreshedVersion="8" background="1" saveData="1">
    <dbPr connection="Provider=Microsoft.Mashup.OleDb.1;Data Source=$Workbook$;Location=&quot;Conteggio cittá&quot;;Extended Properties=&quot;&quot;" command="SELECT * FROM [Conteggio cittá]"/>
  </connection>
  <connection id="4" xr16:uid="{D9296FDA-5CF4-4FB1-BF32-B46E4724A276}" keepAlive="1" name="Query - Conteggio cittá e categoria" description="Connessione alla query 'Conteggio cittá e categoria' nella cartella di lavoro." type="5" refreshedVersion="8" background="1" saveData="1">
    <dbPr connection="Provider=Microsoft.Mashup.OleDb.1;Data Source=$Workbook$;Location=&quot;Conteggio cittá e categoria&quot;;Extended Properties=&quot;&quot;" command="SELECT * FROM [Conteggio cittá e categoria]"/>
  </connection>
  <connection id="5" xr16:uid="{A91CC388-B7A6-4F64-BF3E-C1AFFE896735}" keepAlive="1" name="Query - Conteggio denominazioni" description="Connessione alla query 'Conteggio denominazioni' nella cartella di lavoro." type="5" refreshedVersion="8" background="1" saveData="1">
    <dbPr connection="Provider=Microsoft.Mashup.OleDb.1;Data Source=$Workbook$;Location=&quot;Conteggio denominazioni&quot;;Extended Properties=&quot;&quot;" command="SELECT * FROM [Conteggio denominazioni]"/>
  </connection>
  <connection id="6" xr16:uid="{811167CC-B2A0-46A7-B420-4F7EC1CEF464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7" xr16:uid="{5B126E70-BC51-4C86-9F75-0DB21A06AC98}" keepAlive="1" name="Query - RICERCA" description="Connessione alla query 'RICERCA' nella cartella di lavoro." type="5" refreshedVersion="0" background="1">
    <dbPr connection="Provider=Microsoft.Mashup.OleDb.1;Data Source=$Workbook$;Location=RICERCA;Extended Properties=&quot;&quot;" command="SELECT * FROM [RICERCA]"/>
  </connection>
  <connection id="8" xr16:uid="{9282F2D3-5D2C-424B-AD64-DAAA8CEA6B66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<sst xmlns="http://schemas.openxmlformats.org/spreadsheetml/2006/main" count="48694" uniqueCount="19680">
  <si>
    <t>Città</t>
  </si>
  <si>
    <t>Prezzo Medio</t>
  </si>
  <si>
    <t>Urbino</t>
  </si>
  <si>
    <t>Acqualagna</t>
  </si>
  <si>
    <t>Apecchio</t>
  </si>
  <si>
    <t>Auditore</t>
  </si>
  <si>
    <t>Barchi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</si>
  <si>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</si>
  <si>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</si>
  <si>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</si>
  <si>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</si>
  <si>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</si>
  <si>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</si>
  <si>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</si>
  <si>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</si>
  <si>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</si>
  <si>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</si>
  <si>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</si>
  <si>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</si>
  <si>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</si>
  <si>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</si>
  <si>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</si>
  <si>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</si>
  <si>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</si>
  <si>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</si>
  <si>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</si>
  <si>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</si>
  <si>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</si>
  <si>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</si>
  <si>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</si>
  <si>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</si>
  <si>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</si>
  <si>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</si>
  <si>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</si>
  <si>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</si>
  <si>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</si>
  <si>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</si>
  <si>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</si>
  <si>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</si>
  <si>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</si>
  <si>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</si>
  <si>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Pesaro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</si>
  <si>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</si>
  <si>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</si>
  <si>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</si>
  <si>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</si>
  <si>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</si>
  <si>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</si>
  <si>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</si>
  <si>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</si>
  <si>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</si>
  <si>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</si>
  <si>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</si>
  <si>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</si>
  <si>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</si>
  <si>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</si>
  <si>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</si>
  <si>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</si>
  <si>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</si>
  <si>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</si>
  <si>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Vallefoglia</t>
  </si>
  <si>
    <t>Agugliano</t>
  </si>
  <si>
    <t>Ancona</t>
  </si>
  <si>
    <t>Arcevia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</si>
  <si>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</si>
  <si>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</si>
  <si>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</si>
  <si>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</si>
  <si>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</si>
  <si>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</si>
  <si>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</si>
  <si>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</si>
  <si>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</si>
  <si>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</si>
  <si>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</si>
  <si>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</si>
  <si>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</si>
  <si>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</si>
  <si>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</si>
  <si>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</si>
  <si>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</si>
  <si>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</si>
  <si>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</si>
  <si>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</si>
  <si>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</si>
  <si>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</si>
  <si>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</si>
  <si>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</si>
  <si>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</si>
  <si>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</si>
  <si>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</si>
  <si>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</si>
  <si>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</si>
  <si>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</si>
  <si>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</si>
  <si>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</si>
  <si>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</si>
  <si>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</si>
  <si>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</si>
  <si>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</si>
  <si>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</si>
  <si>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</si>
  <si>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</si>
  <si>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</si>
  <si>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</si>
  <si>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</si>
  <si>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</si>
  <si>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</si>
  <si>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</si>
  <si>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</si>
  <si>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</si>
  <si>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</si>
  <si>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</si>
  <si>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</si>
  <si>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</si>
  <si>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</si>
  <si>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</si>
  <si>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</si>
  <si>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</si>
  <si>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</si>
  <si>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</si>
  <si>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</si>
  <si>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</si>
  <si>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</si>
  <si>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</si>
  <si>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</si>
  <si>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</si>
  <si>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</si>
  <si>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</si>
  <si>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</si>
  <si>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</si>
  <si>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</si>
  <si>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</si>
  <si>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</si>
  <si>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</si>
  <si>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</si>
  <si>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</si>
  <si>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</si>
  <si>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</si>
  <si>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</si>
  <si>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</si>
  <si>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</si>
  <si>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</si>
  <si>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</si>
  <si>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</si>
  <si>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</si>
  <si>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</si>
  <si>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</si>
  <si>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</si>
  <si>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</si>
  <si>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</si>
  <si>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</si>
  <si>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</si>
  <si>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</si>
  <si>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</si>
  <si>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</si>
  <si>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</si>
  <si>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</si>
  <si>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</si>
  <si>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</si>
  <si>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</si>
  <si>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</si>
  <si>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</si>
  <si>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</si>
  <si>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</si>
  <si>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</si>
  <si>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</si>
  <si>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</si>
  <si>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</si>
  <si>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</si>
  <si>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</si>
  <si>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</si>
  <si>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</si>
  <si>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</si>
  <si>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</si>
  <si>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</si>
  <si>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</si>
  <si>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</si>
  <si>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</si>
  <si>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</si>
  <si>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</si>
  <si>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</si>
  <si>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</si>
  <si>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</si>
  <si>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</si>
  <si>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</si>
  <si>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</si>
  <si>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</si>
  <si>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</si>
  <si>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</si>
  <si>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</si>
  <si>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</si>
  <si>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</si>
  <si>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</si>
  <si>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</si>
  <si>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</si>
  <si>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</si>
  <si>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</si>
  <si>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</si>
  <si>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</si>
  <si>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</si>
  <si>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</si>
  <si>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</si>
  <si>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</si>
  <si>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</si>
  <si>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</si>
  <si>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</si>
  <si>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</si>
  <si>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</si>
  <si>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</si>
  <si>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</si>
  <si>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</si>
  <si>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</si>
  <si>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</si>
  <si>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</si>
  <si>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</si>
  <si>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</si>
  <si>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</si>
  <si>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</si>
  <si>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</si>
  <si>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</si>
  <si>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</si>
  <si>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</si>
  <si>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</si>
  <si>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</si>
  <si>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</si>
  <si>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</si>
  <si>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</si>
  <si>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</si>
  <si>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</si>
  <si>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</si>
  <si>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</si>
  <si>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</si>
  <si>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</si>
  <si>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</si>
  <si>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</si>
  <si>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Categoria</t>
  </si>
  <si>
    <t>Conteggio</t>
  </si>
  <si>
    <t>Turismo Rurale</t>
  </si>
  <si>
    <t>Altri Alloggi Privati</t>
  </si>
  <si>
    <t>Alberghi</t>
  </si>
  <si>
    <t>Bed &amp; Breakfast</t>
  </si>
  <si>
    <t>Alloggi Agrituristici</t>
  </si>
  <si>
    <t>Alloggi In Affitto</t>
  </si>
  <si>
    <t>Aree Di Sosta (Plein Air)</t>
  </si>
  <si>
    <t>Ostelli Per La Gioventu'</t>
  </si>
  <si>
    <t>Case Per Ferie</t>
  </si>
  <si>
    <t>Rifugi</t>
  </si>
  <si>
    <t>Residenze Turistico Alberghiere</t>
  </si>
  <si>
    <t>Campeggi</t>
  </si>
  <si>
    <t>Stabilimenti Balneari</t>
  </si>
  <si>
    <t>Altri Esercizi Ricettivi</t>
  </si>
  <si>
    <t>Villaggi Turistici</t>
  </si>
  <si>
    <t>Prezzi.Prezzo Medio</t>
  </si>
  <si>
    <t>Denominazione</t>
  </si>
  <si>
    <t>Indirizzo</t>
  </si>
  <si>
    <t>Localita</t>
  </si>
  <si>
    <t>Indirizzo internet</t>
  </si>
  <si>
    <t>Indirizzo di posta elettronica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</si>
  <si>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</si>
  <si>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</si>
  <si>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</si>
  <si>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</si>
  <si>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</si>
  <si>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</si>
  <si>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</si>
  <si>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</si>
  <si>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</si>
  <si>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</si>
  <si>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</si>
  <si>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Marcheholiday - Casale Degli Ulivi</t>
  </si>
  <si>
    <t>Strada San Gregorio 1</t>
  </si>
  <si>
    <t>Loc.Ca Donnino</t>
  </si>
  <si>
    <t>www.marcheholiday.it/ulivi</t>
  </si>
  <si>
    <t>info@marcheholiday.it</t>
  </si>
  <si>
    <t>Betti Vincenzo</t>
  </si>
  <si>
    <t>Via Pole 69</t>
  </si>
  <si>
    <t>Serafini Giorgia</t>
  </si>
  <si>
    <t>Stroppa Giuseppe</t>
  </si>
  <si>
    <t>Strada San Gregorio 12</t>
  </si>
  <si>
    <t>http://lapanoramicadastroppa.webstarts.com/</t>
  </si>
  <si>
    <t>stroppag@libero.it</t>
  </si>
  <si>
    <t>La Colombara</t>
  </si>
  <si>
    <t>Strada Frontino 24</t>
  </si>
  <si>
    <t>Il Conio Di Di Giovanni Federico</t>
  </si>
  <si>
    <t>Strada Pietralatra 1</t>
  </si>
  <si>
    <t>Ca' Garavano</t>
  </si>
  <si>
    <t>Strada Frontino 21</t>
  </si>
  <si>
    <t>www.cagaravano.com</t>
  </si>
  <si>
    <t>urbini.alessandro@alice.it</t>
  </si>
  <si>
    <t>Albergo Antico Furlo</t>
  </si>
  <si>
    <t>Via Flaminia 66</t>
  </si>
  <si>
    <t>www.anticofurlo.it</t>
  </si>
  <si>
    <t>info@anticofurlo.it</t>
  </si>
  <si>
    <t>Agriturismo Castellago</t>
  </si>
  <si>
    <t>Strada Castellaro 18</t>
  </si>
  <si>
    <t>castellago@virgilio.it</t>
  </si>
  <si>
    <t>Agriturismo I Conti</t>
  </si>
  <si>
    <t>Via Pieve Del Colle 11 B</t>
  </si>
  <si>
    <t>Pieve Del Colle</t>
  </si>
  <si>
    <t>www.agriturismoiconti.it</t>
  </si>
  <si>
    <t>info@agriturismoiconti.it</t>
  </si>
  <si>
    <t>B&amp;B Martelloni Cesare</t>
  </si>
  <si>
    <t>Via Pianacce 67</t>
  </si>
  <si>
    <t>www.lalocandadellabbazia.it</t>
  </si>
  <si>
    <t>info@lalocandadellabbazia.it</t>
  </si>
  <si>
    <t>B&amp;B Cristini Cristina</t>
  </si>
  <si>
    <t>Strada Frontino 23</t>
  </si>
  <si>
    <t>cri.cristini@alice.it</t>
  </si>
  <si>
    <t>Birra Al Pozzo</t>
  </si>
  <si>
    <t>Via Pianacce 12</t>
  </si>
  <si>
    <t>www.birraalpozzo.it</t>
  </si>
  <si>
    <t>info@birraalpozzo.it</t>
  </si>
  <si>
    <t>La Ginestra</t>
  </si>
  <si>
    <t>Via Furlo 17</t>
  </si>
  <si>
    <t>www.ginestrafurlo.it</t>
  </si>
  <si>
    <t>info@ginestrafurlo.it</t>
  </si>
  <si>
    <t>Del Frontino</t>
  </si>
  <si>
    <t>B&amp;B Aquilegia</t>
  </si>
  <si>
    <t>Via Furlo 12</t>
  </si>
  <si>
    <t>Furlo</t>
  </si>
  <si>
    <t>www.aquilegiabeb.com</t>
  </si>
  <si>
    <t>info@aquilegiabeb.com</t>
  </si>
  <si>
    <t>Torre Colombara Di Frontino</t>
  </si>
  <si>
    <t>Strada Frontino 24/B</t>
  </si>
  <si>
    <t>luccardi.sandro@gmail.com</t>
  </si>
  <si>
    <t>Albergo Domus Mariae</t>
  </si>
  <si>
    <t>Viale Ezio Scaglioni 17</t>
  </si>
  <si>
    <t>giulianaspini@gmail.com</t>
  </si>
  <si>
    <t>Leon D'Oro</t>
  </si>
  <si>
    <t>Via Flaminia 213</t>
  </si>
  <si>
    <t>Gorgolini Alessandro</t>
  </si>
  <si>
    <t>Via San Gregorio 9</t>
  </si>
  <si>
    <t>ale.gorgolini@gmail.com</t>
  </si>
  <si>
    <t>Albergo Meuble' Shine</t>
  </si>
  <si>
    <t>Via Aldo Gamba 54</t>
  </si>
  <si>
    <t>Stagnozzi Stefania</t>
  </si>
  <si>
    <t>Via Candigliano  5</t>
  </si>
  <si>
    <t>gigliovitto@libero.it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</si>
  <si>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</si>
  <si>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</si>
  <si>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</si>
  <si>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</si>
  <si>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</si>
  <si>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</si>
  <si>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</si>
  <si>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</si>
  <si>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</si>
  <si>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</si>
  <si>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</si>
  <si>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</si>
  <si>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</si>
  <si>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</si>
  <si>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</si>
  <si>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</si>
  <si>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</si>
  <si>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</si>
  <si>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B&amp;B Tocchi Sestilia</t>
  </si>
  <si>
    <t>Fraz. Pozza 88</t>
  </si>
  <si>
    <t>Pozza</t>
  </si>
  <si>
    <t>giulio_deangelis@libero.it</t>
  </si>
  <si>
    <t>Affittacamere Elia Emma</t>
  </si>
  <si>
    <t>Frazione San Martino 27</t>
  </si>
  <si>
    <t>Casaduna</t>
  </si>
  <si>
    <t>B&amp;B Emilia Marilyn Troli</t>
  </si>
  <si>
    <t>Frazione Pozza 100</t>
  </si>
  <si>
    <t>emily75t@live.it</t>
  </si>
  <si>
    <t>Castel Di Luco</t>
  </si>
  <si>
    <t>Localita' Castel Di Luco 1</t>
  </si>
  <si>
    <t>www.casteldiluco.com</t>
  </si>
  <si>
    <t>casteldiluco@tiscali.it</t>
  </si>
  <si>
    <t>B&amp;B Villa Silvia</t>
  </si>
  <si>
    <t>C.Da Santa Maria 172/H</t>
  </si>
  <si>
    <t>Santa Maria</t>
  </si>
  <si>
    <t>silvia.palanca@libero.it</t>
  </si>
  <si>
    <t>Hotel Ristorante Monastero  Valledacqua</t>
  </si>
  <si>
    <t>Localita' Valledacqua 18</t>
  </si>
  <si>
    <t>www.hotelmonasterovalledacqua.it</t>
  </si>
  <si>
    <t>info@hotelmonasterovalledacqua.it</t>
  </si>
  <si>
    <t>B&amp;B Aria Pulita</t>
  </si>
  <si>
    <t>Corso Gregorio Schiavi 8</t>
  </si>
  <si>
    <t>mauriall@yahoo.it</t>
  </si>
  <si>
    <t>B&amp;B Nonna Pia</t>
  </si>
  <si>
    <t>Frazione Favalanciata 5</t>
  </si>
  <si>
    <t>www.nonnapia.it</t>
  </si>
  <si>
    <t>info@nonnapia.it</t>
  </si>
  <si>
    <t>B&amp;B Nepi Maria Assunta</t>
  </si>
  <si>
    <t>Frazione Santa Maria 115</t>
  </si>
  <si>
    <t>guaiani@itol.it</t>
  </si>
  <si>
    <t>B&amp;B Zeppilli Domenico</t>
  </si>
  <si>
    <t>Via Roma 1</t>
  </si>
  <si>
    <t>Pito</t>
  </si>
  <si>
    <t>B&amp;B Torre Colombaia</t>
  </si>
  <si>
    <t>Frazione Cagnano 4/A</t>
  </si>
  <si>
    <t>torrecolombaia@virgilio.it</t>
  </si>
  <si>
    <t>B&amp;B Il Castellano</t>
  </si>
  <si>
    <t>Fraz. Vallecchia Montecolvo 14</t>
  </si>
  <si>
    <t>ilcastellano@gmail.it</t>
  </si>
  <si>
    <t>B&amp;B Villa Fiorita</t>
  </si>
  <si>
    <t>Stallo</t>
  </si>
  <si>
    <t>Agriturismo Il Roccolo</t>
  </si>
  <si>
    <t>Frazione Pomaro 15</t>
  </si>
  <si>
    <t>www.laterradellemeraviglie.it</t>
  </si>
  <si>
    <t>agriturismo@ilroccolo.com</t>
  </si>
  <si>
    <t>Hotel Ristorante Tre Lanterne</t>
  </si>
  <si>
    <t>info@trelanterne.it</t>
  </si>
  <si>
    <t>Albergo Ristorante Terme</t>
  </si>
  <si>
    <t>Piazza Terme 20</t>
  </si>
  <si>
    <t>www.albergoterme.it</t>
  </si>
  <si>
    <t>info@albergoterme.it</t>
  </si>
  <si>
    <t>Hotel Ristorante Il Passo</t>
  </si>
  <si>
    <t>Via Salaria 96</t>
  </si>
  <si>
    <t>www.hotelilpasso.it</t>
  </si>
  <si>
    <t>scrivimi@hotelilpasso.it</t>
  </si>
  <si>
    <t>Hotel Italia</t>
  </si>
  <si>
    <t>Via Del Bagno 59</t>
  </si>
  <si>
    <t>www.termeacquasanta.it</t>
  </si>
  <si>
    <t>info@termeacquasanta.it</t>
  </si>
  <si>
    <t>B&amp;B Di Malloni Ferdinando</t>
  </si>
  <si>
    <t>Via Bagno 10</t>
  </si>
  <si>
    <t>B&amp;B Cuore</t>
  </si>
  <si>
    <t>Frazione Collefalciano 19</t>
  </si>
  <si>
    <t>www.bb-cuore.it</t>
  </si>
  <si>
    <t>info@bb-cuore.it</t>
  </si>
  <si>
    <t>Agriturismo "La Valle Dell'Orso"</t>
  </si>
  <si>
    <t>Via Salaria 1</t>
  </si>
  <si>
    <t>Umito</t>
  </si>
  <si>
    <t>La Valle Verde</t>
  </si>
  <si>
    <t>Localita' Valledacqua 11</t>
  </si>
  <si>
    <t>agrivalleverde@libero.it</t>
  </si>
  <si>
    <t>Hotel Ristorante Il Grillo</t>
  </si>
  <si>
    <t>Contrada Colle In Su 29</t>
  </si>
  <si>
    <t>www.hotelilgrillo.it</t>
  </si>
  <si>
    <t>info@hotelilgrillo.it</t>
  </si>
  <si>
    <t>Abbadetta Resort</t>
  </si>
  <si>
    <t>Via Abbadetta  36</t>
  </si>
  <si>
    <t>www.abbadetta.it</t>
  </si>
  <si>
    <t>sabrina-riccioni@hotmail.com</t>
  </si>
  <si>
    <t>B&amp;B Maria Rosa Scicolone</t>
  </si>
  <si>
    <t>Via G.Panelli 3</t>
  </si>
  <si>
    <t>www.bbmari.it</t>
  </si>
  <si>
    <t>maribb@gmail.com</t>
  </si>
  <si>
    <t>B&amp;B Santa Caterina</t>
  </si>
  <si>
    <t>Contrada Santa Caterina  21</t>
  </si>
  <si>
    <t>www.bbsantacaterina.it</t>
  </si>
  <si>
    <t>info@bbsantacaterina.it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</si>
  <si>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</si>
  <si>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</si>
  <si>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</si>
  <si>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</si>
  <si>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Il Colle</t>
  </si>
  <si>
    <t>Via Dell'Ornato 15</t>
  </si>
  <si>
    <t>gasparrini.giorgio@virgilio.it</t>
  </si>
  <si>
    <t>B&amp;B Della Tartana</t>
  </si>
  <si>
    <t>Via Della Tartana 17</t>
  </si>
  <si>
    <t>www.bbdellatartana.it</t>
  </si>
  <si>
    <t>info@bbdellatartana.it</t>
  </si>
  <si>
    <t>Hotel Ristorante O'Viv</t>
  </si>
  <si>
    <t>Via Marziale 43</t>
  </si>
  <si>
    <t>oviv.acquavivapicena@gmail.com</t>
  </si>
  <si>
    <t>Country House La Forola 1923</t>
  </si>
  <si>
    <t>nicolinocameli@gmail.com</t>
  </si>
  <si>
    <t>Agriturismo Aqua Viva</t>
  </si>
  <si>
    <t>Via Santa Caterina 8</t>
  </si>
  <si>
    <t>www.agriturismoaquaviva.net</t>
  </si>
  <si>
    <t>info@lapaesana.net</t>
  </si>
  <si>
    <t>B&amp;B Verdemare Di Marzetti Antonella</t>
  </si>
  <si>
    <t>C.Da Casarica 29</t>
  </si>
  <si>
    <t>info@bb-verdemare.com</t>
  </si>
  <si>
    <t>B&amp;B Cielo Aperto Di Ivey Clare</t>
  </si>
  <si>
    <t>Via Del Cavaliere 44</t>
  </si>
  <si>
    <t>www.cieloaperto.com</t>
  </si>
  <si>
    <t>clareivey@alice.it</t>
  </si>
  <si>
    <t>B&amp;B La Casa Del Melocotogno</t>
  </si>
  <si>
    <t>Contrada Forola 17</t>
  </si>
  <si>
    <t>www.lacasadelmelocotogno.it</t>
  </si>
  <si>
    <t>info@lacasadelmelocotogno.it</t>
  </si>
  <si>
    <t>B&amp;B Le Antiche Volte</t>
  </si>
  <si>
    <t>Via Dell'Ornato 32</t>
  </si>
  <si>
    <t>www.leantichevolte.com</t>
  </si>
  <si>
    <t>info@leantichevolte.com</t>
  </si>
  <si>
    <t>B&amp;B Seigneur Hill</t>
  </si>
  <si>
    <t>Contrada Abbadetta 79</t>
  </si>
  <si>
    <t>www.bbseigneurhill.it</t>
  </si>
  <si>
    <t>info@bbseigneurhill.it</t>
  </si>
  <si>
    <t>B&amp;B La Luna E La Fortezza</t>
  </si>
  <si>
    <t>Contrada S. Maria In Accubitu  14</t>
  </si>
  <si>
    <t>www.lalunaelafortezza.com</t>
  </si>
  <si>
    <t>info@lalunaelafortezza.com</t>
  </si>
  <si>
    <t>B&amp;B Casa Filippo</t>
  </si>
  <si>
    <t>Via Roma 33/A</t>
  </si>
  <si>
    <t>micio.elia@libero.it</t>
  </si>
  <si>
    <t>B&amp;B Mamma Gina</t>
  </si>
  <si>
    <t>Cda Valle Apparignano  16</t>
  </si>
  <si>
    <t>www.mammagina.info</t>
  </si>
  <si>
    <t>gina.marchetti@tin.it</t>
  </si>
  <si>
    <t>B&amp;B Angelotti Serino</t>
  </si>
  <si>
    <t>Via G. Panelli 3</t>
  </si>
  <si>
    <t>Country House La Cilicchia Di Vesselizza Chiara</t>
  </si>
  <si>
    <t>Via Contrada Colonne 8</t>
  </si>
  <si>
    <t>vesselizzachiara@netoip.com</t>
  </si>
  <si>
    <t>Al Belvedere</t>
  </si>
  <si>
    <t>Piazza Vittorio Emanuele Ii 3</t>
  </si>
  <si>
    <t>www.hotelalbelvedere.it</t>
  </si>
  <si>
    <t>info@hotelalbelvedere.it</t>
  </si>
  <si>
    <t>B&amp;B Sole E Luna</t>
  </si>
  <si>
    <t>C.Da Colonna 12</t>
  </si>
  <si>
    <t>www.solelunabb.altervista.org/</t>
  </si>
  <si>
    <t>bb_soleluna@yahoo.it</t>
  </si>
  <si>
    <t>B&amp;B La Cilicchia</t>
  </si>
  <si>
    <t>C.Da Colonna 8</t>
  </si>
  <si>
    <t>www.lacilicchia.it</t>
  </si>
  <si>
    <t>info@lacilicchia.it</t>
  </si>
  <si>
    <t>B&amp;B La Capinera</t>
  </si>
  <si>
    <t>Contrada Noci 7</t>
  </si>
  <si>
    <t>Frazione Castel D'Emilio</t>
  </si>
  <si>
    <t>www.laterradeicastelli.it/dormire/bbla-capinera</t>
  </si>
  <si>
    <t>robertacapinera@hotmail.it</t>
  </si>
  <si>
    <t>B&amp;B All'Infinito</t>
  </si>
  <si>
    <t>C.Da Barbolano 31</t>
  </si>
  <si>
    <t>missjole@libero.it</t>
  </si>
  <si>
    <t>Tenuta Barbolano B&amp;B</t>
  </si>
  <si>
    <t>Contrada Barbolano 9</t>
  </si>
  <si>
    <t>Contrada Barbolano</t>
  </si>
  <si>
    <t>www.tenutabarbolano.com</t>
  </si>
  <si>
    <t>info@tenutabarbolano.com</t>
  </si>
  <si>
    <t>Garden River</t>
  </si>
  <si>
    <t>Via Ottorino Respighi  Snc</t>
  </si>
  <si>
    <t>Marina</t>
  </si>
  <si>
    <t>www.camping.it/marche/gardenriver</t>
  </si>
  <si>
    <t>centrovacanzegardenriver@gmail.com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</si>
  <si>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</si>
  <si>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</si>
  <si>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</si>
  <si>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</si>
  <si>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</si>
  <si>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</si>
  <si>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</si>
  <si>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</si>
  <si>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Il Casale</t>
  </si>
  <si>
    <t>Contrada Calcara 6</t>
  </si>
  <si>
    <t>www.ristorantecasalealtidona.it</t>
  </si>
  <si>
    <t>info@ristorantecasale.it</t>
  </si>
  <si>
    <t>Agriturismo La Vergara</t>
  </si>
  <si>
    <t>Contrada Svarchi 12</t>
  </si>
  <si>
    <t>www.agriturismolavergara.it</t>
  </si>
  <si>
    <t>info@agriturismolavergara.it</t>
  </si>
  <si>
    <t>Caprice</t>
  </si>
  <si>
    <t>Via Aprutina 43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</si>
  <si>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</si>
  <si>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</si>
  <si>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</si>
  <si>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</si>
  <si>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</si>
  <si>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</si>
  <si>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</si>
  <si>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</si>
  <si>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La Pieve</t>
  </si>
  <si>
    <t>Contrada Latrocella  11</t>
  </si>
  <si>
    <t>www.agriturismolapieve.net</t>
  </si>
  <si>
    <t>info@agriturismolapieve.net</t>
  </si>
  <si>
    <t>Area Sosta Camper I Sibillini</t>
  </si>
  <si>
    <t>Zona Piandicontro</t>
  </si>
  <si>
    <t>Agriturismo Dimensione Natura</t>
  </si>
  <si>
    <t>C.Da San Lorenzo 17</t>
  </si>
  <si>
    <t>info@dimensionenatura.org</t>
  </si>
  <si>
    <t>B&amp;B Il Nascondiglio Di Fayers Mark Andrew</t>
  </si>
  <si>
    <t>Villa Conti 21</t>
  </si>
  <si>
    <t>nascondiglio.com</t>
  </si>
  <si>
    <t>hideawayamandola@aol.com</t>
  </si>
  <si>
    <t>Agriturismo Terra Di Magie</t>
  </si>
  <si>
    <t>C.Da Cerrara 2</t>
  </si>
  <si>
    <t>www.terradimagie.it</t>
  </si>
  <si>
    <t>noi@terradimagie.it</t>
  </si>
  <si>
    <t>Il Convento  (Biancatelli Giuseppina)</t>
  </si>
  <si>
    <t>Via Zoccolanti 2</t>
  </si>
  <si>
    <t>www.camereilconvento.it</t>
  </si>
  <si>
    <t>info@camereilconvento.it</t>
  </si>
  <si>
    <t>B&amp;B La Vena Di Saccuti Costantino</t>
  </si>
  <si>
    <t>Via Villa La Vena 24</t>
  </si>
  <si>
    <t>giuliosaccuti@live.com</t>
  </si>
  <si>
    <t>Borgo Delle Fate</t>
  </si>
  <si>
    <t>Guglielmucci  2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</si>
  <si>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</si>
  <si>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</si>
  <si>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</si>
  <si>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</si>
  <si>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</si>
  <si>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</si>
  <si>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</si>
  <si>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</si>
  <si>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</si>
  <si>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</si>
  <si>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</si>
  <si>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</si>
  <si>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</si>
  <si>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</si>
  <si>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</si>
  <si>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</si>
  <si>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</si>
  <si>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</si>
  <si>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</si>
  <si>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</si>
  <si>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</si>
  <si>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B&amp;B La Casetta Rossa 1840</t>
  </si>
  <si>
    <t>Villa Rustici 24</t>
  </si>
  <si>
    <t>casettarossa1840@hotmail.it</t>
  </si>
  <si>
    <t>Hotel Paradiso</t>
  </si>
  <si>
    <t>Piazza Umberto I 7</t>
  </si>
  <si>
    <t>sibillinihotels.it</t>
  </si>
  <si>
    <t>hparadiso@inwind.it</t>
  </si>
  <si>
    <t>Agriturismo Alto Tenna</t>
  </si>
  <si>
    <t>Contr. Collicelli 10</t>
  </si>
  <si>
    <t>Societa' Agroforestale Marchigiana San Ruffino Srl</t>
  </si>
  <si>
    <t>www.sanruffino.com</t>
  </si>
  <si>
    <t>info@sanruffino.com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</si>
  <si>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</si>
  <si>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</si>
  <si>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</si>
  <si>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</si>
  <si>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</si>
  <si>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</si>
  <si>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</si>
  <si>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</si>
  <si>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</si>
  <si>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</si>
  <si>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</si>
  <si>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</si>
  <si>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</si>
  <si>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</si>
  <si>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</si>
  <si>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</si>
  <si>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</si>
  <si>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</si>
  <si>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</si>
  <si>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</si>
  <si>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</si>
  <si>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Via Fabio Filzi 2</t>
  </si>
  <si>
    <t>b.flo@libero.it</t>
  </si>
  <si>
    <t>La Mela Rosa</t>
  </si>
  <si>
    <t>Località Villa Caccianebbia 4</t>
  </si>
  <si>
    <t>Località Villa Caccianebbia</t>
  </si>
  <si>
    <t>randpbetts@gmail.com</t>
  </si>
  <si>
    <t>Agriturismo I Gelsi</t>
  </si>
  <si>
    <t>selandari.marco@libero.it</t>
  </si>
  <si>
    <t>Fiori Del Conero</t>
  </si>
  <si>
    <t>Via Della Ferrovia  28/A</t>
  </si>
  <si>
    <t>www.fioridelconero.it</t>
  </si>
  <si>
    <t>fioridelconero@gmail.com</t>
  </si>
  <si>
    <t>Anna Maria Pergolesi</t>
  </si>
  <si>
    <t>Via Monte Zoia 91/B</t>
  </si>
  <si>
    <t>info@latorredelpoggio.it</t>
  </si>
  <si>
    <t>B&amp;B Il Verde Pino</t>
  </si>
  <si>
    <t>Via Chienti 24</t>
  </si>
  <si>
    <t>Loc.Torrette</t>
  </si>
  <si>
    <t>ilverdepino@yahoo.it</t>
  </si>
  <si>
    <t>www.ilverdepino.it</t>
  </si>
  <si>
    <t>B&amp;B Ancona</t>
  </si>
  <si>
    <t>Via Cardeto 3</t>
  </si>
  <si>
    <t>www.anconabb.it</t>
  </si>
  <si>
    <t>info@anconabb.it</t>
  </si>
  <si>
    <t>L'Antigo Granaro</t>
  </si>
  <si>
    <t>Contrada San Luigi 108</t>
  </si>
  <si>
    <t>Gallignano</t>
  </si>
  <si>
    <t>www.camereantigogranaro.com</t>
  </si>
  <si>
    <t>helene.cb@tiscali.it</t>
  </si>
  <si>
    <t>B&amp;B Villa Fioreconero</t>
  </si>
  <si>
    <t>Strada Del Castellano 42</t>
  </si>
  <si>
    <t>www.villafioreconero.it</t>
  </si>
  <si>
    <t>info@villafioreconero.it</t>
  </si>
  <si>
    <t>Conerobellavista Di Benadduci P. E Rossetti C.</t>
  </si>
  <si>
    <t>Frazione Poggio 137</t>
  </si>
  <si>
    <t>katia.ross@libero.it</t>
  </si>
  <si>
    <t>Chalet 4 Fontane Beach</t>
  </si>
  <si>
    <t>Via Flaminia 364 Spiaggia Palombina Nuova 364</t>
  </si>
  <si>
    <t>Spiaggia Palombina Nuova</t>
  </si>
  <si>
    <t>tbstartup@gmail.com</t>
  </si>
  <si>
    <t>www.palombinabeach.com</t>
  </si>
  <si>
    <t>B&amp;B Badiali Ornella</t>
  </si>
  <si>
    <t>Via Alcide De Gasperi 8</t>
  </si>
  <si>
    <t>B&amp;B Alma Antigua</t>
  </si>
  <si>
    <t>Via Lamaticci 10</t>
  </si>
  <si>
    <t>ivapino@alice.it</t>
  </si>
  <si>
    <t>Le Fontanelle</t>
  </si>
  <si>
    <t>Frazione Poggio 78/A</t>
  </si>
  <si>
    <t>www.latorredelpoggio.it</t>
  </si>
  <si>
    <t>lefontanelle@latorredelpoggio.it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</si>
  <si>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</si>
  <si>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</si>
  <si>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</si>
  <si>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</si>
  <si>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</si>
  <si>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</si>
  <si>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</si>
  <si>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</si>
  <si>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</si>
  <si>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</si>
  <si>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</si>
  <si>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</si>
  <si>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</si>
  <si>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</si>
  <si>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</si>
  <si>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</si>
  <si>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</si>
  <si>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</si>
  <si>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</si>
  <si>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</si>
  <si>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</si>
  <si>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albergocantiani@alice.it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</si>
  <si>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</si>
  <si>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</si>
  <si>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</si>
  <si>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</si>
  <si>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</si>
  <si>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</si>
  <si>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</si>
  <si>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</si>
  <si>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</si>
  <si>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</si>
  <si>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</si>
  <si>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</si>
  <si>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</si>
  <si>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</si>
  <si>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</si>
  <si>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</si>
  <si>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</si>
  <si>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</si>
  <si>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Oasi</t>
  </si>
  <si>
    <t>Via Flaminia 1 1</t>
  </si>
  <si>
    <t>Palombina Nuova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</si>
  <si>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</si>
  <si>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</si>
  <si>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</si>
  <si>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</si>
  <si>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</si>
  <si>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</si>
  <si>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</si>
  <si>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</si>
  <si>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</si>
  <si>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</si>
  <si>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</si>
  <si>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</si>
  <si>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</si>
  <si>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</si>
  <si>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</si>
  <si>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</si>
  <si>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</si>
  <si>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</si>
  <si>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</si>
  <si>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</si>
  <si>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</si>
  <si>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</si>
  <si>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</si>
  <si>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</si>
  <si>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</si>
  <si>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</si>
  <si>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</si>
  <si>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Coppola Giancarlo &amp; Figli</t>
  </si>
  <si>
    <t>Frazione Massignano 68</t>
  </si>
  <si>
    <t>www.agriturismoconero.com</t>
  </si>
  <si>
    <t>coppolagiamaglipaola@yahoo.it</t>
  </si>
  <si>
    <t>B&amp;B Il Bosco Degli Allori</t>
  </si>
  <si>
    <t>Via Montacuto 85</t>
  </si>
  <si>
    <t>annalisapassarini@gmail.com</t>
  </si>
  <si>
    <t>Affittacamere Torrette Di Ancona</t>
  </si>
  <si>
    <t>Via Conca 14</t>
  </si>
  <si>
    <t>Torrette Di Ancona</t>
  </si>
  <si>
    <t>giannicesarone@gmail.com</t>
  </si>
  <si>
    <t>B&amp;B Scattomatto</t>
  </si>
  <si>
    <t>Via Zuccarini 7</t>
  </si>
  <si>
    <t>www.bedandbreakfastscattomatto.com</t>
  </si>
  <si>
    <t>scattomattoinfo@gmail.com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</si>
  <si>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</si>
  <si>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</si>
  <si>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</si>
  <si>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</si>
  <si>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</si>
  <si>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</si>
  <si>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Villa Colle</t>
  </si>
  <si>
    <t>Via Del Castellano 38</t>
  </si>
  <si>
    <t>laura.ugga@libero.it</t>
  </si>
  <si>
    <t>A 3 Passi</t>
  </si>
  <si>
    <t>Via Del Carmine 51</t>
  </si>
  <si>
    <t>www.a3passi.com</t>
  </si>
  <si>
    <t>a3passi@aziendadelcarmine.it</t>
  </si>
  <si>
    <t>Poggio Del Conero</t>
  </si>
  <si>
    <t>Fraz. Poggio 112</t>
  </si>
  <si>
    <t>Poggio Di Ancona</t>
  </si>
  <si>
    <t>www.poggiodelconero.com</t>
  </si>
  <si>
    <t>info@poggiodelconero.com</t>
  </si>
  <si>
    <t>Appartamento Uso Turistico Di Rossetti C. E Benadducci P.</t>
  </si>
  <si>
    <t>B&amp;B Rose Di Pane - Ancona Centro</t>
  </si>
  <si>
    <t>Via C. Battisti 18</t>
  </si>
  <si>
    <t>www.rosedipane.it</t>
  </si>
  <si>
    <t>paola.lenci@txm.it</t>
  </si>
  <si>
    <t>Hotel City Dipendenza</t>
  </si>
  <si>
    <t>Via Matteotti 175</t>
  </si>
  <si>
    <t>www.hotelcityancona.it</t>
  </si>
  <si>
    <t>info@hotelcityancona.it</t>
  </si>
  <si>
    <t>B&amp;B I Trinci</t>
  </si>
  <si>
    <t>Via Montecavallo 358</t>
  </si>
  <si>
    <t>Frazione Varano</t>
  </si>
  <si>
    <t>conerotrinci@gmail.com</t>
  </si>
  <si>
    <t>augustotrinci17@gmail.com</t>
  </si>
  <si>
    <t>Motor Motel</t>
  </si>
  <si>
    <t>Asse Nord Sud 1</t>
  </si>
  <si>
    <t>Loc.Colleverde Presso Stazione Di Servizio Q8</t>
  </si>
  <si>
    <t>adolfopedroso@gmail.com</t>
  </si>
  <si>
    <t>Aluigi Giusi</t>
  </si>
  <si>
    <t>Via Frediani 22</t>
  </si>
  <si>
    <t>studiolegalealuigi@libero.it</t>
  </si>
  <si>
    <t>Cakao Beach</t>
  </si>
  <si>
    <t>Palombina Nuova 23</t>
  </si>
  <si>
    <t>cakaobeachclub@gmail.com</t>
  </si>
  <si>
    <t>B&amp;B L'Assiolo</t>
  </si>
  <si>
    <t>Strada Del Castellano 71/D</t>
  </si>
  <si>
    <t>assiolobedandbreakfast@gmail.com</t>
  </si>
  <si>
    <t>B&amp;B Villa Any</t>
  </si>
  <si>
    <t>Via Delle Ville 12/B</t>
  </si>
  <si>
    <t>ispettore.marchetti@gmail.com</t>
  </si>
  <si>
    <t>B&amp;B Arts And Music</t>
  </si>
  <si>
    <t>Corso Garibaldi, 110 110</t>
  </si>
  <si>
    <t>Centro</t>
  </si>
  <si>
    <t>www.bbancona.com</t>
  </si>
  <si>
    <t>chicco_1986@hotmail.it</t>
  </si>
  <si>
    <t>B&amp;B I Tre Gelsi</t>
  </si>
  <si>
    <t>Strada Vecchia Pietralacroce 30</t>
  </si>
  <si>
    <t>www.itregelsi.com</t>
  </si>
  <si>
    <t>itregelsi.bb@gmail.com</t>
  </si>
  <si>
    <t>B&amp;B Le Querce</t>
  </si>
  <si>
    <t>Via Della Ferrovia  25</t>
  </si>
  <si>
    <t>luigigiorgino@virgilio.it</t>
  </si>
  <si>
    <t>B&amp;B Grigra'</t>
  </si>
  <si>
    <t>Via Trento  5</t>
  </si>
  <si>
    <t>morris662009@libero.it</t>
  </si>
  <si>
    <t>Borgoparvo</t>
  </si>
  <si>
    <t>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</si>
  <si>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</si>
  <si>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</si>
  <si>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</si>
  <si>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</si>
  <si>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</si>
  <si>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</si>
  <si>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</si>
  <si>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</si>
  <si>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</si>
  <si>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</si>
  <si>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</si>
  <si>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</si>
  <si>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</si>
  <si>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</si>
  <si>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</si>
  <si>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</si>
  <si>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</si>
  <si>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</si>
  <si>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</si>
  <si>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Il Grecale</t>
  </si>
  <si>
    <t>Via Archibugi 3</t>
  </si>
  <si>
    <t>www.ilgrecaleancona.it</t>
  </si>
  <si>
    <t>info@ilgrecaleancona.it;</t>
  </si>
  <si>
    <t>B&amp;B La Campagna Del Conero</t>
  </si>
  <si>
    <t>Loc. Massignano</t>
  </si>
  <si>
    <t>mauri.biagi.vale@alice.it</t>
  </si>
  <si>
    <t>Marconi Katia</t>
  </si>
  <si>
    <t>Via Del Carmine 53</t>
  </si>
  <si>
    <t>carlo.cap@alice.it</t>
  </si>
  <si>
    <t>B&amp;B Torre Di Portonovo</t>
  </si>
  <si>
    <t>torrediportonovo@gmail.com</t>
  </si>
  <si>
    <t>Affittacamere Euro</t>
  </si>
  <si>
    <t>Corso Giuseppe Mazzini 142</t>
  </si>
  <si>
    <t>affittacamereeuro@hotmail.it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</si>
  <si>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</si>
  <si>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</si>
  <si>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</si>
  <si>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</si>
  <si>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</si>
  <si>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</si>
  <si>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</si>
  <si>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</si>
  <si>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Frazione Poggio 1</t>
  </si>
  <si>
    <t>Portonovo</t>
  </si>
  <si>
    <t>info@baiadiportonovo.it</t>
  </si>
  <si>
    <t>B&amp;B Cristina</t>
  </si>
  <si>
    <t>Via Vallemiano 9</t>
  </si>
  <si>
    <t>cristina.cognini@gmail.com</t>
  </si>
  <si>
    <t>Hotel Europa</t>
  </si>
  <si>
    <t>Via Sentino 3</t>
  </si>
  <si>
    <t>Loc. Torrette</t>
  </si>
  <si>
    <t>www.hoteleuropa-ancona.it</t>
  </si>
  <si>
    <t>info@hoteleuropa-ancona.it</t>
  </si>
  <si>
    <t>B&amp;B Monte Mare Di Sauro Corinaldesi</t>
  </si>
  <si>
    <t>Frazione Poggio 1A</t>
  </si>
  <si>
    <t>emanuele.agostinelli@fastnet.it</t>
  </si>
  <si>
    <t>Agriturismo La Sorgente</t>
  </si>
  <si>
    <t>Frazione Poggio 114</t>
  </si>
  <si>
    <t>www.lasorgenteagriturismo.com</t>
  </si>
  <si>
    <t>info@lasorgenteagriturismo.com</t>
  </si>
  <si>
    <t>Emilia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</si>
  <si>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</si>
  <si>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</si>
  <si>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</si>
  <si>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</si>
  <si>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</si>
  <si>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</si>
  <si>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</si>
  <si>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</si>
  <si>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</si>
  <si>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</si>
  <si>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</si>
  <si>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Italia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</si>
  <si>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</si>
  <si>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</si>
  <si>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</si>
  <si>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</si>
  <si>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</si>
  <si>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</si>
  <si>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</si>
  <si>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</si>
  <si>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</si>
  <si>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</si>
  <si>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</si>
  <si>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</si>
  <si>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</si>
  <si>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</si>
  <si>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</si>
  <si>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</si>
  <si>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</si>
  <si>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</si>
  <si>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</si>
  <si>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</si>
  <si>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</si>
  <si>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</si>
  <si>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</si>
  <si>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</si>
  <si>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</si>
  <si>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</si>
  <si>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</si>
  <si>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</si>
  <si>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B&amp;B La Casa Di Licia Di Buglioni Anna Paola</t>
  </si>
  <si>
    <t>Frazione Montesicuro 198</t>
  </si>
  <si>
    <t>bb@lacasadilicia.it</t>
  </si>
  <si>
    <t>Residence Junior</t>
  </si>
  <si>
    <t>Via Torrioni 5</t>
  </si>
  <si>
    <t>www.residencedegliaranci.com</t>
  </si>
  <si>
    <t>info@residencedegliaranci.com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</si>
  <si>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</si>
  <si>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</si>
  <si>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</si>
  <si>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</si>
  <si>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</si>
  <si>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</si>
  <si>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</si>
  <si>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</si>
  <si>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</si>
  <si>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</si>
  <si>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</si>
  <si>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Stella Maris</t>
  </si>
  <si>
    <t>Via Colle Ameno 5</t>
  </si>
  <si>
    <t>Torrette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</si>
  <si>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</si>
  <si>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</si>
  <si>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</si>
  <si>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</si>
  <si>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</si>
  <si>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</si>
  <si>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</si>
  <si>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</si>
  <si>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</si>
  <si>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</si>
  <si>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</si>
  <si>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</si>
  <si>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</si>
  <si>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</si>
  <si>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</si>
  <si>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</si>
  <si>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</si>
  <si>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</si>
  <si>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</si>
  <si>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</si>
  <si>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</si>
  <si>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</si>
  <si>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</si>
  <si>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Residence Degli Aranci</t>
  </si>
  <si>
    <t>Via Degli Aranci 1</t>
  </si>
  <si>
    <t>Dorico</t>
  </si>
  <si>
    <t>Via Flaminia 8</t>
  </si>
  <si>
    <t>www.albergodorico.com</t>
  </si>
  <si>
    <t>hoteldorico@gmail.com</t>
  </si>
  <si>
    <t>Milano</t>
  </si>
  <si>
    <t>Via Montebello 1/A</t>
  </si>
  <si>
    <t>info@hotelmilano-hm.it</t>
  </si>
  <si>
    <t>Grand Hotel Passetto</t>
  </si>
  <si>
    <t>Via Paolo Thaon De Revel 1</t>
  </si>
  <si>
    <t>www.hotelpassetto.it</t>
  </si>
  <si>
    <t>info@hotelpassetto.it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</si>
  <si>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</si>
  <si>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</si>
  <si>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</si>
  <si>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</si>
  <si>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</si>
  <si>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</si>
  <si>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</si>
  <si>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</si>
  <si>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</si>
  <si>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</si>
  <si>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</si>
  <si>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</si>
  <si>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</si>
  <si>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</si>
  <si>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</si>
  <si>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</si>
  <si>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</si>
  <si>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</si>
  <si>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</si>
  <si>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</si>
  <si>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</si>
  <si>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</si>
  <si>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</si>
  <si>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</si>
  <si>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</si>
  <si>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</si>
  <si>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</si>
  <si>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</si>
  <si>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</si>
  <si>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</si>
  <si>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</si>
  <si>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</si>
  <si>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</si>
  <si>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</si>
  <si>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</si>
  <si>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</si>
  <si>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</si>
  <si>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</si>
  <si>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</si>
  <si>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</si>
  <si>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</si>
  <si>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</si>
  <si>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</si>
  <si>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</si>
  <si>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</si>
  <si>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</si>
  <si>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</si>
  <si>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</si>
  <si>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</si>
  <si>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</si>
  <si>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</si>
  <si>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</si>
  <si>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</si>
  <si>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</si>
  <si>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</si>
  <si>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</si>
  <si>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</si>
  <si>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</si>
  <si>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</si>
  <si>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</si>
  <si>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</si>
  <si>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</si>
  <si>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</si>
  <si>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</si>
  <si>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</si>
  <si>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</si>
  <si>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</si>
  <si>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</si>
  <si>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</si>
  <si>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</si>
  <si>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</si>
  <si>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</si>
  <si>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</si>
  <si>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</si>
  <si>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</si>
  <si>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</si>
  <si>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</si>
  <si>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</si>
  <si>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</si>
  <si>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</si>
  <si>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</si>
  <si>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</si>
  <si>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</si>
  <si>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</si>
  <si>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</si>
  <si>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</si>
  <si>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</si>
  <si>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ilcorbezzolo@alice.it</t>
  </si>
  <si>
    <t>Rosso Conero</t>
  </si>
  <si>
    <t>Frazione Varano 147</t>
  </si>
  <si>
    <t>info@fattorialucesole.it</t>
  </si>
  <si>
    <t>Hotel Seeport</t>
  </si>
  <si>
    <t>Via Rupi Di Xxix Settembre 12</t>
  </si>
  <si>
    <t>www.seeporthotel.com</t>
  </si>
  <si>
    <t>info@seeporthotel.com</t>
  </si>
  <si>
    <t>Salati Viviana</t>
  </si>
  <si>
    <t>Via Del Castellano 42</t>
  </si>
  <si>
    <t>L'Antigo Granaro Di Cherequefosse Barsacq Helene</t>
  </si>
  <si>
    <t>Frazione Gallignano</t>
  </si>
  <si>
    <t>La Capannina</t>
  </si>
  <si>
    <t>www.lacapannina-portonovo.com</t>
  </si>
  <si>
    <t>info@lacapanninadiportonovo.it</t>
  </si>
  <si>
    <t>Ricci Fausto</t>
  </si>
  <si>
    <t>Via Flaminia 396</t>
  </si>
  <si>
    <t>B&amp;B Ciao Ancona</t>
  </si>
  <si>
    <t>Via Brodolini 12</t>
  </si>
  <si>
    <t>Baleani Paola "La Playa"</t>
  </si>
  <si>
    <t>Via Palombina Vecchia 1 1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</si>
  <si>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</si>
  <si>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</si>
  <si>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</si>
  <si>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</si>
  <si>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</si>
  <si>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</si>
  <si>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</si>
  <si>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</si>
  <si>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</si>
  <si>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</si>
  <si>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</si>
  <si>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</si>
  <si>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</si>
  <si>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</si>
  <si>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Frazione Poggio 1 1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</si>
  <si>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</si>
  <si>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</si>
  <si>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</si>
  <si>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</si>
  <si>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</si>
  <si>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</si>
  <si>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</si>
  <si>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</si>
  <si>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</si>
  <si>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</si>
  <si>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</si>
  <si>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</si>
  <si>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</si>
  <si>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</si>
  <si>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</si>
  <si>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</si>
  <si>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</si>
  <si>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</si>
  <si>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Diego Staffolani</t>
  </si>
  <si>
    <t>Via Montacuto 91/B</t>
  </si>
  <si>
    <t>staffolani.diego@gmail.com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</si>
  <si>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</si>
  <si>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</si>
  <si>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</si>
  <si>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</si>
  <si>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</si>
  <si>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</si>
  <si>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</si>
  <si>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</si>
  <si>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</si>
  <si>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</si>
  <si>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</si>
  <si>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</si>
  <si>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</si>
  <si>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</si>
  <si>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</si>
  <si>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</si>
  <si>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</si>
  <si>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</si>
  <si>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</si>
  <si>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</si>
  <si>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</si>
  <si>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</si>
  <si>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</si>
  <si>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</si>
  <si>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</si>
  <si>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</si>
  <si>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B&amp;B Gloria</t>
  </si>
  <si>
    <t>Via Ruggeri  43</t>
  </si>
  <si>
    <t>mauriz65@tiscali.it</t>
  </si>
  <si>
    <t>B&amp;B La Torre Del Poggio</t>
  </si>
  <si>
    <t>Frazione Poggio 78</t>
  </si>
  <si>
    <t>B&amp;B Punto E A Capo</t>
  </si>
  <si>
    <t>Via Maggini 130</t>
  </si>
  <si>
    <t>puntoeacapobb@hotmail.com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</si>
  <si>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</si>
  <si>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</si>
  <si>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</si>
  <si>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</si>
  <si>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</si>
  <si>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</si>
  <si>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</si>
  <si>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mauro.bottone@fastwebnet.it</t>
  </si>
  <si>
    <t>stabilimento.otello@gmail.com</t>
  </si>
  <si>
    <t>Romano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</si>
  <si>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</si>
  <si>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</si>
  <si>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</si>
  <si>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</si>
  <si>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</si>
  <si>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</si>
  <si>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</si>
  <si>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</si>
  <si>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</si>
  <si>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</si>
  <si>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</si>
  <si>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</si>
  <si>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</si>
  <si>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</si>
  <si>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</si>
  <si>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</si>
  <si>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</si>
  <si>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</si>
  <si>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</si>
  <si>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Cori Carlo</t>
  </si>
  <si>
    <t>Via Palombina Vecchia 1</t>
  </si>
  <si>
    <t>paolo@paolocori.com</t>
  </si>
  <si>
    <t>Spiaggiabonetti</t>
  </si>
  <si>
    <t>info@spiaggiabonetti.it</t>
  </si>
  <si>
    <t>spiaggiabonetti.it</t>
  </si>
  <si>
    <t>Batabano' Snc Di Angeletti E Brocchini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</si>
  <si>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</si>
  <si>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</si>
  <si>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</si>
  <si>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</si>
  <si>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</si>
  <si>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</si>
  <si>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Renata Paolini</t>
  </si>
  <si>
    <t>Via Montacuto 43</t>
  </si>
  <si>
    <t>paolinirenata@gmail.com</t>
  </si>
  <si>
    <t>Fonte Del Conero</t>
  </si>
  <si>
    <t>Fraz. Poggio 107/A</t>
  </si>
  <si>
    <t>fontedelconero@yahoo.it</t>
  </si>
  <si>
    <t>B&amp;B La Piracanta</t>
  </si>
  <si>
    <t>Via Togliatti 110</t>
  </si>
  <si>
    <t>m2val1960@gmail.com</t>
  </si>
  <si>
    <t>B&amp;B Bello Come Il Sole</t>
  </si>
  <si>
    <t>Via Montesicuro 200</t>
  </si>
  <si>
    <t>marina.pietroni@gmail.com</t>
  </si>
  <si>
    <t>Affittacamere Torresi</t>
  </si>
  <si>
    <t>affittacamere.torresi@gmail.com</t>
  </si>
  <si>
    <t>B&amp;B Shabby Chic</t>
  </si>
  <si>
    <t>Via Sappanico 112</t>
  </si>
  <si>
    <t>robertapiccia@tiscali.it</t>
  </si>
  <si>
    <t>B&amp;B Gli Ulivi</t>
  </si>
  <si>
    <t>Via De Dominicis 30</t>
  </si>
  <si>
    <t>http://www.ulivibb.it</t>
  </si>
  <si>
    <t>info@ulivibb.it</t>
  </si>
  <si>
    <t>Residence Ancona</t>
  </si>
  <si>
    <t>Lungomare Vanvitelli 6</t>
  </si>
  <si>
    <t>www.residenceancona.it</t>
  </si>
  <si>
    <t>palace.ancona@libero.it</t>
  </si>
  <si>
    <t>B&amp;B Valentina</t>
  </si>
  <si>
    <t>Via Appennini 46/D</t>
  </si>
  <si>
    <t>maxgradara@libero.it</t>
  </si>
  <si>
    <t>Il Porticciolo</t>
  </si>
  <si>
    <t>Spiaggia Palombina Nuova 7</t>
  </si>
  <si>
    <t>capogrossi.g@pec.confartigianato.it</t>
  </si>
  <si>
    <t>Le Ciocche</t>
  </si>
  <si>
    <t>ale_cipi@live.it</t>
  </si>
  <si>
    <t>B&amp;B Biscubio</t>
  </si>
  <si>
    <t>Via Circonvallazione 46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</si>
  <si>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</si>
  <si>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</si>
  <si>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</si>
  <si>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</si>
  <si>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</si>
  <si>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</si>
  <si>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</si>
  <si>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</si>
  <si>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</si>
  <si>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</si>
  <si>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</si>
  <si>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</si>
  <si>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</si>
  <si>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</si>
  <si>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</si>
  <si>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</si>
  <si>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</si>
  <si>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</si>
  <si>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</si>
  <si>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</si>
  <si>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</si>
  <si>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</si>
  <si>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</si>
  <si>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</si>
  <si>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</si>
  <si>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</si>
  <si>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</si>
  <si>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</si>
  <si>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</si>
  <si>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</si>
  <si>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</si>
  <si>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</si>
  <si>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</si>
  <si>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</si>
  <si>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</si>
  <si>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</si>
  <si>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</si>
  <si>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</si>
  <si>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</si>
  <si>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</si>
  <si>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</si>
  <si>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</si>
  <si>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</si>
  <si>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Affittacamere Appennino</t>
  </si>
  <si>
    <t>Via Garibaldi 9</t>
  </si>
  <si>
    <t>Country House La Spina</t>
  </si>
  <si>
    <t>Vocabolo Spina 1</t>
  </si>
  <si>
    <t>www.countryhouselaspina.it</t>
  </si>
  <si>
    <t>info@countryhouselaspina.it</t>
  </si>
  <si>
    <t>B&amp;B Il Borgo</t>
  </si>
  <si>
    <t>Borgo Mazzini 28</t>
  </si>
  <si>
    <t>stevemugs@gmail.com</t>
  </si>
  <si>
    <t>Villa Santa Maria</t>
  </si>
  <si>
    <t>Via Cagli 89</t>
  </si>
  <si>
    <t>Fraz. Serravalle</t>
  </si>
  <si>
    <t>Ostello Della Gioventu' La Chiusura (Cucchiarini Aldo Loris)</t>
  </si>
  <si>
    <t>Via Dante Alighieri 1</t>
  </si>
  <si>
    <t>cooplamacina@info-net.it</t>
  </si>
  <si>
    <t>Essiccatoio</t>
  </si>
  <si>
    <t>Vocabolo Val D' Acqua 1</t>
  </si>
  <si>
    <t>Val Del Lago</t>
  </si>
  <si>
    <t>Vocabolo Acquapartita 1</t>
  </si>
  <si>
    <t>Loc. Val Del Lago</t>
  </si>
  <si>
    <t>lpraziendaagricola@gmail.com</t>
  </si>
  <si>
    <t>Ca' Cirigiolo</t>
  </si>
  <si>
    <t>Loc. Casa Nuova Di Cirigiolo  S/N</t>
  </si>
  <si>
    <t>www.cacirigiolo.it</t>
  </si>
  <si>
    <t>info@cacirigiolo.it</t>
  </si>
  <si>
    <t>Chignoni</t>
  </si>
  <si>
    <t>Vocabolo Chignoni 1</t>
  </si>
  <si>
    <t>www.chignoni.it</t>
  </si>
  <si>
    <t>info@chignoni.it</t>
  </si>
  <si>
    <t>Caselle</t>
  </si>
  <si>
    <t>marialaura@jumpi.it</t>
  </si>
  <si>
    <t>Casellina</t>
  </si>
  <si>
    <t>Loc. La Casellina 1</t>
  </si>
  <si>
    <t>Col Di Fiore</t>
  </si>
  <si>
    <t>Loc Col Di Fiore Snc</t>
  </si>
  <si>
    <t>Montenerone</t>
  </si>
  <si>
    <t>Localita' Pian Di Trebbio 81</t>
  </si>
  <si>
    <t>www.hotelmontenerone.it</t>
  </si>
  <si>
    <t>info@hotelmontenerone.it</t>
  </si>
  <si>
    <t>Lucaraia</t>
  </si>
  <si>
    <t>Localita' Lucaraia 1</t>
  </si>
  <si>
    <t>Ca' Quattrocchi</t>
  </si>
  <si>
    <t>Taverna</t>
  </si>
  <si>
    <t>Vocabolo Caselle 1</t>
  </si>
  <si>
    <t>marialaura@jumpi.it;</t>
  </si>
  <si>
    <t>Agriturismo La Casa Del Sole</t>
  </si>
  <si>
    <t>Via San Salvatore 1</t>
  </si>
  <si>
    <t>www.agriturismonellemarche.it</t>
  </si>
  <si>
    <t>deluca_rosanna@virgilio.it</t>
  </si>
  <si>
    <t>Area Sosta Camper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</si>
  <si>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</si>
  <si>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</si>
  <si>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</si>
  <si>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</si>
  <si>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</si>
  <si>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</si>
  <si>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</si>
  <si>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</si>
  <si>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</si>
  <si>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</si>
  <si>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</si>
  <si>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</si>
  <si>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</si>
  <si>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</si>
  <si>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</si>
  <si>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</si>
  <si>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</si>
  <si>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</si>
  <si>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</si>
  <si>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</si>
  <si>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</si>
  <si>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</si>
  <si>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Alloggio Agrituristico Colleverde</t>
  </si>
  <si>
    <t>Contrada Cozzi 1</t>
  </si>
  <si>
    <t>www.agriturismocolleverde.eu</t>
  </si>
  <si>
    <t>paolo.ferrucci@virgilio.it</t>
  </si>
  <si>
    <t>Agriturismo Santa Maria Del Gallo</t>
  </si>
  <si>
    <t>Contrada Santa Maria 7</t>
  </si>
  <si>
    <t>www.santamariadelgallo.it</t>
  </si>
  <si>
    <t>mimmo.gallo@tiscali.it</t>
  </si>
  <si>
    <t>Country House L'Abbazia</t>
  </si>
  <si>
    <t>Contrada Sant' Urbano 5</t>
  </si>
  <si>
    <t>www.abbaziasanturbano.it</t>
  </si>
  <si>
    <t>abbaziasanturbano@libero.it</t>
  </si>
  <si>
    <t>Dolce Dimora</t>
  </si>
  <si>
    <t>Contrada Campo Di Bove 6</t>
  </si>
  <si>
    <t>bbdolcedimora@gmail.com</t>
  </si>
  <si>
    <t>Agriturismo Forano Casa Le Piagge</t>
  </si>
  <si>
    <t>Contrada Forano 44</t>
  </si>
  <si>
    <t>www.fattoriaforano.it</t>
  </si>
  <si>
    <t>agriturismoforano@yahoo.it</t>
  </si>
  <si>
    <t>La Colombaia Srl</t>
  </si>
  <si>
    <t>C.Da Cardeggiano 10</t>
  </si>
  <si>
    <t>www.la-colombaia.it</t>
  </si>
  <si>
    <t>info@la-colombaia.it</t>
  </si>
  <si>
    <t>Il Giardino Degli Ulivi</t>
  </si>
  <si>
    <t>Contrada Forano 29</t>
  </si>
  <si>
    <t>www.algiardinodegliulivi.it</t>
  </si>
  <si>
    <t>info@algiardinodegliulivi.it</t>
  </si>
  <si>
    <t>Country House Dei Segreti</t>
  </si>
  <si>
    <t>Contrada Verde Fiore 1</t>
  </si>
  <si>
    <t>www.osteriadeisegreti.com</t>
  </si>
  <si>
    <t>info@osteriadeisegreti.com</t>
  </si>
  <si>
    <t>Villa Verdefiore</t>
  </si>
  <si>
    <t>Contrada Verde Fiore 37</t>
  </si>
  <si>
    <t>www.villaverdefiore.it</t>
  </si>
  <si>
    <t>info@villaverdefiore.it</t>
  </si>
  <si>
    <t>Via Vallechifenti 75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</si>
  <si>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</si>
  <si>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</si>
  <si>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</si>
  <si>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</si>
  <si>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</si>
  <si>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</si>
  <si>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Agriturismo San Martino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</si>
  <si>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</si>
  <si>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</si>
  <si>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</si>
  <si>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</si>
  <si>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</si>
  <si>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Nidastore</t>
  </si>
  <si>
    <t>Fraz. Nidastore 11</t>
  </si>
  <si>
    <t>www.nidastore.jimdo.com</t>
  </si>
  <si>
    <t>s.rocchetti@libero.it</t>
  </si>
  <si>
    <t>Kuhne Sorg Helga Carmen</t>
  </si>
  <si>
    <t>Fraz. Loretello  5B, 58</t>
  </si>
  <si>
    <t>Lorenzetti Antonella</t>
  </si>
  <si>
    <t>Via Moscatelli 20</t>
  </si>
  <si>
    <t>Robert Enrico Pellegrini</t>
  </si>
  <si>
    <t>Fraz. Avacelli 240</t>
  </si>
  <si>
    <t>Avacelli</t>
  </si>
  <si>
    <t>Le Conelle</t>
  </si>
  <si>
    <t>Fraz. San Ginesio 96</t>
  </si>
  <si>
    <t>www.conelle.it</t>
  </si>
  <si>
    <t>valerio.baciani@tin.it</t>
  </si>
  <si>
    <t>Il Boschetto</t>
  </si>
  <si>
    <t>Fraz. San Giovanni Battista 157/E</t>
  </si>
  <si>
    <t>San Giovanni Battista</t>
  </si>
  <si>
    <t>www.agriturismoilboschetto.com</t>
  </si>
  <si>
    <t>info@agriturismoilboschetto.com</t>
  </si>
  <si>
    <t>Ester Johannes Hendrik - Via Loretello 40</t>
  </si>
  <si>
    <t>Via Della Fonte 40</t>
  </si>
  <si>
    <t>Loretello</t>
  </si>
  <si>
    <t>hans.ester49@gmail.com</t>
  </si>
  <si>
    <t>Il Girasole</t>
  </si>
  <si>
    <t>Fraz. Costa 82</t>
  </si>
  <si>
    <t>Costa</t>
  </si>
  <si>
    <t>www.agriturismo-ilgirasole.it</t>
  </si>
  <si>
    <t>info@agriturismo-ilgirasole.it</t>
  </si>
  <si>
    <t>Il Rustico</t>
  </si>
  <si>
    <t>Fraz. Sant'Apollinare  91</t>
  </si>
  <si>
    <t>Sant'Apollinare</t>
  </si>
  <si>
    <t>www.agriturismoilrustico.it</t>
  </si>
  <si>
    <t>info@agriturismoilrustico.it</t>
  </si>
  <si>
    <t>Ester Johannes Hendrik - Via Loretello 38</t>
  </si>
  <si>
    <t>Della Fonte 38</t>
  </si>
  <si>
    <t>La Casa Di Zia Sesta</t>
  </si>
  <si>
    <t>Via Angelo Rocca 52</t>
  </si>
  <si>
    <t>giocri03@gmail.com</t>
  </si>
  <si>
    <t>Visit Arcevia</t>
  </si>
  <si>
    <t>Corso Mazzini 49</t>
  </si>
  <si>
    <t>www.visitarcevia.com</t>
  </si>
  <si>
    <t>info@visitarcevia.com</t>
  </si>
  <si>
    <t>Locanda Casa Valma</t>
  </si>
  <si>
    <t>Fraz. Costa 123</t>
  </si>
  <si>
    <t>www.locandacasavalma.com</t>
  </si>
  <si>
    <t>locandacasavalma@gmail.com</t>
  </si>
  <si>
    <t>Sluijs Steen Margaretha</t>
  </si>
  <si>
    <t>Frazione San Pietro 36</t>
  </si>
  <si>
    <t>Vista Montesecco</t>
  </si>
  <si>
    <t>Fraz. San Pietro In Musio 34</t>
  </si>
  <si>
    <t>San Pietro In Musio</t>
  </si>
  <si>
    <t>info@rosanelpozzo.com</t>
  </si>
  <si>
    <t>Lovanio Belardinelli</t>
  </si>
  <si>
    <t>Fraz. Loretello 21</t>
  </si>
  <si>
    <t>lovanio.belardinelli@unicredit.eu</t>
  </si>
  <si>
    <t>Il Leccio</t>
  </si>
  <si>
    <t>Fraz. Colle Aprico 29</t>
  </si>
  <si>
    <t>Colle Aprico</t>
  </si>
  <si>
    <t>chiby77@hotmail.it</t>
  </si>
  <si>
    <t>Hotel Alle Terrazze</t>
  </si>
  <si>
    <t>Via Tito Rocchi 24</t>
  </si>
  <si>
    <t>htalleterrazze@tiscali.it</t>
  </si>
  <si>
    <t>Francesco Pieragostini</t>
  </si>
  <si>
    <t>Fraz. Montale 11</t>
  </si>
  <si>
    <t>Montale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</si>
  <si>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</si>
  <si>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</si>
  <si>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</si>
  <si>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</si>
  <si>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</si>
  <si>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</si>
  <si>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</si>
  <si>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</si>
  <si>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</si>
  <si>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</si>
  <si>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</si>
  <si>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</si>
  <si>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</si>
  <si>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Caudino</t>
  </si>
  <si>
    <t>www.casavacanzalevarangole.it</t>
  </si>
  <si>
    <t>casavacanzalevarangole@gmail.com</t>
  </si>
  <si>
    <t>Stephany Robert Keith</t>
  </si>
  <si>
    <t>Via Fugiano 256</t>
  </si>
  <si>
    <t>Avacelli Di Arcevia</t>
  </si>
  <si>
    <t>Park Hotel Arcevia</t>
  </si>
  <si>
    <t>Via Roma 5</t>
  </si>
  <si>
    <t>www.parkhotelarcevia.it</t>
  </si>
  <si>
    <t>info@parkhotelarcevia.it</t>
  </si>
  <si>
    <t>Viriditas</t>
  </si>
  <si>
    <t>Via Loretello 45</t>
  </si>
  <si>
    <t>marinop27@libero.it</t>
  </si>
  <si>
    <t>Area Attrezzata Sosta Camper - Comune Di Arcevia</t>
  </si>
  <si>
    <t>Borgo Belfiore</t>
  </si>
  <si>
    <t>Fraz. Sant'Apollinare 70</t>
  </si>
  <si>
    <t>Casale Venezia</t>
  </si>
  <si>
    <t>Fraz. Nidastore 126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</si>
  <si>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</si>
  <si>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</si>
  <si>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</si>
  <si>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</si>
  <si>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</si>
  <si>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</si>
  <si>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</si>
  <si>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</si>
  <si>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</si>
  <si>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Le Betulle</t>
  </si>
  <si>
    <t>Fraz. Avacelli 260</t>
  </si>
  <si>
    <t>www.agrituristlebetulle.com</t>
  </si>
  <si>
    <t>info@agrituristlebetulle.com</t>
  </si>
  <si>
    <t>Bocca Di Lupo</t>
  </si>
  <si>
    <t>Fraz. Loretello 54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</si>
  <si>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</si>
  <si>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</si>
  <si>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</si>
  <si>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</si>
  <si>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</si>
  <si>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</si>
  <si>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</si>
  <si>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</si>
  <si>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</si>
  <si>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</si>
  <si>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</si>
  <si>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www.rosanelpozzo.com</t>
  </si>
  <si>
    <t>Montefiore</t>
  </si>
  <si>
    <t>Fraz. Nidastore 85</t>
  </si>
  <si>
    <t>www.agriturismomontefiore.com</t>
  </si>
  <si>
    <t>mg.politi@tiscali.it</t>
  </si>
  <si>
    <t>Piccolo Ranch</t>
  </si>
  <si>
    <t>Fraz. San Pietro In Musio 48/A</t>
  </si>
  <si>
    <t>www.piccoloranch.com</t>
  </si>
  <si>
    <t>piccoloranch@puntomedia.it</t>
  </si>
  <si>
    <t>Antico Borgo</t>
  </si>
  <si>
    <t>Fraz. Castiglioni 86</t>
  </si>
  <si>
    <t>Castiglioni</t>
  </si>
  <si>
    <t>www.antico-borgo.it</t>
  </si>
  <si>
    <t>info@antico-borgo.it</t>
  </si>
  <si>
    <t>Borgo Bonaventura</t>
  </si>
  <si>
    <t>Fraz. Prosano - Loc. Bosimano 57</t>
  </si>
  <si>
    <t>Prosano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</si>
  <si>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</si>
  <si>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</si>
  <si>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</si>
  <si>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</si>
  <si>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</si>
  <si>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</si>
  <si>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Da Frabo'</t>
  </si>
  <si>
    <t>Fraz. San Ginesio  23/A</t>
  </si>
  <si>
    <t>federicofraboni@libero.it</t>
  </si>
  <si>
    <t>Bosimano</t>
  </si>
  <si>
    <t>Fraz. Prosano - Loc. Bosimano 60</t>
  </si>
  <si>
    <t>www.agri-bosimano.com</t>
  </si>
  <si>
    <t>cenlui@libero.it</t>
  </si>
  <si>
    <t>Stazione Di Posta</t>
  </si>
  <si>
    <t>Fraz. Magnadorsa 114</t>
  </si>
  <si>
    <t>Magnadorsa</t>
  </si>
  <si>
    <t>stazionediposta@gmail.com</t>
  </si>
  <si>
    <t>La Corte Del Gusto</t>
  </si>
  <si>
    <t>Fraz. Santo Stefano 68</t>
  </si>
  <si>
    <t>Santo Stefano</t>
  </si>
  <si>
    <t>www.lacortedelgusto.com</t>
  </si>
  <si>
    <t>info@lacortedelgusto.com</t>
  </si>
  <si>
    <t>Fraz. Avacelli 38</t>
  </si>
  <si>
    <t>Elio Latini</t>
  </si>
  <si>
    <t>Fraz. Castiglioni 31</t>
  </si>
  <si>
    <t>latale@libero.it</t>
  </si>
  <si>
    <t>Sensazione</t>
  </si>
  <si>
    <t>Fraz. Caudino 54</t>
  </si>
  <si>
    <t>www.sensazione.info</t>
  </si>
  <si>
    <t>sensa@sensazione.info</t>
  </si>
  <si>
    <t>Borgo Tranquillo</t>
  </si>
  <si>
    <t>Fraz. Costa 132</t>
  </si>
  <si>
    <t>www.borgotranquillo.com</t>
  </si>
  <si>
    <t>info@borgotranquillo.com</t>
  </si>
  <si>
    <t>Acquasalata</t>
  </si>
  <si>
    <t>Fraz. Montale 116</t>
  </si>
  <si>
    <t>www.agriturismoacquasalata.it</t>
  </si>
  <si>
    <t>a.acquasalata@libero.it</t>
  </si>
  <si>
    <t>La Cantina Di Bacco</t>
  </si>
  <si>
    <t>Fraz. Ripalta 90</t>
  </si>
  <si>
    <t>www.lacantinadibacco.it</t>
  </si>
  <si>
    <t>lacantinadibacco@tin.it</t>
  </si>
  <si>
    <t>Casa Mirabella</t>
  </si>
  <si>
    <t>Fraz. San Giovanni Battista  242</t>
  </si>
  <si>
    <t>mariamirabella@gmx.de</t>
  </si>
  <si>
    <t>San Settimio Riserva Privata</t>
  </si>
  <si>
    <t>Fraz. Palazzo 274</t>
  </si>
  <si>
    <t>Palazzo</t>
  </si>
  <si>
    <t>www.sansettimio.it</t>
  </si>
  <si>
    <t>info@sansettimio.it</t>
  </si>
  <si>
    <t>Villa San Giovanni</t>
  </si>
  <si>
    <t>Fraz. San Giovanni Battista - Via San Martino 4</t>
  </si>
  <si>
    <t>www.ferienwohnung-marken-arcevia.de</t>
  </si>
  <si>
    <t>villa.sangiovanni@googlemail.com</t>
  </si>
  <si>
    <t>Il Paradiso Del Re</t>
  </si>
  <si>
    <t>Fraz. San Pietro In Musio 6</t>
  </si>
  <si>
    <t>www.ilparadisodelre.it</t>
  </si>
  <si>
    <t>angelo@ilparadisodelre.it</t>
  </si>
  <si>
    <t>Al Colle</t>
  </si>
  <si>
    <t>Fraz. Colle Aprico 82</t>
  </si>
  <si>
    <t>al.colle@email.it</t>
  </si>
  <si>
    <t>Fraz. Castiglioni 80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</si>
  <si>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</si>
  <si>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</si>
  <si>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</si>
  <si>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</si>
  <si>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</si>
  <si>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Molino Vecchio</t>
  </si>
  <si>
    <t>Fraz. Castiglioni 70</t>
  </si>
  <si>
    <t>www.castiglionidiarcevia.it/molino</t>
  </si>
  <si>
    <t>kurt.luks@gmail.com</t>
  </si>
  <si>
    <t>Centro Dei Due Parchi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</si>
  <si>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</si>
  <si>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</si>
  <si>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</si>
  <si>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</si>
  <si>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</si>
  <si>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</si>
  <si>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Il Nido</t>
  </si>
  <si>
    <t>Piedilama</t>
  </si>
  <si>
    <t>www.ilnidodipiedilama.com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</si>
  <si>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</si>
  <si>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</si>
  <si>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</si>
  <si>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</si>
  <si>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</si>
  <si>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</si>
  <si>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</si>
  <si>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</si>
  <si>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</si>
  <si>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</si>
  <si>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</si>
  <si>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</si>
  <si>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</si>
  <si>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</si>
  <si>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</si>
  <si>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</si>
  <si>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</si>
  <si>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</si>
  <si>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</si>
  <si>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</si>
  <si>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Arquata</t>
  </si>
  <si>
    <t>Frazione Piedilama 11</t>
  </si>
  <si>
    <t>B&amp;B La Casa Del Conte</t>
  </si>
  <si>
    <t>Via Gallo 6</t>
  </si>
  <si>
    <t>cantalamessafmavv@libero.it</t>
  </si>
  <si>
    <t>Al Kapriol</t>
  </si>
  <si>
    <t>Frazione Forca Canapine 4</t>
  </si>
  <si>
    <t>B&amp;B Arco Di Filippo'</t>
  </si>
  <si>
    <t>Frazione Spelonga 103</t>
  </si>
  <si>
    <t>Rifugio Degli Alpini G. Giacomini</t>
  </si>
  <si>
    <t>Via Forca Di Presta 1</t>
  </si>
  <si>
    <t>rifugiomontisibillini@gmail.com</t>
  </si>
  <si>
    <t>B&amp;B Ciarabonitte</t>
  </si>
  <si>
    <t>Frazione Vezzano 8</t>
  </si>
  <si>
    <t>mbenfatti54@libero.it</t>
  </si>
  <si>
    <t>B&amp;B Gianfranco Falconetti</t>
  </si>
  <si>
    <t>Via Della Rocca 7</t>
  </si>
  <si>
    <t>g.falcon@tiscali.it</t>
  </si>
  <si>
    <t>Camartina</t>
  </si>
  <si>
    <t>Contrada Camartina 8</t>
  </si>
  <si>
    <t>www.hotelcamartina.it</t>
  </si>
  <si>
    <t>camartina@libero.it</t>
  </si>
  <si>
    <t>Angelo Perla</t>
  </si>
  <si>
    <t>Piazza Pretare 10</t>
  </si>
  <si>
    <t>B&amp;B Maria Polisia Ciabattoni</t>
  </si>
  <si>
    <t>Piazza Pretare 9</t>
  </si>
  <si>
    <t>arquatadeltronto.com</t>
  </si>
  <si>
    <t>villacaponi@libero.it</t>
  </si>
  <si>
    <t>B&amp;B Villa Caponi Di Federica Tassi</t>
  </si>
  <si>
    <t>Ruffini  9</t>
  </si>
  <si>
    <t>B&amp;B Claudio Tassi</t>
  </si>
  <si>
    <t>B&amp;B Il Cavallino Bianco</t>
  </si>
  <si>
    <t>www.arquatadeltronto.com</t>
  </si>
  <si>
    <t>B&amp;B Giovanna Eupizi</t>
  </si>
  <si>
    <t>Viale Saladini 2</t>
  </si>
  <si>
    <t>Hotel Marche</t>
  </si>
  <si>
    <t>Via Kennedy 34</t>
  </si>
  <si>
    <t>hotelmarche.ap@virgilio.it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</si>
  <si>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</si>
  <si>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</si>
  <si>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</si>
  <si>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</si>
  <si>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</si>
  <si>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</si>
  <si>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</si>
  <si>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</si>
  <si>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</si>
  <si>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</si>
  <si>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</si>
  <si>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</si>
  <si>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</si>
  <si>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</si>
  <si>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</si>
  <si>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</si>
  <si>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</si>
  <si>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</si>
  <si>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</si>
  <si>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</si>
  <si>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</si>
  <si>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</si>
  <si>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</si>
  <si>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</si>
  <si>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</si>
  <si>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</si>
  <si>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</si>
  <si>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</si>
  <si>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</si>
  <si>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</si>
  <si>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</si>
  <si>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Pennile</t>
  </si>
  <si>
    <t>Via Gaetano Spalvieri 13/A</t>
  </si>
  <si>
    <t>www.hotelpennile.it</t>
  </si>
  <si>
    <t>info@hotelpennile.it</t>
  </si>
  <si>
    <t>B&amp;B Le Begonie</t>
  </si>
  <si>
    <t>Via 424/Ma 1</t>
  </si>
  <si>
    <t>Monticelli</t>
  </si>
  <si>
    <t>www.lebegonie.it</t>
  </si>
  <si>
    <t>info@lebegonie.it</t>
  </si>
  <si>
    <t>Centro Turistico Rurale Il Poggio</t>
  </si>
  <si>
    <t>Frazione Campolungo 162</t>
  </si>
  <si>
    <t>www.ilpoggioristorante.com</t>
  </si>
  <si>
    <t>ilpoggio.ristorante@libero.it</t>
  </si>
  <si>
    <t>Resort Di Sabatino</t>
  </si>
  <si>
    <t>Via A. Vipera 30</t>
  </si>
  <si>
    <t>Centro Storico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</si>
  <si>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</si>
  <si>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</si>
  <si>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</si>
  <si>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</si>
  <si>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</si>
  <si>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</si>
  <si>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</si>
  <si>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</si>
  <si>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</si>
  <si>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</si>
  <si>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</si>
  <si>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</si>
  <si>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</si>
  <si>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</si>
  <si>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</si>
  <si>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</si>
  <si>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</si>
  <si>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</si>
  <si>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</si>
  <si>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</si>
  <si>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</si>
  <si>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</si>
  <si>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</si>
  <si>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</si>
  <si>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B&amp;B Caponi Silvana</t>
  </si>
  <si>
    <t>Via Piave 8</t>
  </si>
  <si>
    <t>picenohouse@topnet.it</t>
  </si>
  <si>
    <t>B&amp;B Il Tratto Di Katia E Giancarlo</t>
  </si>
  <si>
    <t>Via Nazario Sauro 19/A</t>
  </si>
  <si>
    <t>Loc.Campo Parignano</t>
  </si>
  <si>
    <t>giancarlo.silvestri62@gmail.com</t>
  </si>
  <si>
    <t>B&amp;B Piazza Del Popolo</t>
  </si>
  <si>
    <t>Via Cesare Battisti 16</t>
  </si>
  <si>
    <t>www.bbpiazzadelpopolo.it</t>
  </si>
  <si>
    <t>info@bbpiazzadelpopolo.it</t>
  </si>
  <si>
    <t>Parnaso</t>
  </si>
  <si>
    <t>Rua Del Parnaso 14</t>
  </si>
  <si>
    <t>Centro Storico Di Ascoli Piceno</t>
  </si>
  <si>
    <t>www.parnaso.eu</t>
  </si>
  <si>
    <t>info@parnaso.eu</t>
  </si>
  <si>
    <t>B&amp;B Le Monachette Di Romagnoli Carla</t>
  </si>
  <si>
    <t>Via Fonte Di Campo 20</t>
  </si>
  <si>
    <t>www.lemonachette.com</t>
  </si>
  <si>
    <t>lemonachette@gmail.com</t>
  </si>
  <si>
    <t>B&amp;B La Culla Dei Sabini</t>
  </si>
  <si>
    <t>Via Dei Sabini 6</t>
  </si>
  <si>
    <t>www.laculladeisabini.it</t>
  </si>
  <si>
    <t>culla.sabini@yahoo.it</t>
  </si>
  <si>
    <t>B&amp;B Gran Caso</t>
  </si>
  <si>
    <t>Via Pantelleria 1</t>
  </si>
  <si>
    <t>bbgrancaso@gmail.com</t>
  </si>
  <si>
    <t>Residenza Universitaria Rufo</t>
  </si>
  <si>
    <t>Via Quinto Curzio Rufo 4</t>
  </si>
  <si>
    <t>servizi@ersucam.it</t>
  </si>
  <si>
    <t>B&amp;B Il Pozzo Incantato</t>
  </si>
  <si>
    <t>C.Da Sassari Snc</t>
  </si>
  <si>
    <t>Fraz Venagrande</t>
  </si>
  <si>
    <t>www.ilpozzoincantato.it</t>
  </si>
  <si>
    <t>michettisilvia76@gmail.com</t>
  </si>
  <si>
    <t>Residenza Universitaria C.Crivelli</t>
  </si>
  <si>
    <t>Loc. Brecciarolo 42</t>
  </si>
  <si>
    <t>Brecciarolo</t>
  </si>
  <si>
    <t>Hotel Villa Sgariglia Resort</t>
  </si>
  <si>
    <t>Campolungo</t>
  </si>
  <si>
    <t>www.villasgariglia.com</t>
  </si>
  <si>
    <t>info@villasgariglia.com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</si>
  <si>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</si>
  <si>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</si>
  <si>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</si>
  <si>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</si>
  <si>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</si>
  <si>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</si>
  <si>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</si>
  <si>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</si>
  <si>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</si>
  <si>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</si>
  <si>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</si>
  <si>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</si>
  <si>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</si>
  <si>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</si>
  <si>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</si>
  <si>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</si>
  <si>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</si>
  <si>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</si>
  <si>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</si>
  <si>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</si>
  <si>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</si>
  <si>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</si>
  <si>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</si>
  <si>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</si>
  <si>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</si>
  <si>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</si>
  <si>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</si>
  <si>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</si>
  <si>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</si>
  <si>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</si>
  <si>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</si>
  <si>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</si>
  <si>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</si>
  <si>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</si>
  <si>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</si>
  <si>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</si>
  <si>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</si>
  <si>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</si>
  <si>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</si>
  <si>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</si>
  <si>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</si>
  <si>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</si>
  <si>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</si>
  <si>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</si>
  <si>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</si>
  <si>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</si>
  <si>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</si>
  <si>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</si>
  <si>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</si>
  <si>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</si>
  <si>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</si>
  <si>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</si>
  <si>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</si>
  <si>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</si>
  <si>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</si>
  <si>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</si>
  <si>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</si>
  <si>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B&amp;B La Rosa Di Antonio</t>
  </si>
  <si>
    <t>Via Monticelli 183</t>
  </si>
  <si>
    <t>antonellabevini@yahoo.it; larosadiantonio@yahoo.it</t>
  </si>
  <si>
    <t>B&amp;B Il Picchio</t>
  </si>
  <si>
    <t>Via Luigi Mercantini 45</t>
  </si>
  <si>
    <t>www.ilpicchiobnb.it</t>
  </si>
  <si>
    <t>info@ilpicchiobnb.it</t>
  </si>
  <si>
    <t>B&amp;B Centro Centro</t>
  </si>
  <si>
    <t>Via Minucia 8</t>
  </si>
  <si>
    <t>bnbcentrocentro@gmail.com</t>
  </si>
  <si>
    <t>Maria Immacolata</t>
  </si>
  <si>
    <t>Via Kennedy 13</t>
  </si>
  <si>
    <t>B&amp;B Fioravanti Sandra</t>
  </si>
  <si>
    <t>Corso G.Mazzini 335</t>
  </si>
  <si>
    <t>B&amp;B A Due Passi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</si>
  <si>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</si>
  <si>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</si>
  <si>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</si>
  <si>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</si>
  <si>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</si>
  <si>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</si>
  <si>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</si>
  <si>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</si>
  <si>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</si>
  <si>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</si>
  <si>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</si>
  <si>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</si>
  <si>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</si>
  <si>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</si>
  <si>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</si>
  <si>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</si>
  <si>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</si>
  <si>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</si>
  <si>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</si>
  <si>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</si>
  <si>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</si>
  <si>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</si>
  <si>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</si>
  <si>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</si>
  <si>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B&amp;B Maison Rua</t>
  </si>
  <si>
    <t>Via Dei Legnaiuoli 4</t>
  </si>
  <si>
    <t>info@bbmaisonruà.it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</si>
  <si>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</si>
  <si>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</si>
  <si>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</si>
  <si>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</si>
  <si>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</si>
  <si>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</si>
  <si>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</si>
  <si>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</si>
  <si>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</si>
  <si>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</si>
  <si>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</si>
  <si>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</si>
  <si>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</si>
  <si>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</si>
  <si>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</si>
  <si>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</si>
  <si>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</si>
  <si>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</si>
  <si>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</si>
  <si>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</si>
  <si>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</si>
  <si>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</si>
  <si>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</si>
  <si>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</si>
  <si>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</si>
  <si>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</si>
  <si>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www.airbnb.it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</si>
  <si>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</si>
  <si>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</si>
  <si>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</si>
  <si>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</si>
  <si>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</si>
  <si>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</si>
  <si>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</si>
  <si>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B&amp;B Piccioni Giuseppina</t>
  </si>
  <si>
    <t>Via Dino Angelini 64</t>
  </si>
  <si>
    <t>Collina Giuseppe</t>
  </si>
  <si>
    <t>Via Delle Convertite 10</t>
  </si>
  <si>
    <t>florilandia@libero.it</t>
  </si>
  <si>
    <t>B&amp;B Il Tratto In Centro</t>
  </si>
  <si>
    <t>Via Antonio Orsini 5</t>
  </si>
  <si>
    <t>B&amp;B Galie'</t>
  </si>
  <si>
    <t>Rua Dei Falconieri 6</t>
  </si>
  <si>
    <t>B&amp;B Nonno Dino</t>
  </si>
  <si>
    <t>Via Sassari 31</t>
  </si>
  <si>
    <t>nonnodinoaffittacamere@gmail.com</t>
  </si>
  <si>
    <t>B&amp;B La Piazzetta Di Sisti Vittoria</t>
  </si>
  <si>
    <t>Via Montello 10</t>
  </si>
  <si>
    <t>giovannozzi.marco@gmail.com</t>
  </si>
  <si>
    <t>B&amp;B Appartamenti Ortensia</t>
  </si>
  <si>
    <t>Viale Guglielmo Marconi 8</t>
  </si>
  <si>
    <t>www.casa-adriana.it/</t>
  </si>
  <si>
    <t>info@casa-adriana.it</t>
  </si>
  <si>
    <t>B&amp;B Appartamenti Oleandro</t>
  </si>
  <si>
    <t>www.casa-adriana.it</t>
  </si>
  <si>
    <t>B&amp;B Antico Borgo Piceno</t>
  </si>
  <si>
    <t>Via San Serafino Da Montegranaro 73</t>
  </si>
  <si>
    <t>panichimancini@tin.it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</si>
  <si>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</si>
  <si>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</si>
  <si>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</si>
  <si>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</si>
  <si>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</si>
  <si>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</si>
  <si>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</si>
  <si>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</si>
  <si>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</si>
  <si>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</si>
  <si>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</si>
  <si>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</si>
  <si>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</si>
  <si>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</si>
  <si>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</si>
  <si>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B&amp;B Tufilla</t>
  </si>
  <si>
    <t>Via Asiago 2</t>
  </si>
  <si>
    <t>La Casetta</t>
  </si>
  <si>
    <t>Via Ss. Filippo E Giacomo 31</t>
  </si>
  <si>
    <t>lacasetta31beb@libero.it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</si>
  <si>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</si>
  <si>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</si>
  <si>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</si>
  <si>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</si>
  <si>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</si>
  <si>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</si>
  <si>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</si>
  <si>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</si>
  <si>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</si>
  <si>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</si>
  <si>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</si>
  <si>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</si>
  <si>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</si>
  <si>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</si>
  <si>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</si>
  <si>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</si>
  <si>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</si>
  <si>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</si>
  <si>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</si>
  <si>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</si>
  <si>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</si>
  <si>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</si>
  <si>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</si>
  <si>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Meravilla</t>
  </si>
  <si>
    <t>Frazione Castagneti 54</t>
  </si>
  <si>
    <t>Castagneti</t>
  </si>
  <si>
    <t>cannellagianluca@libero.it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</si>
  <si>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</si>
  <si>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</si>
  <si>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</si>
  <si>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</si>
  <si>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</si>
  <si>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</si>
  <si>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</si>
  <si>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</si>
  <si>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Ferretti Fausta</t>
  </si>
  <si>
    <t>Cesari Pierluigi</t>
  </si>
  <si>
    <t>Corso G.Mazzini 157</t>
  </si>
  <si>
    <t>Atelier B&amp;B Di Poli Elena</t>
  </si>
  <si>
    <t>Via Rua Del Labirinto 2</t>
  </si>
  <si>
    <t>www.artelierbb.it</t>
  </si>
  <si>
    <t>info@artelierbb.it</t>
  </si>
  <si>
    <t>Residenza Universitaria Mercantini</t>
  </si>
  <si>
    <t>Via L. Mercantini 51</t>
  </si>
  <si>
    <t>B&amp;B La Formica</t>
  </si>
  <si>
    <t>Via Aosta 1</t>
  </si>
  <si>
    <t>www.bblaformica.it</t>
  </si>
  <si>
    <t>info@bblaformica.it</t>
  </si>
  <si>
    <t>Il Casale Sul Lago</t>
  </si>
  <si>
    <t>Frazione Coperso</t>
  </si>
  <si>
    <t>antonellabartolini67@gmail.com</t>
  </si>
  <si>
    <t>B&amp;B Dimora Giosafatti</t>
  </si>
  <si>
    <t>Via Tito Betuzio Barro 11</t>
  </si>
  <si>
    <t>manolo861985@libero.it</t>
  </si>
  <si>
    <t>B&amp;B Il Battistero Di Fioravanti Eurosia</t>
  </si>
  <si>
    <t>Piazza Arringo  19</t>
  </si>
  <si>
    <t>www.battisteroascoli.it</t>
  </si>
  <si>
    <t>info@battisteroascoli.it</t>
  </si>
  <si>
    <t>B&amp;B Albanesi Claudia</t>
  </si>
  <si>
    <t>Via Nicola Monti 28</t>
  </si>
  <si>
    <t>B&amp;B Palazzo Migliani</t>
  </si>
  <si>
    <t>Via Dei Bonaccorsi  11</t>
  </si>
  <si>
    <t>www.palazzomigliani.it</t>
  </si>
  <si>
    <t>valerionovelli.ap@gmail.com</t>
  </si>
  <si>
    <t>Residenza Universitaria Papavero</t>
  </si>
  <si>
    <t>Via Rua Del Papavero 6</t>
  </si>
  <si>
    <t>ersu.camerino@ersucam.it</t>
  </si>
  <si>
    <t>B&amp;B Solesta'</t>
  </si>
  <si>
    <t>Via Gaspare Spontini 12</t>
  </si>
  <si>
    <t>solestapiceno@gmail.com</t>
  </si>
  <si>
    <t>B&amp;B Oehl Gloria Wilhelmine</t>
  </si>
  <si>
    <t>Via Abbazia Rosara 131</t>
  </si>
  <si>
    <t>B&amp;B Mosca Bianca</t>
  </si>
  <si>
    <t>Fraz.Castel Trosino 9</t>
  </si>
  <si>
    <t>info@bebmoscabianca.it</t>
  </si>
  <si>
    <t>B&amp;B Casale Giovannozzi</t>
  </si>
  <si>
    <t>Frazione Monte Rosara 60</t>
  </si>
  <si>
    <t>peppegiovannozzi@libero.it</t>
  </si>
  <si>
    <t>B&amp;B Il Giardino</t>
  </si>
  <si>
    <t>Via Firenze 11</t>
  </si>
  <si>
    <t>mar24nar@libero.it</t>
  </si>
  <si>
    <t>B&amp;B Mimi' E Coco'</t>
  </si>
  <si>
    <t>Via Umberto Giordano 9</t>
  </si>
  <si>
    <t>Fraz.Ne Monterocco</t>
  </si>
  <si>
    <t>www.mimiecocobb.it</t>
  </si>
  <si>
    <t>mimi@mimiecocobb.it</t>
  </si>
  <si>
    <t>B&amp;B Casa Gioia</t>
  </si>
  <si>
    <t>Via Dei Peschi 16</t>
  </si>
  <si>
    <t>Marino Del Tronto</t>
  </si>
  <si>
    <t>www.casagioia.it</t>
  </si>
  <si>
    <t>ivan742008@hotmail.it</t>
  </si>
  <si>
    <t>Antico Borgo Piceno</t>
  </si>
  <si>
    <t>www.anticoborgopiceno.it</t>
  </si>
  <si>
    <t>info@anticoborgopiceno.it</t>
  </si>
  <si>
    <t>Ostello Dei Longobardi</t>
  </si>
  <si>
    <t>Via Dei Soderini, 26 26</t>
  </si>
  <si>
    <t>www.ostelloascoli.it</t>
  </si>
  <si>
    <t>longobardoascoli@libero.it</t>
  </si>
  <si>
    <t>Rosara Relax Di Pretelli Patrizia</t>
  </si>
  <si>
    <t>Frazione Venerosse Di Rosara 5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</si>
  <si>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</si>
  <si>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</si>
  <si>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</si>
  <si>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</si>
  <si>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</si>
  <si>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</si>
  <si>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</si>
  <si>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</si>
  <si>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</si>
  <si>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</si>
  <si>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</si>
  <si>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Home Sweet Home</t>
  </si>
  <si>
    <t>Antica Maison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</si>
  <si>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</si>
  <si>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</si>
  <si>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</si>
  <si>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</si>
  <si>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</si>
  <si>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</si>
  <si>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</si>
  <si>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</si>
  <si>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</si>
  <si>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</si>
  <si>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</si>
  <si>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</si>
  <si>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</si>
  <si>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</si>
  <si>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</si>
  <si>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</si>
  <si>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</si>
  <si>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</si>
  <si>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</si>
  <si>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</si>
  <si>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</si>
  <si>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</si>
  <si>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</si>
  <si>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</si>
  <si>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</si>
  <si>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</si>
  <si>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</si>
  <si>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</si>
  <si>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</si>
  <si>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</si>
  <si>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</si>
  <si>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</si>
  <si>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</si>
  <si>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</si>
  <si>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</si>
  <si>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La Terrazza</t>
  </si>
  <si>
    <t>Via Dei Biancospini 3</t>
  </si>
  <si>
    <t>B&amp;B Aussie Home Di Fioravanti Annarita</t>
  </si>
  <si>
    <t>Via Vincenzo Gioberti 5</t>
  </si>
  <si>
    <t>www.aussiehome.eu</t>
  </si>
  <si>
    <t>aussiehome@hotmail.it</t>
  </si>
  <si>
    <t>B&amp;B Fil Di Fumo</t>
  </si>
  <si>
    <t>Via Tozzano 52/A</t>
  </si>
  <si>
    <t>Frazione Castagneti Alto</t>
  </si>
  <si>
    <t>www.benale.net</t>
  </si>
  <si>
    <t>info@benale.net</t>
  </si>
  <si>
    <t>B&amp;B Dafne</t>
  </si>
  <si>
    <t>Rua Spino Talucci 9</t>
  </si>
  <si>
    <t>www.dafneascoli.blogspot.com</t>
  </si>
  <si>
    <t>camillodilorenzo@libero.it</t>
  </si>
  <si>
    <t>B&amp;B Monterocco</t>
  </si>
  <si>
    <t>Via Monterocco 58</t>
  </si>
  <si>
    <t>www.bbmonterocco.it</t>
  </si>
  <si>
    <t>info@bbmonterocco.it</t>
  </si>
  <si>
    <t>B&amp;B Domus Florea</t>
  </si>
  <si>
    <t>Via Achille Argenti 29</t>
  </si>
  <si>
    <t>www.bbascolidomusflorea.it</t>
  </si>
  <si>
    <t>massettipierpaolo@libero.it</t>
  </si>
  <si>
    <t>B&amp;B Casa De Angelis</t>
  </si>
  <si>
    <t>lino21@libero.it</t>
  </si>
  <si>
    <t>Residenza Dei Capitani</t>
  </si>
  <si>
    <t>Via Dei Tibaldeschi 3</t>
  </si>
  <si>
    <t>B&amp;B Amadio Francesco</t>
  </si>
  <si>
    <t>Via Faiano 84</t>
  </si>
  <si>
    <t>Hotel Residenza Cento Torri</t>
  </si>
  <si>
    <t>Via Costanzo Mazzoni 4</t>
  </si>
  <si>
    <t>www.centotorri.com</t>
  </si>
  <si>
    <t>info@centotorri.com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</si>
  <si>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</si>
  <si>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</si>
  <si>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</si>
  <si>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</si>
  <si>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</si>
  <si>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</si>
  <si>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</si>
  <si>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</si>
  <si>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</si>
  <si>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</si>
  <si>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</si>
  <si>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</si>
  <si>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</si>
  <si>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</si>
  <si>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</si>
  <si>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</si>
  <si>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</si>
  <si>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</si>
  <si>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</si>
  <si>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</si>
  <si>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</si>
  <si>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</si>
  <si>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</si>
  <si>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</si>
  <si>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</si>
  <si>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</si>
  <si>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</si>
  <si>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</si>
  <si>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</si>
  <si>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</si>
  <si>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</si>
  <si>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</si>
  <si>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</si>
  <si>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</si>
  <si>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</si>
  <si>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</si>
  <si>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</si>
  <si>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</si>
  <si>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</si>
  <si>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Al Trivio</t>
  </si>
  <si>
    <t>Via Del Trivio 36</t>
  </si>
  <si>
    <t>www.altrivio.biz</t>
  </si>
  <si>
    <t>info@altrivio.biz</t>
  </si>
  <si>
    <t>Ostello San Marco</t>
  </si>
  <si>
    <t>Colle San Marco</t>
  </si>
  <si>
    <t>http://www.pioistituto.it/san%20marco/index.htm</t>
  </si>
  <si>
    <t>istitutoscuore@pioistituto.it</t>
  </si>
  <si>
    <t>Il Poggio Di D'Angeli Lidia Affittacamere</t>
  </si>
  <si>
    <t>Via Poggio San Giovanni 17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</si>
  <si>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</si>
  <si>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</si>
  <si>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</si>
  <si>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</si>
  <si>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</si>
  <si>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</si>
  <si>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</si>
  <si>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</si>
  <si>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</si>
  <si>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</si>
  <si>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</si>
  <si>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</si>
  <si>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</si>
  <si>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</si>
  <si>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</si>
  <si>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</si>
  <si>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</si>
  <si>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</si>
  <si>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</si>
  <si>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</si>
  <si>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</si>
  <si>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</si>
  <si>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</si>
  <si>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</si>
  <si>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</si>
  <si>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</si>
  <si>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</si>
  <si>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</si>
  <si>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</si>
  <si>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</si>
  <si>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</si>
  <si>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</si>
  <si>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</si>
  <si>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</si>
  <si>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Country House Montesoffio</t>
  </si>
  <si>
    <t>Localita' Montesoffio 5</t>
  </si>
  <si>
    <t>www.montesoffio.com</t>
  </si>
  <si>
    <t>info@montesoffio.com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</si>
  <si>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</si>
  <si>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</si>
  <si>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</si>
  <si>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</si>
  <si>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</si>
  <si>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</si>
  <si>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</si>
  <si>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</si>
  <si>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Villa Rodi</t>
  </si>
  <si>
    <t>Via Montesoffio 45</t>
  </si>
  <si>
    <t>d.falcinelli@cia.it</t>
  </si>
  <si>
    <t>Foresteria Agrituristica Strada Dei Campioli</t>
  </si>
  <si>
    <t>Via Giardino Campioli 31</t>
  </si>
  <si>
    <t>www.stradadeicampioli.it</t>
  </si>
  <si>
    <t>info@stradadeicampioli.it</t>
  </si>
  <si>
    <t>Cal Fattore</t>
  </si>
  <si>
    <t>Via Case Sparse Snc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</si>
  <si>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</si>
  <si>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</si>
  <si>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</si>
  <si>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</si>
  <si>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</si>
  <si>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</si>
  <si>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</si>
  <si>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B&amp;B La Mimosa</t>
  </si>
  <si>
    <t>Via Palmiro Togliatti 10</t>
  </si>
  <si>
    <t>tamaracapradossi@gmail.com</t>
  </si>
  <si>
    <t>B&amp;B Il Villino</t>
  </si>
  <si>
    <t>Via Giuseppe Piccioni 3</t>
  </si>
  <si>
    <t>www.il-villino.com/contattaci</t>
  </si>
  <si>
    <t>info@il-villino.com</t>
  </si>
  <si>
    <t>Agriturismo La Fonte</t>
  </si>
  <si>
    <t>Via Sodere 1</t>
  </si>
  <si>
    <t>www.la-fonte.it</t>
  </si>
  <si>
    <t>B&amp;B Antegiano</t>
  </si>
  <si>
    <t>Via Madonna D'Antegiano  3</t>
  </si>
  <si>
    <t>www.bbantegiano.com</t>
  </si>
  <si>
    <t>v.leonangeli@alice.it</t>
  </si>
  <si>
    <t>Azienda Agricola Coroncina Di Moschini Melania</t>
  </si>
  <si>
    <t>Via Fossa 1</t>
  </si>
  <si>
    <t>www.agriturismocoroncina.it</t>
  </si>
  <si>
    <t>info@agriturismocoroncina.it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</si>
  <si>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</si>
  <si>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</si>
  <si>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</si>
  <si>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</si>
  <si>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</si>
  <si>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B&amp;B La Pinturetta</t>
  </si>
  <si>
    <t>Via Fornaci 26</t>
  </si>
  <si>
    <t>www.lapinturetta.com</t>
  </si>
  <si>
    <t>info@lapinturetta.com</t>
  </si>
  <si>
    <t>Fornaci Sabine</t>
  </si>
  <si>
    <t>Via Fornaci Sabine 4</t>
  </si>
  <si>
    <t>www.fornacisabine.com</t>
  </si>
  <si>
    <t>info@fornacisabine.com</t>
  </si>
  <si>
    <t>Il Leccino</t>
  </si>
  <si>
    <t>Via San Giorgio 63</t>
  </si>
  <si>
    <t>San Giorgio</t>
  </si>
  <si>
    <t>patrizio.scarpacci@geopec.it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</si>
  <si>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</si>
  <si>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</si>
  <si>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</si>
  <si>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</si>
  <si>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</si>
  <si>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</si>
  <si>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</si>
  <si>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</si>
  <si>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</si>
  <si>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</si>
  <si>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Casa Per Ferie Belmonte Piceno</t>
  </si>
  <si>
    <t>Via Tommaso Rubei 6</t>
  </si>
  <si>
    <t>com.belmonte@provincia.ap.it</t>
  </si>
  <si>
    <t>B&amp;B Casa Matilda</t>
  </si>
  <si>
    <t>Via Garibaldi 26</t>
  </si>
  <si>
    <t>elena.rossetti85@libero.it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</si>
  <si>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</si>
  <si>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</si>
  <si>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</si>
  <si>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</si>
  <si>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</si>
  <si>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</si>
  <si>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</si>
  <si>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</si>
  <si>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</si>
  <si>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</si>
  <si>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</si>
  <si>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</si>
  <si>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</si>
  <si>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</si>
  <si>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</si>
  <si>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</si>
  <si>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</si>
  <si>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</si>
  <si>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</si>
  <si>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</si>
  <si>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Casa Mc Queens Di Ercole Moroni</t>
  </si>
  <si>
    <t>Via Gavigliano 11</t>
  </si>
  <si>
    <t>www.casaercolemoroni.com</t>
  </si>
  <si>
    <t>info@ercolemoroni.com</t>
  </si>
  <si>
    <t>La Kumari Di Bisconti Leonardo</t>
  </si>
  <si>
    <t>Via Dei Sibillini 1</t>
  </si>
  <si>
    <t>biscontileonardo@yahoo.it</t>
  </si>
  <si>
    <t>B&amp;B Cristina &amp; Laura Di Maggi Maria Gabriella</t>
  </si>
  <si>
    <t>gabriella_maggi@ibero.it</t>
  </si>
  <si>
    <t>La Capanna</t>
  </si>
  <si>
    <t>Piazzale Pintura 5</t>
  </si>
  <si>
    <t>Pintura Di Bolognola</t>
  </si>
  <si>
    <t>mariodalesio@hotmail.com</t>
  </si>
  <si>
    <t>Pintura</t>
  </si>
  <si>
    <t>Piazzale Pintura 1</t>
  </si>
  <si>
    <t>Hotel La Rupe</t>
  </si>
  <si>
    <t>Via Meta 76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</si>
  <si>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</si>
  <si>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</si>
  <si>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</si>
  <si>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</si>
  <si>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</si>
  <si>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</si>
  <si>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</si>
  <si>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</si>
  <si>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</si>
  <si>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</si>
  <si>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</si>
  <si>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</si>
  <si>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</si>
  <si>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</si>
  <si>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</si>
  <si>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</si>
  <si>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Agriturismo Moretti Marco</t>
  </si>
  <si>
    <t>Localita' Campovecchio 1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</si>
  <si>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</si>
  <si>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</si>
  <si>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</si>
  <si>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</si>
  <si>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</si>
  <si>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</si>
  <si>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</si>
  <si>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</si>
  <si>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</si>
  <si>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</si>
  <si>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</si>
  <si>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</si>
  <si>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</si>
  <si>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</si>
  <si>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</si>
  <si>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</si>
  <si>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</si>
  <si>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</si>
  <si>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</si>
  <si>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</si>
  <si>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</si>
  <si>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</si>
  <si>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</si>
  <si>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</si>
  <si>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</si>
  <si>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</si>
  <si>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</si>
  <si>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Loc. Lamoli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</si>
  <si>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</si>
  <si>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</si>
  <si>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</si>
  <si>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</si>
  <si>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</si>
  <si>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</si>
  <si>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</si>
  <si>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</si>
  <si>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</si>
  <si>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</si>
  <si>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</si>
  <si>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</si>
  <si>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</si>
  <si>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</si>
  <si>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</si>
  <si>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</si>
  <si>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</si>
  <si>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</si>
  <si>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</si>
  <si>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Agriturismo Serra Canina</t>
  </si>
  <si>
    <t>Loc.Serra Canina Snc</t>
  </si>
  <si>
    <t>www.calesuore.it</t>
  </si>
  <si>
    <t>info@calesuore.it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</si>
  <si>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</si>
  <si>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</si>
  <si>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</si>
  <si>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</si>
  <si>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</si>
  <si>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</si>
  <si>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Amaduzzi Giovanna</t>
  </si>
  <si>
    <t>Località Le Pieie Tarugo</t>
  </si>
  <si>
    <t>www.cadeinoci.com</t>
  </si>
  <si>
    <t>bonazelli6@libero.it</t>
  </si>
  <si>
    <t>Residence Torre Del Sasso</t>
  </si>
  <si>
    <t>Localita' Via Stratta 1</t>
  </si>
  <si>
    <t>Pio Bracco</t>
  </si>
  <si>
    <t>San Paterniano 36</t>
  </si>
  <si>
    <t>Smirra</t>
  </si>
  <si>
    <t>www.lamaestade.it</t>
  </si>
  <si>
    <t>explorer@teletu.it ; piobracco@alice.it</t>
  </si>
  <si>
    <t>Fonte Dell'Olmo</t>
  </si>
  <si>
    <t>Strada Monte Peruzzo 1</t>
  </si>
  <si>
    <t>purgotti2@virgilio.it</t>
  </si>
  <si>
    <t>Agriturismo Colle Delle Ginestrelle Di Capoccia Carlo</t>
  </si>
  <si>
    <t>Via Flaminia Nord 23</t>
  </si>
  <si>
    <t>www.agriturcagli.it</t>
  </si>
  <si>
    <t>info@agriturcagli.it</t>
  </si>
  <si>
    <t>Agriturismo Campagna</t>
  </si>
  <si>
    <t>Strada Pigno Monte Martello 1</t>
  </si>
  <si>
    <t>Agriturismo Che Cello</t>
  </si>
  <si>
    <t>Strada Sant' Angelo In Maiano 5</t>
  </si>
  <si>
    <t>maddalena.scotti@virgilio.it</t>
  </si>
  <si>
    <t>Ca' Maggio Nuovo</t>
  </si>
  <si>
    <t>Strada Monte Peruzzo 63</t>
  </si>
  <si>
    <t>www.camaggio.com</t>
  </si>
  <si>
    <t>info@camaggio.com</t>
  </si>
  <si>
    <t>Ca' Le Suore</t>
  </si>
  <si>
    <t>Strada Monte Peruzzo 57</t>
  </si>
  <si>
    <t>Agriturismo Frescina</t>
  </si>
  <si>
    <t>Localita' Frescina Abbadia Di Naro  1</t>
  </si>
  <si>
    <t>www.frescina.com</t>
  </si>
  <si>
    <t>info@frescina.com</t>
  </si>
  <si>
    <t>Ca' Belvedere</t>
  </si>
  <si>
    <t>Strada Pigno Monte Martello 103</t>
  </si>
  <si>
    <t>www.cabelvedere.it</t>
  </si>
  <si>
    <t>info@cabelvedere.it</t>
  </si>
  <si>
    <t>Azienda Agrituristica F.Lli Fulvi</t>
  </si>
  <si>
    <t>Strada Ca' Rio 1</t>
  </si>
  <si>
    <t>Relais Druda</t>
  </si>
  <si>
    <t>Atanagi 37</t>
  </si>
  <si>
    <t>Ricci Marco</t>
  </si>
  <si>
    <t>Frazione San Savino - Strada Provinciale 424 Snc</t>
  </si>
  <si>
    <t>San Savino</t>
  </si>
  <si>
    <t>casalecanneto@libero.it</t>
  </si>
  <si>
    <t>Il Posto Delle Viole</t>
  </si>
  <si>
    <t>Località Fornaci Di Paravento 123</t>
  </si>
  <si>
    <t>www.ilpostodelleviole.it</t>
  </si>
  <si>
    <t>cesare@ilpostodelleviole.it</t>
  </si>
  <si>
    <t>De Rerum Natura</t>
  </si>
  <si>
    <t>Località Fornaci Di Paravento  123</t>
  </si>
  <si>
    <t>www.coopdererumnatura.it</t>
  </si>
  <si>
    <t>Casa Mariaa</t>
  </si>
  <si>
    <t>Vicolo Pino 9</t>
  </si>
  <si>
    <t>www.casamariaa.it</t>
  </si>
  <si>
    <t>contact@casamariaa.it</t>
  </si>
  <si>
    <t>Capoccia Luigina</t>
  </si>
  <si>
    <t>Strada Monte Petrano 1</t>
  </si>
  <si>
    <t>Radi Milena</t>
  </si>
  <si>
    <t>Via Faeto 7</t>
  </si>
  <si>
    <t>milenaradi7@gmail.com</t>
  </si>
  <si>
    <t>B&amp;B Locanda Degli Angeli</t>
  </si>
  <si>
    <t>Case Sparse 143</t>
  </si>
  <si>
    <t>Fraz. Abbadia Di Naro</t>
  </si>
  <si>
    <t>locandadegliangelidirita@gmail.com</t>
  </si>
  <si>
    <t>B&amp;B Moretti Giuseppe</t>
  </si>
  <si>
    <t>Via Pian Del Vescovo 16</t>
  </si>
  <si>
    <t>giusep.moretti@gmail.com</t>
  </si>
  <si>
    <t>La Piazza</t>
  </si>
  <si>
    <t>P.Zza Matteotti 6</t>
  </si>
  <si>
    <t>www.casavacanzelapiazza.it</t>
  </si>
  <si>
    <t>info@casavacanzelapiazza.it</t>
  </si>
  <si>
    <t>Villa Degli Orti</t>
  </si>
  <si>
    <t>Via Flaminia Nord  153</t>
  </si>
  <si>
    <t>info@ortiamo.it</t>
  </si>
  <si>
    <t>L'Oncia</t>
  </si>
  <si>
    <t>Loc. Ca' Serra</t>
  </si>
  <si>
    <t>zio.mele@libero.it</t>
  </si>
  <si>
    <t>B&amp;B La Villa Degli Orti</t>
  </si>
  <si>
    <t>Via Flaminia Nord 153</t>
  </si>
  <si>
    <t>m.tassi@libero.it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</si>
  <si>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</si>
  <si>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</si>
  <si>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</si>
  <si>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</si>
  <si>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</si>
  <si>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Villa Ada</t>
  </si>
  <si>
    <t>Via B.Buozzi 37</t>
  </si>
  <si>
    <t>http://villaadacagli.tumblr.com/</t>
  </si>
  <si>
    <t>villaadacagli@gmail.com</t>
  </si>
  <si>
    <t>Giunti Francesco</t>
  </si>
  <si>
    <t>Via Case Sparse 85</t>
  </si>
  <si>
    <t>Loc. Naro</t>
  </si>
  <si>
    <t>Pavoni Lucio</t>
  </si>
  <si>
    <t>Via Don Minzoni, 66 66/A</t>
  </si>
  <si>
    <t>lucia.pavoni.18@gmail.com</t>
  </si>
  <si>
    <t>Paolo Cangini</t>
  </si>
  <si>
    <t>Loc. Acquaviva 25</t>
  </si>
  <si>
    <t>Woernle Bettina</t>
  </si>
  <si>
    <t>mail@bewoernle.de</t>
  </si>
  <si>
    <t>B&amp;B Gianpaolo Luchini</t>
  </si>
  <si>
    <t>Localita' Secchiano Strada Cagli Pianello 123</t>
  </si>
  <si>
    <t>San Silvestro</t>
  </si>
  <si>
    <t>Localita' Monte Scatto 1</t>
  </si>
  <si>
    <t>info@agriturismo-sansilvestro.it</t>
  </si>
  <si>
    <t>La Collinetta</t>
  </si>
  <si>
    <t>Via Ca' Lupo 27</t>
  </si>
  <si>
    <t>info@residencelacollinetta.com</t>
  </si>
  <si>
    <t>Raggio Di Sole</t>
  </si>
  <si>
    <t>Localita' Acquaviva 1</t>
  </si>
  <si>
    <t>B&amp;B La Rosa Rossa</t>
  </si>
  <si>
    <t>Via Del Burano 1</t>
  </si>
  <si>
    <t>teresin@live.it</t>
  </si>
  <si>
    <t>B&amp;B Del Teatro</t>
  </si>
  <si>
    <t>Via Giacomo Leopardi 28</t>
  </si>
  <si>
    <t>www.bbdelteatro.it</t>
  </si>
  <si>
    <t>info@bbdelteatro.it</t>
  </si>
  <si>
    <t>Country House Ca' Bucarini</t>
  </si>
  <si>
    <t>Case Sparse Naro 3</t>
  </si>
  <si>
    <t>bucarinilucia@gmail.com</t>
  </si>
  <si>
    <t>Agriturismo Bufano</t>
  </si>
  <si>
    <t>Strada San Fiorano 48</t>
  </si>
  <si>
    <t>www.agriturismobufano.it</t>
  </si>
  <si>
    <t>info@agriturismobufano.it</t>
  </si>
  <si>
    <t>Agriturismo Molleone</t>
  </si>
  <si>
    <t>Strada Molleone 1</t>
  </si>
  <si>
    <t>B&amp;B Ca' Maggio Nuovo</t>
  </si>
  <si>
    <t>Le Stanze Di Clotilde</t>
  </si>
  <si>
    <t>Via Purgotti 64-66</t>
  </si>
  <si>
    <t>info@bonclericihouse.it</t>
  </si>
  <si>
    <t>La Ferraia</t>
  </si>
  <si>
    <t>Strada Casale 10</t>
  </si>
  <si>
    <t>www.laferraia.it</t>
  </si>
  <si>
    <t>info@laferraia.it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</si>
  <si>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</si>
  <si>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</si>
  <si>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</si>
  <si>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</si>
  <si>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</si>
  <si>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B&amp;B Monserchio</t>
  </si>
  <si>
    <t>Pigno Monte Martello  52</t>
  </si>
  <si>
    <t>k.strian@esaway.it</t>
  </si>
  <si>
    <t>Vellaneta</t>
  </si>
  <si>
    <t>Strada Pigno Monte Martello 82</t>
  </si>
  <si>
    <t>www.vellaneta.com</t>
  </si>
  <si>
    <t>agriturismo.vellaneta@esaway.it</t>
  </si>
  <si>
    <t>Borgo Frescina</t>
  </si>
  <si>
    <t>Abbadia Di Naro 118</t>
  </si>
  <si>
    <t>Frescina - Cagli</t>
  </si>
  <si>
    <t>B&amp;B San Pietro Fuori Le Mura</t>
  </si>
  <si>
    <t>Via San Pietro 14</t>
  </si>
  <si>
    <t>mhlpieri@gmail.com</t>
  </si>
  <si>
    <t>La Contesa Di Bertozzi Mafalda</t>
  </si>
  <si>
    <t>Loc. Acquaviva 126</t>
  </si>
  <si>
    <t>Acquaviva</t>
  </si>
  <si>
    <t>www.lacontesa.it</t>
  </si>
  <si>
    <t>info@lacontesa.it</t>
  </si>
  <si>
    <t>B&amp;B Paladini Roberto</t>
  </si>
  <si>
    <t>Via Bencivenne Paganucci 23</t>
  </si>
  <si>
    <t>robertopaladini56@gmail.com</t>
  </si>
  <si>
    <t>Bonclerici House</t>
  </si>
  <si>
    <t>Via Tiranni 23</t>
  </si>
  <si>
    <t>www.bonclericihouse.it</t>
  </si>
  <si>
    <t>La Colticciola Di Cancellieri Augusto</t>
  </si>
  <si>
    <t>Strada Cagli Pergola 120</t>
  </si>
  <si>
    <t>aziendaagrituristicacancellieri.com</t>
  </si>
  <si>
    <t>cancellieri75@virgilio.it</t>
  </si>
  <si>
    <t>Ranco Di Sopra</t>
  </si>
  <si>
    <t>Strada Caimarini 79</t>
  </si>
  <si>
    <t>www.rancodisopra.it</t>
  </si>
  <si>
    <t>info@rancodisopra.it</t>
  </si>
  <si>
    <t>Le Ripe Di Beligni Ivo</t>
  </si>
  <si>
    <t>Fraz. Cà Rio</t>
  </si>
  <si>
    <t>Villa Fontalba</t>
  </si>
  <si>
    <t>Via Flaminia Nord 123</t>
  </si>
  <si>
    <t>www.villafontalba.it</t>
  </si>
  <si>
    <t>villafontalba@gmail.com</t>
  </si>
  <si>
    <t>B&amp;B Torre D'Acquaviva</t>
  </si>
  <si>
    <t>Via Molleone 5</t>
  </si>
  <si>
    <t>www.torreacquaviva.it</t>
  </si>
  <si>
    <t>amichelinitocci@yahoo.it</t>
  </si>
  <si>
    <t>International Cagli Hotel Srl</t>
  </si>
  <si>
    <t>Strada Civita  5</t>
  </si>
  <si>
    <t>info@internationalcaglihotel.it</t>
  </si>
  <si>
    <t>Hotel Pineta</t>
  </si>
  <si>
    <t>Viale Della Vittoria 15</t>
  </si>
  <si>
    <t>info@hpineta.com</t>
  </si>
  <si>
    <t>Il Nido Del Cuculo</t>
  </si>
  <si>
    <t>Contrada Colcu' 12</t>
  </si>
  <si>
    <t>www.ilnidodelcuculo.it</t>
  </si>
  <si>
    <t>susannafab@tiscali.it</t>
  </si>
  <si>
    <t>Il Frutteto</t>
  </si>
  <si>
    <t>Contrada Acquaviva Snc</t>
  </si>
  <si>
    <t>www.frutteto.info</t>
  </si>
  <si>
    <t>info@frutteto.info</t>
  </si>
  <si>
    <t>Tesoro</t>
  </si>
  <si>
    <t>Viale Giacomo Matteotti 27</t>
  </si>
  <si>
    <t>www.hoteltesoro.it</t>
  </si>
  <si>
    <t>info@hoteltesoro.it</t>
  </si>
  <si>
    <t>B&amp;B Bea Villa Bea</t>
  </si>
  <si>
    <t>Contrada Colcù 1</t>
  </si>
  <si>
    <t>beavillabea@gmail.com</t>
  </si>
  <si>
    <t>Segala Beatrice</t>
  </si>
  <si>
    <t>beatrice@segalarenzo.it</t>
  </si>
  <si>
    <t>Agriturismo Villa Ninetta</t>
  </si>
  <si>
    <t>C.Da San Pietro 4</t>
  </si>
  <si>
    <t>www.villaninetta.com</t>
  </si>
  <si>
    <t>agriturismovillaninetta@gmail.com</t>
  </si>
  <si>
    <t>Case E Appartamenti Vacanze Dibiagi Fausto</t>
  </si>
  <si>
    <t>Localita' Borgo Pievefavera 50</t>
  </si>
  <si>
    <t>vacancaldarola@calde2958.it</t>
  </si>
  <si>
    <t>Mazzamurello</t>
  </si>
  <si>
    <t>Garufo</t>
  </si>
  <si>
    <t>www.mazzamurello.it</t>
  </si>
  <si>
    <t>gaortali@gmail.com</t>
  </si>
  <si>
    <t>La Casa Di Rosa</t>
  </si>
  <si>
    <t>Agriturismo Colle Casini Cortesi</t>
  </si>
  <si>
    <t>www.agriturismocollecasinicortesi.it</t>
  </si>
  <si>
    <t>info@agriturismocollecasinicortesi.it</t>
  </si>
  <si>
    <t>Santini Paolo App.To 1</t>
  </si>
  <si>
    <t>Via Loretana 46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</si>
  <si>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</si>
  <si>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</si>
  <si>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</si>
  <si>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</si>
  <si>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</si>
  <si>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</si>
  <si>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</si>
  <si>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</si>
  <si>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</si>
  <si>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</si>
  <si>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</si>
  <si>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</si>
  <si>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</si>
  <si>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</si>
  <si>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</si>
  <si>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</si>
  <si>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</si>
  <si>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</si>
  <si>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Il Sassone</t>
  </si>
  <si>
    <t>Via Inferno 11</t>
  </si>
  <si>
    <t>www.countryhouseilsassone.it</t>
  </si>
  <si>
    <t>info@countryhouseilsassone.it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</si>
  <si>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</si>
  <si>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</si>
  <si>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</si>
  <si>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</si>
  <si>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</si>
  <si>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</si>
  <si>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</si>
  <si>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</si>
  <si>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</si>
  <si>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</si>
  <si>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</si>
  <si>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</si>
  <si>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</si>
  <si>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</si>
  <si>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</si>
  <si>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B&amp;B 19</t>
  </si>
  <si>
    <t>Via Colle Lauro 19/A</t>
  </si>
  <si>
    <t>info@bb19.it</t>
  </si>
  <si>
    <t>Palazzo Ruschioni</t>
  </si>
  <si>
    <t>Via San Francesco 22</t>
  </si>
  <si>
    <t>www.palazzoruschioni.it</t>
  </si>
  <si>
    <t>info@palazzoruschioni.it</t>
  </si>
  <si>
    <t>La Perla</t>
  </si>
  <si>
    <t>Via Direttissima Del Conero 1 - 3</t>
  </si>
  <si>
    <t>http://www.perlahotelancona.it</t>
  </si>
  <si>
    <t>info@perlahotelancona.it</t>
  </si>
  <si>
    <t>B&amp;B Paci Sandro</t>
  </si>
  <si>
    <t>Via Del Galletto 12</t>
  </si>
  <si>
    <t>paci.sandro@alice.it</t>
  </si>
  <si>
    <t>Affittacamere Vitali Aldesina</t>
  </si>
  <si>
    <t>Via San Giuseppe 31</t>
  </si>
  <si>
    <t>ristorantelepiane@alice.it</t>
  </si>
  <si>
    <t>Sumi Cottage Bed And Breakfast</t>
  </si>
  <si>
    <t>Via Giacomo Matteotti 25</t>
  </si>
  <si>
    <t>www.sumicottage.it</t>
  </si>
  <si>
    <t>michael.woodbridge@libero.it</t>
  </si>
  <si>
    <t>Immobiliare Le Piane Snc</t>
  </si>
  <si>
    <t>Via San Giuseppe 58</t>
  </si>
  <si>
    <t>Locanda Delle Saline</t>
  </si>
  <si>
    <t>Via Saline 9</t>
  </si>
  <si>
    <t>www.agriturismolesaline.it</t>
  </si>
  <si>
    <t>locandadellesaline@libero.it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</si>
  <si>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</si>
  <si>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</si>
  <si>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</si>
  <si>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</si>
  <si>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</si>
  <si>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</si>
  <si>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</si>
  <si>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</si>
  <si>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</si>
  <si>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</si>
  <si>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</si>
  <si>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</si>
  <si>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</si>
  <si>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</si>
  <si>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</si>
  <si>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</si>
  <si>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</si>
  <si>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</si>
  <si>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</si>
  <si>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</si>
  <si>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</si>
  <si>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</si>
  <si>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</si>
  <si>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</si>
  <si>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</si>
  <si>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</si>
  <si>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</si>
  <si>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Roma</t>
  </si>
  <si>
    <t>Piazza Giuseppe Garibaldi 6</t>
  </si>
  <si>
    <t>Il Cavaliere</t>
  </si>
  <si>
    <t>Via Mariani 35</t>
  </si>
  <si>
    <t>www.hotelilcavaliere.com</t>
  </si>
  <si>
    <t>info@hotelilcavaliere.com</t>
  </si>
  <si>
    <t>B&amp;B Casa Rocca</t>
  </si>
  <si>
    <t>Piazzale Della Vittoria 3</t>
  </si>
  <si>
    <t>annazampetti@hotmail.it</t>
  </si>
  <si>
    <t>Agriturismo La Marca</t>
  </si>
  <si>
    <t>Localita' Mecciano 1</t>
  </si>
  <si>
    <t>www.agriturismolamarca.com</t>
  </si>
  <si>
    <t>aglamarca@libero.it</t>
  </si>
  <si>
    <t>B&amp;B Francioni Donatella</t>
  </si>
  <si>
    <t>Frazione Valdiea 9</t>
  </si>
  <si>
    <t>Fattoria Di Cignano</t>
  </si>
  <si>
    <t>Via Cignano 5</t>
  </si>
  <si>
    <t>Loc. Cignano</t>
  </si>
  <si>
    <t>B&amp;B Tenuta Gorgiano</t>
  </si>
  <si>
    <t>Località Gorgiano 2</t>
  </si>
  <si>
    <t>Gorgiano</t>
  </si>
  <si>
    <t>as.gorgiano@gmail.com</t>
  </si>
  <si>
    <t>Villa Maria</t>
  </si>
  <si>
    <t>Via Girolamo Di Giovanni 41</t>
  </si>
  <si>
    <t>artigianedilsrl@legalmail.it</t>
  </si>
  <si>
    <t>B&amp;B Leone</t>
  </si>
  <si>
    <t>Viale Giacomo Leopardi 59</t>
  </si>
  <si>
    <t>info@b&amp;bcollepiano.com</t>
  </si>
  <si>
    <t>B&amp;B Happy Houses</t>
  </si>
  <si>
    <t>Viale Emilio Betti 15</t>
  </si>
  <si>
    <t>Www.Happyhouses.It</t>
  </si>
  <si>
    <t>info@happyhouses.it</t>
  </si>
  <si>
    <t>B&amp;B Acanto Garden</t>
  </si>
  <si>
    <t>Loc. Varano Di Sopra 14</t>
  </si>
  <si>
    <t>Loc. Varano Di Sopra, 14</t>
  </si>
  <si>
    <t>www.acantogarden.com</t>
  </si>
  <si>
    <t>emanuelataccari@gmail.com</t>
  </si>
  <si>
    <t>Residenza Bongiovanni</t>
  </si>
  <si>
    <t>Via B. Bongiovanni 13</t>
  </si>
  <si>
    <t>B&amp;B Prima O Poi</t>
  </si>
  <si>
    <t>Localita' Pontinia 8</t>
  </si>
  <si>
    <t>Localita' Pontinia</t>
  </si>
  <si>
    <t>b_bprimaopoi@libero.it</t>
  </si>
  <si>
    <t>Borgo Belvederi</t>
  </si>
  <si>
    <t>Frazione Valle Vegenana 1</t>
  </si>
  <si>
    <t>borgo@belvederi.com</t>
  </si>
  <si>
    <t>La Collina Dei Ciliegi</t>
  </si>
  <si>
    <t>Frazione Colle Altino 7</t>
  </si>
  <si>
    <t>Del Sole</t>
  </si>
  <si>
    <t>Via Mariani 59</t>
  </si>
  <si>
    <t>B&amp;B Country - La Contea</t>
  </si>
  <si>
    <t>Frazione Statte 1</t>
  </si>
  <si>
    <t>mmseri@virgilio.it</t>
  </si>
  <si>
    <t>Alla Scoperta Delle Marche</t>
  </si>
  <si>
    <t>Via Andrea D'Accorso Snc</t>
  </si>
  <si>
    <t>www.allascopertadellemarche.it</t>
  </si>
  <si>
    <t>sctacchi@libero.it</t>
  </si>
  <si>
    <t>Cerere</t>
  </si>
  <si>
    <t>Localita' Case Beri 1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</si>
  <si>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</si>
  <si>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</si>
  <si>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</si>
  <si>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</si>
  <si>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</si>
  <si>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</si>
  <si>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</si>
  <si>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</si>
  <si>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</si>
  <si>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</si>
  <si>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</si>
  <si>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</si>
  <si>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</si>
  <si>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</si>
  <si>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</si>
  <si>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</si>
  <si>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</si>
  <si>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</si>
  <si>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</si>
  <si>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</si>
  <si>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</si>
  <si>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</si>
  <si>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</si>
  <si>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</si>
  <si>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</si>
  <si>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</si>
  <si>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</si>
  <si>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</si>
  <si>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</si>
  <si>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</si>
  <si>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</si>
  <si>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</si>
  <si>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Affittacamere Tiepolo 4</t>
  </si>
  <si>
    <t>Tiepolo  4</t>
  </si>
  <si>
    <t>amministrazione@6tour.com</t>
  </si>
  <si>
    <t>La Cavallina</t>
  </si>
  <si>
    <t>Via Mariani 13</t>
  </si>
  <si>
    <t>www.lacavallina.it</t>
  </si>
  <si>
    <t>agriturismo.lacavallina@gmail.com</t>
  </si>
  <si>
    <t>Country House Colle Ridente</t>
  </si>
  <si>
    <t>Localita' Colle Ridente  2</t>
  </si>
  <si>
    <t>Colle Ridente</t>
  </si>
  <si>
    <t>info@colleridente.it</t>
  </si>
  <si>
    <t>La Dimora Dell'Arciere</t>
  </si>
  <si>
    <t>Piazza Mazzini 5</t>
  </si>
  <si>
    <t>ladimoradellarciere@gmail.com</t>
  </si>
  <si>
    <t>Villa Claudi</t>
  </si>
  <si>
    <t>Fraz. Raggiano 16</t>
  </si>
  <si>
    <t>Raggiano</t>
  </si>
  <si>
    <t>www.villaclaudi.it</t>
  </si>
  <si>
    <t>giovannaclaudi@gmail.com</t>
  </si>
  <si>
    <t>B&amp;B Restoqui</t>
  </si>
  <si>
    <t>Via Varino Favorino 8</t>
  </si>
  <si>
    <t>restoquibeb@gmail.com</t>
  </si>
  <si>
    <t>In Town Luxury House</t>
  </si>
  <si>
    <t>Via Roma 12</t>
  </si>
  <si>
    <t>www.intowncamerino.com</t>
  </si>
  <si>
    <t>info@intowncamerino.com</t>
  </si>
  <si>
    <t>Residence I Girasoli</t>
  </si>
  <si>
    <t>Frazione San Marcello 24</t>
  </si>
  <si>
    <t>www.residenceigirasoli.it</t>
  </si>
  <si>
    <t>info@residenceigirasoli.it</t>
  </si>
  <si>
    <t>B&amp;B Dai Nonni</t>
  </si>
  <si>
    <t>Loc. Arcofiato 14</t>
  </si>
  <si>
    <t>www.dainonni.it</t>
  </si>
  <si>
    <t>info@dainonni.it</t>
  </si>
  <si>
    <t>Residence Venanzina Pennesi</t>
  </si>
  <si>
    <t>Collegio Bongiovanni</t>
  </si>
  <si>
    <t>Via B. Bongiovanni 7</t>
  </si>
  <si>
    <t>www.collegiobongiovanni.it</t>
  </si>
  <si>
    <t>info@collegiobongiovanni.it</t>
  </si>
  <si>
    <t>Casaroli Silvano</t>
  </si>
  <si>
    <t>Via Conti Di Borgo 77</t>
  </si>
  <si>
    <t>silvanocasaroli@libero.it</t>
  </si>
  <si>
    <t>Residenza Largo Valentini</t>
  </si>
  <si>
    <t>Largo Valentini 4</t>
  </si>
  <si>
    <t>Affittacamere Leopardi 59</t>
  </si>
  <si>
    <t>G. Leopardi 59</t>
  </si>
  <si>
    <t>amministrazone@6tour.com</t>
  </si>
  <si>
    <t>Agriturismo Le Cortine</t>
  </si>
  <si>
    <t>Via Andrea D' Accorso 75</t>
  </si>
  <si>
    <t>www.lecortine.com</t>
  </si>
  <si>
    <t>info@lecortine.com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</si>
  <si>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</si>
  <si>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</si>
  <si>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</si>
  <si>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</si>
  <si>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</si>
  <si>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</si>
  <si>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</si>
  <si>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B&amp;B Maremuro'</t>
  </si>
  <si>
    <t>Contrada Marina 47</t>
  </si>
  <si>
    <t>www.maremuro.it</t>
  </si>
  <si>
    <t>voinotna@libero.it</t>
  </si>
  <si>
    <t>Malavolta Martina</t>
  </si>
  <si>
    <t>Contrada Montecamauro 55</t>
  </si>
  <si>
    <t>vinciguerralorenzo@yahoo.it</t>
  </si>
  <si>
    <t>B&amp;B A Casa Di Max</t>
  </si>
  <si>
    <t>Località Ponte Nina 14</t>
  </si>
  <si>
    <t>Marina Di Campofilone</t>
  </si>
  <si>
    <t>www.acasadimax.org</t>
  </si>
  <si>
    <t>acasadimax@hotmail.com</t>
  </si>
  <si>
    <t>Hotel La Perla</t>
  </si>
  <si>
    <t>Pontenina-Campofilone</t>
  </si>
  <si>
    <t>www.vacanzelaperla.it</t>
  </si>
  <si>
    <t>info@vacanzelaperla.it</t>
  </si>
  <si>
    <t>La Residenza Degli Ulivi</t>
  </si>
  <si>
    <t>Contrada Valdaso 22</t>
  </si>
  <si>
    <t>Www.Leresidenzedegliulivi.Com</t>
  </si>
  <si>
    <t>info@leresidenzedegliulivi.com</t>
  </si>
  <si>
    <t>Casa Uliveto</t>
  </si>
  <si>
    <t>Via Molino 11</t>
  </si>
  <si>
    <t>www.ulivetovacanze.com</t>
  </si>
  <si>
    <t>iommi.patrizia@gmail.com</t>
  </si>
  <si>
    <t>Cumana Blu</t>
  </si>
  <si>
    <t>Contrada Marina 27</t>
  </si>
  <si>
    <t>www.cumanabluresidence.com</t>
  </si>
  <si>
    <t>info@cumanabluresidence.com</t>
  </si>
  <si>
    <t>Il Mare In Campagna</t>
  </si>
  <si>
    <t>Contrada Marina 54</t>
  </si>
  <si>
    <t>www.mareincampagna.it</t>
  </si>
  <si>
    <t>info@mareincampagna.it</t>
  </si>
  <si>
    <t>B&amp;B Sotto La Rocca</t>
  </si>
  <si>
    <t>Vicolo Degli Orti 11</t>
  </si>
  <si>
    <t>mstagnari@gmail.com</t>
  </si>
  <si>
    <t>B&amp;B Land &amp; Sea</t>
  </si>
  <si>
    <t>Via Marina 14</t>
  </si>
  <si>
    <t>www.bblandandsea.it</t>
  </si>
  <si>
    <t>info@bblandandsea.it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</si>
  <si>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</si>
  <si>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</si>
  <si>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</si>
  <si>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</si>
  <si>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</si>
  <si>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</si>
  <si>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</si>
  <si>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</si>
  <si>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</si>
  <si>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</si>
  <si>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B&amp;B Al Mare</t>
  </si>
  <si>
    <t>Loc. Ponte Nina 22</t>
  </si>
  <si>
    <t>Loc. Ponte Nina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</si>
  <si>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</si>
  <si>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</si>
  <si>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</si>
  <si>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</si>
  <si>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</si>
  <si>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</si>
  <si>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</si>
  <si>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</si>
  <si>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</si>
  <si>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</si>
  <si>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</si>
  <si>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</si>
  <si>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Casa De Mar</t>
  </si>
  <si>
    <t>Tre Camini 24</t>
  </si>
  <si>
    <t>Tre Camini</t>
  </si>
  <si>
    <t>info@casademar.it</t>
  </si>
  <si>
    <t>www.casademar.it</t>
  </si>
  <si>
    <t>Al Respiro Nel Bosco</t>
  </si>
  <si>
    <t>Contrada Colvenale 10</t>
  </si>
  <si>
    <t>www.alrespironelbosco.it</t>
  </si>
  <si>
    <t>lucaematilde@alrespironelbosco.it</t>
  </si>
  <si>
    <t>Commune Terre Campi Rotundi</t>
  </si>
  <si>
    <t>Vicolo Giglioni 4</t>
  </si>
  <si>
    <t>sindaco@camporotondo.sinp.net</t>
  </si>
  <si>
    <t>La Casa Sul Fiume</t>
  </si>
  <si>
    <t>Contrada Ceca 2</t>
  </si>
  <si>
    <t>yaspo@mail.ru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</si>
  <si>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</si>
  <si>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</si>
  <si>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</si>
  <si>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</si>
  <si>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</si>
  <si>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Casa Vacanza Borgo Vecchio</t>
  </si>
  <si>
    <t>Via Circonvallazione 15</t>
  </si>
  <si>
    <t>aloisa89@libero.it; annarita.bocci55@libero.it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</si>
  <si>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</si>
  <si>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</si>
  <si>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</si>
  <si>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</si>
  <si>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</si>
  <si>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Villa Antica</t>
  </si>
  <si>
    <t>Via Finocchieto 60</t>
  </si>
  <si>
    <t>Località Fossato</t>
  </si>
  <si>
    <t>http://www.villaantica.eu/</t>
  </si>
  <si>
    <t>ddgiamb@alice.it</t>
  </si>
  <si>
    <t>Ca' Paravento Country House</t>
  </si>
  <si>
    <t>Via Della Fornace 73</t>
  </si>
  <si>
    <t>Tranquillo</t>
  </si>
  <si>
    <t>www.caparavento.it</t>
  </si>
  <si>
    <t>info@caparavento.it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</si>
  <si>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</si>
  <si>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</si>
  <si>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</si>
  <si>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</si>
  <si>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</si>
  <si>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</si>
  <si>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</si>
  <si>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</si>
  <si>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</si>
  <si>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</si>
  <si>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</si>
  <si>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</si>
  <si>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</si>
  <si>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</si>
  <si>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</si>
  <si>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www.farmhouseresort.it</t>
  </si>
  <si>
    <t>marcoramberti@gmail.com</t>
  </si>
  <si>
    <t>Acquabattiglia</t>
  </si>
  <si>
    <t>Via Fossato 5</t>
  </si>
  <si>
    <t>Acquabattaglia</t>
  </si>
  <si>
    <t>www.acquabattaglia.com</t>
  </si>
  <si>
    <t>picorri@gmail.com</t>
  </si>
  <si>
    <t>B&amp;B Luchetti Danila</t>
  </si>
  <si>
    <t>Via Della Badia 2</t>
  </si>
  <si>
    <t>studioquattro@studioquattromail.it</t>
  </si>
  <si>
    <t>B&amp;B Ca' Paravento</t>
  </si>
  <si>
    <t>Annarella</t>
  </si>
  <si>
    <t>Via Molino Vecchio 6</t>
  </si>
  <si>
    <t>agriturismoannarella@gmail.com</t>
  </si>
  <si>
    <t>Ristorante Pensione Marchetti</t>
  </si>
  <si>
    <t>Via Xx Settembre 153</t>
  </si>
  <si>
    <t>www.ristorantepensionemarchetti.it</t>
  </si>
  <si>
    <t>info@ristorantepensionemarchetti.it</t>
  </si>
  <si>
    <t>Il Monticello</t>
  </si>
  <si>
    <t>Contrada Menocchia 8</t>
  </si>
  <si>
    <t>mauro.fioroni@postaraffaello.it</t>
  </si>
  <si>
    <t>Via Montevarmine  42</t>
  </si>
  <si>
    <t>Agriturismo La Cicala</t>
  </si>
  <si>
    <t>Contrada Menocchia 22</t>
  </si>
  <si>
    <t>www.lacicalagriturismo.it</t>
  </si>
  <si>
    <t>info@lacicalagriturismo.it</t>
  </si>
  <si>
    <t>Appartamenti Per Vacanze Bizzarri Ivana</t>
  </si>
  <si>
    <t>Via Roma 9</t>
  </si>
  <si>
    <t>chiara.rasty@libero.it</t>
  </si>
  <si>
    <t>La Casa Del Vecchio Mulino</t>
  </si>
  <si>
    <t>Contrada Di La' Di Menocchia 1</t>
  </si>
  <si>
    <t>www.casavecchiomulino.it</t>
  </si>
  <si>
    <t>info@casavecchiomulino.it</t>
  </si>
  <si>
    <t>B&amp;B Dolce Miele</t>
  </si>
  <si>
    <t>Contrada Menocchia Crocefisso 105</t>
  </si>
  <si>
    <t>www.bedandbreakfastdolcemiele.it</t>
  </si>
  <si>
    <t>bbdolcemiele@hotmail.it</t>
  </si>
  <si>
    <t>Lavanda Blu Agriturismo</t>
  </si>
  <si>
    <t>Contrada Casali 19</t>
  </si>
  <si>
    <t>www.lavandablu.com</t>
  </si>
  <si>
    <t>info@lavandablu.com</t>
  </si>
  <si>
    <t>La Rosa E La Viola</t>
  </si>
  <si>
    <t>Via Montevarmine 28</t>
  </si>
  <si>
    <t>pieroniemanuela@gmail.com</t>
  </si>
  <si>
    <t>Residence Hotel San Michele</t>
  </si>
  <si>
    <t>Via Amaducci 51</t>
  </si>
  <si>
    <t>www.hotelsmichele.com</t>
  </si>
  <si>
    <t>info@euromtour.it</t>
  </si>
  <si>
    <t>B&amp;B Love Suite Nido D'Amore</t>
  </si>
  <si>
    <t>Loc. Cantoniera 12</t>
  </si>
  <si>
    <t>www.lovesuites.it</t>
  </si>
  <si>
    <t>riccibr1@virgilio.it</t>
  </si>
  <si>
    <t>B&amp;B La Pace</t>
  </si>
  <si>
    <t>Via Bottegno  1</t>
  </si>
  <si>
    <t>Campo C/O Belforte All'Isauro</t>
  </si>
  <si>
    <t>www.la-pace.it</t>
  </si>
  <si>
    <t>info@la-pace.it</t>
  </si>
  <si>
    <t>Hotel San Michele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</si>
  <si>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</si>
  <si>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</si>
  <si>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</si>
  <si>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</si>
  <si>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</si>
  <si>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</si>
  <si>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</si>
  <si>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</si>
  <si>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</si>
  <si>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</si>
  <si>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</si>
  <si>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</si>
  <si>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</si>
  <si>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</si>
  <si>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</si>
  <si>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</si>
  <si>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</si>
  <si>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</si>
  <si>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</si>
  <si>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</si>
  <si>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</si>
  <si>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Viale Paradiso 36</t>
  </si>
  <si>
    <t>info@campeggioparadiso.com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</si>
  <si>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</si>
  <si>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</si>
  <si>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</si>
  <si>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</si>
  <si>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</si>
  <si>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</si>
  <si>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</si>
  <si>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</si>
  <si>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</si>
  <si>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</si>
  <si>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</si>
  <si>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</si>
  <si>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Paradiso</t>
  </si>
  <si>
    <t>www.campeggioparadisocarpegna.com</t>
  </si>
  <si>
    <t>Casale Talevi</t>
  </si>
  <si>
    <t>Alberone 5</t>
  </si>
  <si>
    <t>www.casaletalevi.it</t>
  </si>
  <si>
    <t>info@casaletalevi.it</t>
  </si>
  <si>
    <t>B&amp;B Ailanto</t>
  </si>
  <si>
    <t>Via D.Berloni  3</t>
  </si>
  <si>
    <t>www.ailanto-beb.com</t>
  </si>
  <si>
    <t>emiliano.eusepi@hotmail.com</t>
  </si>
  <si>
    <t>Agriturismo La Locanda Del Gelso</t>
  </si>
  <si>
    <t>Via Morola 12</t>
  </si>
  <si>
    <t>www.lalocandadelgelso.it</t>
  </si>
  <si>
    <t>info@lalocandadelgelso.it</t>
  </si>
  <si>
    <t>Casa Sgarzi'N</t>
  </si>
  <si>
    <t>Via Settembrini 12</t>
  </si>
  <si>
    <t>Lucrezia</t>
  </si>
  <si>
    <t>taddeicarmen@libero.it</t>
  </si>
  <si>
    <t>B&amp;B Riva Degli Olivi</t>
  </si>
  <si>
    <t>Via Bottaccio 14</t>
  </si>
  <si>
    <t>rivadegliolivi@gmail.com</t>
  </si>
  <si>
    <t>Il Monte</t>
  </si>
  <si>
    <t>Via Montepartemio 10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</si>
  <si>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</si>
  <si>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</si>
  <si>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</si>
  <si>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</si>
  <si>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</si>
  <si>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</si>
  <si>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</si>
  <si>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</si>
  <si>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</si>
  <si>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</si>
  <si>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</si>
  <si>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</si>
  <si>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</si>
  <si>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Casa Montefiore Ii</t>
  </si>
  <si>
    <t>Via Montefiore 3</t>
  </si>
  <si>
    <t>catia.capodagli@libero.it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</si>
  <si>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</si>
  <si>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</si>
  <si>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</si>
  <si>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</si>
  <si>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</si>
  <si>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</si>
  <si>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</si>
  <si>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</si>
  <si>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www.casamontefiore.it</t>
  </si>
  <si>
    <t>B&amp;B Scaramucci</t>
  </si>
  <si>
    <t>Via Roma 119</t>
  </si>
  <si>
    <t>bandbscaramucci.com</t>
  </si>
  <si>
    <t>segreteriascaramucci@libero.it</t>
  </si>
  <si>
    <t>B&amp;B Piceno</t>
  </si>
  <si>
    <t>Via Collecchio 1</t>
  </si>
  <si>
    <t>info@bbpiceno.it</t>
  </si>
  <si>
    <t>B&amp;B Marconi Marisa</t>
  </si>
  <si>
    <t>Via Salaria 92</t>
  </si>
  <si>
    <t>info@marisamarconi.com</t>
  </si>
  <si>
    <t>Maison Diamanti</t>
  </si>
  <si>
    <t>Via Roma 134</t>
  </si>
  <si>
    <t>diamantimassimo@tin.it</t>
  </si>
  <si>
    <t>Vecchia Salaria</t>
  </si>
  <si>
    <t>Via Salaria 72</t>
  </si>
  <si>
    <t>Borgo Storico Seghetti Panichi</t>
  </si>
  <si>
    <t>Via San Pancrazio 1</t>
  </si>
  <si>
    <t>www.seghettipanichi.it</t>
  </si>
  <si>
    <t>info@seghettipanichi.it</t>
  </si>
  <si>
    <t>Amadio Mary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</si>
  <si>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</si>
  <si>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</si>
  <si>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</si>
  <si>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</si>
  <si>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</si>
  <si>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</si>
  <si>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</si>
  <si>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</si>
  <si>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Area Sosta Camper - Castelbellino</t>
  </si>
  <si>
    <t>Casa Ghibellina</t>
  </si>
  <si>
    <t>Via Costa 2</t>
  </si>
  <si>
    <t>cecilig@yahoo.com</t>
  </si>
  <si>
    <t>Area Di Sosta Camper - Castelfidardo</t>
  </si>
  <si>
    <t>Via Lumumba 7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</si>
  <si>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</si>
  <si>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</si>
  <si>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</si>
  <si>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</si>
  <si>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</si>
  <si>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</si>
  <si>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</si>
  <si>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</si>
  <si>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</si>
  <si>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</si>
  <si>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</si>
  <si>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</si>
  <si>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</si>
  <si>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</si>
  <si>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</si>
  <si>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</si>
  <si>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</si>
  <si>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</si>
  <si>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</si>
  <si>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</si>
  <si>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</si>
  <si>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</si>
  <si>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</si>
  <si>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</si>
  <si>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</si>
  <si>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</si>
  <si>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</si>
  <si>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</si>
  <si>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</si>
  <si>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</si>
  <si>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</si>
  <si>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</si>
  <si>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</si>
  <si>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</si>
  <si>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</si>
  <si>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</si>
  <si>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</si>
  <si>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</si>
  <si>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</si>
  <si>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</si>
  <si>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</si>
  <si>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</si>
  <si>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</si>
  <si>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</si>
  <si>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</si>
  <si>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</si>
  <si>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</si>
  <si>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Amaranto'S</t>
  </si>
  <si>
    <t>Via Adriatica  28</t>
  </si>
  <si>
    <t>S.S.16 Km 318,60</t>
  </si>
  <si>
    <t>ristorantealbergoamarantos@gmail.com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</si>
  <si>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</si>
  <si>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</si>
  <si>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</si>
  <si>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</si>
  <si>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</si>
  <si>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</si>
  <si>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</si>
  <si>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</si>
  <si>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</si>
  <si>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</si>
  <si>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</si>
  <si>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</si>
  <si>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</si>
  <si>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</si>
  <si>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</si>
  <si>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</si>
  <si>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</si>
  <si>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</si>
  <si>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</si>
  <si>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</si>
  <si>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</si>
  <si>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</si>
  <si>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</si>
  <si>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Hotel Parco</t>
  </si>
  <si>
    <t>Via G. Donizetti 2</t>
  </si>
  <si>
    <t>www.hotelparco.net</t>
  </si>
  <si>
    <t>info@hotelparco.net</t>
  </si>
  <si>
    <t>Klass Hotel</t>
  </si>
  <si>
    <t>Via Adriatica 22</t>
  </si>
  <si>
    <t>www.klasshotel.it</t>
  </si>
  <si>
    <t>info@klasshotel.it</t>
  </si>
  <si>
    <t>Azienda Agricola Manfredi Stefania</t>
  </si>
  <si>
    <t>Contrada Case Nuove 61</t>
  </si>
  <si>
    <t>ggasparoni@libero.it</t>
  </si>
  <si>
    <t>Bellucci</t>
  </si>
  <si>
    <t>Corso Guglielmo Marconi 7</t>
  </si>
  <si>
    <t>www.ristorantebellucci.it</t>
  </si>
  <si>
    <t>umbertobell@libero.it</t>
  </si>
  <si>
    <t>Rustico Del Bozzo</t>
  </si>
  <si>
    <t>Contrada Bozzo 30</t>
  </si>
  <si>
    <t>info@rusticodelbozzo.com</t>
  </si>
  <si>
    <t>B&amp;B In Casa D'Arte</t>
  </si>
  <si>
    <t>Via Sabatucci 23</t>
  </si>
  <si>
    <t>www.incasadarte.it</t>
  </si>
  <si>
    <t>info@incasadarte.it</t>
  </si>
  <si>
    <t>Agriturismo Le Piagge</t>
  </si>
  <si>
    <t>Via Piagge Novali 22</t>
  </si>
  <si>
    <t>www.lepiaggeagriturismo.it</t>
  </si>
  <si>
    <t>info@lepiaggeagriturismo.it</t>
  </si>
  <si>
    <t>Hostaria Della Posta</t>
  </si>
  <si>
    <t>Via Carrozze Vaccili 6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</si>
  <si>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</si>
  <si>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</si>
  <si>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</si>
  <si>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</si>
  <si>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</si>
  <si>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</si>
  <si>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</si>
  <si>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</si>
  <si>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</si>
  <si>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</si>
  <si>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</si>
  <si>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</si>
  <si>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</si>
  <si>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In Casa D'Arte - Residenza Storica</t>
  </si>
  <si>
    <t>Piazza Della Liberta' 6</t>
  </si>
  <si>
    <t>Monte Deserto</t>
  </si>
  <si>
    <t>Via Monticelli 15</t>
  </si>
  <si>
    <t>www.montedeserto.it</t>
  </si>
  <si>
    <t>chiedi@montedeserto.it</t>
  </si>
  <si>
    <t>Villa Casabianca</t>
  </si>
  <si>
    <t>Localita' Smoglie 1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</si>
  <si>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</si>
  <si>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</si>
  <si>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</si>
  <si>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</si>
  <si>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</si>
  <si>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</si>
  <si>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Ai Ranghi</t>
  </si>
  <si>
    <t>Via Ranghi 1</t>
  </si>
  <si>
    <t>albertoroversi2@virgilio.it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</si>
  <si>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</si>
  <si>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</si>
  <si>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</si>
  <si>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</si>
  <si>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</si>
  <si>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</si>
  <si>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</si>
  <si>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</si>
  <si>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</si>
  <si>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</si>
  <si>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</si>
  <si>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</si>
  <si>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</si>
  <si>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</si>
  <si>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</si>
  <si>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</si>
  <si>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</si>
  <si>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</si>
  <si>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</si>
  <si>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</si>
  <si>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</si>
  <si>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</si>
  <si>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</si>
  <si>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Bellavista</t>
  </si>
  <si>
    <t>Via Sant' Anna 11</t>
  </si>
  <si>
    <t>www.hotelbellavista.info</t>
  </si>
  <si>
    <t>posta@hotelbellavista.info</t>
  </si>
  <si>
    <t>Panorama</t>
  </si>
  <si>
    <t>Via Del Colle 7</t>
  </si>
  <si>
    <t>Crispiero</t>
  </si>
  <si>
    <t>hotelpanorama2006@libero.it; panorama81@libero.it</t>
  </si>
  <si>
    <t>Borgo Lanciano</t>
  </si>
  <si>
    <t>Localita' Lanciano 5</t>
  </si>
  <si>
    <t>www.borgolanciano.it</t>
  </si>
  <si>
    <t>info@borgolanciano.it</t>
  </si>
  <si>
    <t>Bovetti Luciano</t>
  </si>
  <si>
    <t>Localita' Seano 6</t>
  </si>
  <si>
    <t>federico.bovetti@gmail.com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</si>
  <si>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</si>
  <si>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</si>
  <si>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</si>
  <si>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</si>
  <si>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</si>
  <si>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</si>
  <si>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</si>
  <si>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</si>
  <si>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</si>
  <si>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Il Poggio</t>
  </si>
  <si>
    <t>Via San Martino 89</t>
  </si>
  <si>
    <t>Monte Prata</t>
  </si>
  <si>
    <t>Schianceto</t>
  </si>
  <si>
    <t>www.campingmonteprata.it</t>
  </si>
  <si>
    <t>info@campingmonteprata.it</t>
  </si>
  <si>
    <t>B&amp;B La Stanza Delle Fate</t>
  </si>
  <si>
    <t>Via Belvedere 192</t>
  </si>
  <si>
    <t>info@lestanzedellefate.it</t>
  </si>
  <si>
    <t>B&amp;B Cascina Dell'Orso</t>
  </si>
  <si>
    <t>Via Belvedere 185</t>
  </si>
  <si>
    <t>Area Sosta Camper Via B. Vittazzi</t>
  </si>
  <si>
    <t>Strada Provinciale Del Pian Perduto</t>
  </si>
  <si>
    <t>segreteria@castelsantangelo.sinp.net</t>
  </si>
  <si>
    <t>La Fiorita</t>
  </si>
  <si>
    <t>Localita' Spina Di Gualdo 1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</si>
  <si>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</si>
  <si>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</si>
  <si>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</si>
  <si>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</si>
  <si>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</si>
  <si>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B&amp;B Sentieri Sibillini</t>
  </si>
  <si>
    <t>Via Belvedere 29</t>
  </si>
  <si>
    <t>Fraz. Vallinfante</t>
  </si>
  <si>
    <t>stefaniaservili@gmail.com</t>
  </si>
  <si>
    <t>Dal Navigante</t>
  </si>
  <si>
    <t>Loc. Nocelleto 28</t>
  </si>
  <si>
    <t>Monastero Delle Benedettine Di S. Liberatore</t>
  </si>
  <si>
    <t>Via Santo Stefano 58</t>
  </si>
  <si>
    <t>sbp.castello@yahoo.it</t>
  </si>
  <si>
    <t>B&amp;B Brezza Del Parco</t>
  </si>
  <si>
    <t>Via Santa Lucia 106</t>
  </si>
  <si>
    <t>B&amp;B Il Vicolo Di Valentini Franco</t>
  </si>
  <si>
    <t>Via Castello Nuovo 4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</si>
  <si>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</si>
  <si>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</si>
  <si>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</si>
  <si>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</si>
  <si>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</si>
  <si>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</si>
  <si>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</si>
  <si>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</si>
  <si>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</si>
  <si>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</si>
  <si>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</si>
  <si>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</si>
  <si>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</si>
  <si>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</si>
  <si>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</si>
  <si>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Monte Andrea</t>
  </si>
  <si>
    <t>C.Da San Venanzo 2</t>
  </si>
  <si>
    <t>B&amp;B San Martino</t>
  </si>
  <si>
    <t>C.Da San Martino 1</t>
  </si>
  <si>
    <t>info@sanmartinobeb.it; sanmartinobb@gmail.com</t>
  </si>
  <si>
    <t>B&amp;B Casa Laura</t>
  </si>
  <si>
    <t>C.Da Pachierno 10</t>
  </si>
  <si>
    <t>www.bedebreakfastcastignano.it</t>
  </si>
  <si>
    <t>simonetta.lucidi@libero.it</t>
  </si>
  <si>
    <t>Agriturismo Casa Vecchia</t>
  </si>
  <si>
    <t>Contrada Moglie 3</t>
  </si>
  <si>
    <t>luigisiliquini@virgilio.it</t>
  </si>
  <si>
    <t>Via Galvoni Sn</t>
  </si>
  <si>
    <t>http://www.comune.castignano.ap.it</t>
  </si>
  <si>
    <t>Agriturismo Zucchera</t>
  </si>
  <si>
    <t>C.Da Sant'Angelo 74</t>
  </si>
  <si>
    <t>agrizucchera@gmail.com</t>
  </si>
  <si>
    <t>B&amp;B Piane Di Enea</t>
  </si>
  <si>
    <t>C.Da Piane 4</t>
  </si>
  <si>
    <t>Ripaberarda</t>
  </si>
  <si>
    <t>mariaelvira63@gmail.com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</si>
  <si>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</si>
  <si>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</si>
  <si>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</si>
  <si>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</si>
  <si>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</si>
  <si>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</si>
  <si>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B&amp;B Peroni Alessandra</t>
  </si>
  <si>
    <t>Contrada Palazzi 15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</si>
  <si>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</si>
  <si>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</si>
  <si>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</si>
  <si>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</si>
  <si>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</si>
  <si>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</si>
  <si>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</si>
  <si>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</si>
  <si>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</si>
  <si>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Magnolia</t>
  </si>
  <si>
    <t>Contrada Palazzi 41</t>
  </si>
  <si>
    <t>Il Crinale</t>
  </si>
  <si>
    <t>Ferretti 28</t>
  </si>
  <si>
    <t>www.ilcrinale.it</t>
  </si>
  <si>
    <t>info@ilcrinale.it</t>
  </si>
  <si>
    <t>Il Focolare</t>
  </si>
  <si>
    <t>Contrada San Silvestro 1</t>
  </si>
  <si>
    <t>marti.dga@libero.it</t>
  </si>
  <si>
    <t>Ferri Enrico</t>
  </si>
  <si>
    <t>Contrada Padulo 5</t>
  </si>
  <si>
    <t>aziendaagricolaferri@alice.it</t>
  </si>
  <si>
    <t>Agriturismo Castrum Di Maoloni Giuseppina</t>
  </si>
  <si>
    <t>Contrada Gaico 3</t>
  </si>
  <si>
    <t>www.agriturismocastrum.it</t>
  </si>
  <si>
    <t>info@agriturismocastrum.it</t>
  </si>
  <si>
    <t>B&amp;B Le Magnolie</t>
  </si>
  <si>
    <t>Via Verdi 20</t>
  </si>
  <si>
    <t>info.beblemagnolie@gmail.com</t>
  </si>
  <si>
    <t>B&amp;B San Lorenzo</t>
  </si>
  <si>
    <t>Vicolo San Lorenzo 16</t>
  </si>
  <si>
    <t>www.sanlorenzobb.it</t>
  </si>
  <si>
    <t>p.stroppa@pecgeometrian.it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</si>
  <si>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</si>
  <si>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</si>
  <si>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</si>
  <si>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</si>
  <si>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</si>
  <si>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</si>
  <si>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</si>
  <si>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</si>
  <si>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Villa Incrocca</t>
  </si>
  <si>
    <t>Via Incrocca 2</t>
  </si>
  <si>
    <t>robystation@gmail.com</t>
  </si>
  <si>
    <t>Domus</t>
  </si>
  <si>
    <t>Via Dante 20</t>
  </si>
  <si>
    <t>www.hoteldomus.com</t>
  </si>
  <si>
    <t>info@hoteldomus.com</t>
  </si>
  <si>
    <t>L'Incanto Dei Sibillini</t>
  </si>
  <si>
    <t>www.incantodeisibillini.it</t>
  </si>
  <si>
    <t>Palazzo Simonelli</t>
  </si>
  <si>
    <t>Contrada Tribbio 1</t>
  </si>
  <si>
    <t>www.palazzosimonelli.it</t>
  </si>
  <si>
    <t>info@palazzosimonelli.it</t>
  </si>
  <si>
    <t>Noden Rosemary Diana Marshall</t>
  </si>
  <si>
    <t>Agriturismo Coldipietra</t>
  </si>
  <si>
    <t>C.Da Coldipietra Snc</t>
  </si>
  <si>
    <t>www.coldipietra.com</t>
  </si>
  <si>
    <t>coldipietra@coldipietra.com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</si>
  <si>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</si>
  <si>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</si>
  <si>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</si>
  <si>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</si>
  <si>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</si>
  <si>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</si>
  <si>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</si>
  <si>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</si>
  <si>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</si>
  <si>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</si>
  <si>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</si>
  <si>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</si>
  <si>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</si>
  <si>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</si>
  <si>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</si>
  <si>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</si>
  <si>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</si>
  <si>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Azienda Agricola Forestale Casigliano Dei Sibillini</t>
  </si>
  <si>
    <t>Casigliano</t>
  </si>
  <si>
    <t>Agriturismo L' Olmo Di Casigliano</t>
  </si>
  <si>
    <t>Localita' Casigliano 1</t>
  </si>
  <si>
    <t>www.olmodicasigliano.it</t>
  </si>
  <si>
    <t>info@olmodicasigliano.it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</si>
  <si>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</si>
  <si>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</si>
  <si>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</si>
  <si>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</si>
  <si>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</si>
  <si>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</si>
  <si>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Luminari</t>
  </si>
  <si>
    <t>Corso Giacomo Matteotti 14</t>
  </si>
  <si>
    <t>www.albergoluminari.it</t>
  </si>
  <si>
    <t>info@albergoluminari.it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</si>
  <si>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</si>
  <si>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</si>
  <si>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</si>
  <si>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</si>
  <si>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</si>
  <si>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B&amp;B Ormerod Thomas Jeremy</t>
  </si>
  <si>
    <t>Loc.Campo Di Bove 2</t>
  </si>
  <si>
    <t>Campo Di Bove</t>
  </si>
  <si>
    <t>info@lemarchelettings.it</t>
  </si>
  <si>
    <t>B&amp;B Amor Di Lavanda</t>
  </si>
  <si>
    <t>Localita' Fonte Del Piano 1</t>
  </si>
  <si>
    <t>Fonte Del Piano</t>
  </si>
  <si>
    <t>logiudice_alessandra@hotmail.it</t>
  </si>
  <si>
    <t>Il Focolare Di Cicarilli Stefania</t>
  </si>
  <si>
    <t>Via Orazio Avicenna 8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</si>
  <si>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</si>
  <si>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</si>
  <si>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</si>
  <si>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</si>
  <si>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</si>
  <si>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La Scaglia Rossa Di Stefania Cicarilli</t>
  </si>
  <si>
    <t>Via Cappuccini 5</t>
  </si>
  <si>
    <t>Agriturismo I Mori</t>
  </si>
  <si>
    <t>Loc.Pettovallone 1</t>
  </si>
  <si>
    <t>Pettovallone</t>
  </si>
  <si>
    <t>www.imori.net</t>
  </si>
  <si>
    <t>info@imori.net</t>
  </si>
  <si>
    <t>Colle Sul Lago</t>
  </si>
  <si>
    <t>Loc. Castreccioni 15</t>
  </si>
  <si>
    <t>http://collesullago.com</t>
  </si>
  <si>
    <t>info@collesullago.com</t>
  </si>
  <si>
    <t>Il Gallo Di Pettovallone</t>
  </si>
  <si>
    <t>Via Pettovallone 24,24B</t>
  </si>
  <si>
    <t>www.pettovallone.it</t>
  </si>
  <si>
    <t>pettovallone@gmail.com</t>
  </si>
  <si>
    <t>Casalba</t>
  </si>
  <si>
    <t>Via Cicerone 3</t>
  </si>
  <si>
    <t>Frazione San Vittore</t>
  </si>
  <si>
    <t>www.casalba.it</t>
  </si>
  <si>
    <t>info@casalba.it</t>
  </si>
  <si>
    <t>Area Di Sosta Attrezzata Balcone Delle Marche</t>
  </si>
  <si>
    <t>Loc. San Carlo</t>
  </si>
  <si>
    <t>atcprolococingoli@gmail.com</t>
  </si>
  <si>
    <t>B&amp;B Florida</t>
  </si>
  <si>
    <t>Località Campana 2</t>
  </si>
  <si>
    <t>La Quercia</t>
  </si>
  <si>
    <t>Localita' Castreccioni 13</t>
  </si>
  <si>
    <t>Loc.Azzoni</t>
  </si>
  <si>
    <t>www.laquerciacingoli.com</t>
  </si>
  <si>
    <t>lucaman69@mail.com</t>
  </si>
  <si>
    <t>Ziamelia</t>
  </si>
  <si>
    <t>Via Colognola 29/A</t>
  </si>
  <si>
    <t>daniela@ziamelia.it</t>
  </si>
  <si>
    <t>Tetto Delle Marche</t>
  </si>
  <si>
    <t>Via E. Cristianopoli 47</t>
  </si>
  <si>
    <t>www.hoteltettodellemarche.it</t>
  </si>
  <si>
    <t>info@hoteltettodellemarche.it</t>
  </si>
  <si>
    <t>Antica Taverna Alla Selva</t>
  </si>
  <si>
    <t>Via Cicerone 1</t>
  </si>
  <si>
    <t>www.tavernaallaselva.it</t>
  </si>
  <si>
    <t>tavernaallaselva@gmail.com</t>
  </si>
  <si>
    <t>La Pineta</t>
  </si>
  <si>
    <t>Via Villa Pozzo 132</t>
  </si>
  <si>
    <t>Pozzo</t>
  </si>
  <si>
    <t>lapineta2006@libero.it</t>
  </si>
  <si>
    <t>Villa Ugolini</t>
  </si>
  <si>
    <t>Localita' Sant' Anastasio 1</t>
  </si>
  <si>
    <t>www.villaugolini.it</t>
  </si>
  <si>
    <t>raffaela.rango@tiscali.it</t>
  </si>
  <si>
    <t>Acquaparco Verde Azzurro</t>
  </si>
  <si>
    <t>Localita' San Faustino 6</t>
  </si>
  <si>
    <t>www.verdeazzurro.it</t>
  </si>
  <si>
    <t>info@verdeazzurro.it</t>
  </si>
  <si>
    <t>B&amp;B Al Mago Ranch Con Scuola D'Equitazione</t>
  </si>
  <si>
    <t>Loc. Lipparelli 2</t>
  </si>
  <si>
    <t>www.magoranch.com</t>
  </si>
  <si>
    <t>info@magoranch.com</t>
  </si>
  <si>
    <t>B&amp;B Casa Silvestri</t>
  </si>
  <si>
    <t>Via Luigi Ferri 2</t>
  </si>
  <si>
    <t>www.bebcasasilvestri.com</t>
  </si>
  <si>
    <t>pieroalfei@gmail.com</t>
  </si>
  <si>
    <t>B&amp;B Cerquatti</t>
  </si>
  <si>
    <t>Via Dei Cerquatti 26</t>
  </si>
  <si>
    <t>www.cingolibeb.it</t>
  </si>
  <si>
    <t>luigi.ciattaglia@alice.it</t>
  </si>
  <si>
    <t>B&amp;B Ziamelia</t>
  </si>
  <si>
    <t>Frazione Colognola 29A 1</t>
  </si>
  <si>
    <t>www.ziamelia.it</t>
  </si>
  <si>
    <t>B&amp;B Cima Delle Stelle</t>
  </si>
  <si>
    <t>Via F. M. Raffaelli 1</t>
  </si>
  <si>
    <t>www.cimadellestelle.com</t>
  </si>
  <si>
    <t>battagliacorrado@libero.it</t>
  </si>
  <si>
    <t>Natura E Profumi ...Ed Anche Sapori</t>
  </si>
  <si>
    <t>Localita' Domo 17</t>
  </si>
  <si>
    <t>Villa Pia</t>
  </si>
  <si>
    <t>Frazione Botontano 62</t>
  </si>
  <si>
    <t>infolavineria@gmail.com</t>
  </si>
  <si>
    <t>B&amp;B San Paterniano</t>
  </si>
  <si>
    <t>Via San Paterniano 3</t>
  </si>
  <si>
    <t>www.sanpaterniano.com</t>
  </si>
  <si>
    <t>info@sanpaterniano.com</t>
  </si>
  <si>
    <t>Da Maria Di Paciarotti Paola</t>
  </si>
  <si>
    <t>Pio Viii Castiglioni 32</t>
  </si>
  <si>
    <t>p.paciarotti@alice.it</t>
  </si>
  <si>
    <t>Postiglione Della Castelletta</t>
  </si>
  <si>
    <t>Localita' Lioni 20</t>
  </si>
  <si>
    <t>www.postiglionecountryhouse.com</t>
  </si>
  <si>
    <t>postiglionec@email.it</t>
  </si>
  <si>
    <t>B&amp;B Col Di Luna</t>
  </si>
  <si>
    <t>Avenale,1 1</t>
  </si>
  <si>
    <t>www.coldiluna.com</t>
  </si>
  <si>
    <t>info@coldiluna.com</t>
  </si>
  <si>
    <t>Casa De Nonna Peppa</t>
  </si>
  <si>
    <t>Contrada Botontano 22</t>
  </si>
  <si>
    <t>Sienaert Koen Case Ed Appartamenti Per Vacanze</t>
  </si>
  <si>
    <t>Via Monnece 11</t>
  </si>
  <si>
    <t>Monnece</t>
  </si>
  <si>
    <t>Numero7</t>
  </si>
  <si>
    <t>Localita' Saltregna 7</t>
  </si>
  <si>
    <t>www.numero7.eu</t>
  </si>
  <si>
    <t>numero7.cingoli@hotmail.com</t>
  </si>
  <si>
    <t>Country House Il Molino</t>
  </si>
  <si>
    <t>Localita' Pian Della Pieve 60</t>
  </si>
  <si>
    <t>B&amp;B Verde Smeraldo</t>
  </si>
  <si>
    <t>Localita' Castreccioni 46</t>
  </si>
  <si>
    <t>www.ristorantelosmeraldo.it</t>
  </si>
  <si>
    <t>claudiasmeraldo@alice.it</t>
  </si>
  <si>
    <t>Villa Castelletta</t>
  </si>
  <si>
    <t>Localita' Castelletta 32</t>
  </si>
  <si>
    <t>info@villacastelletta.com</t>
  </si>
  <si>
    <t>B&amp;B Ormerod Jacqueline</t>
  </si>
  <si>
    <t>Loc.Campo Di Bove 2/A</t>
  </si>
  <si>
    <t>Agriturismo Gli Ulivi</t>
  </si>
  <si>
    <t>Localita' Capovilla 6</t>
  </si>
  <si>
    <t>www.gli-ulivi.it</t>
  </si>
  <si>
    <t>gliulivig@libero.it</t>
  </si>
  <si>
    <t>B&amp;B La Capuccina Di Capucci Alessandro</t>
  </si>
  <si>
    <t>Via Catafolle  24</t>
  </si>
  <si>
    <t>Catafolle</t>
  </si>
  <si>
    <t>monica.tronconi@tronconi.it</t>
  </si>
  <si>
    <t>Campeggio Sparaceto Di Falappa Jacopo</t>
  </si>
  <si>
    <t>campingsparaceto@libero.it</t>
  </si>
  <si>
    <t>B&amp;B La Chioca</t>
  </si>
  <si>
    <t>Via Delle Filande 3</t>
  </si>
  <si>
    <t>www.beblachioca.it</t>
  </si>
  <si>
    <t>michelec87@alice.it</t>
  </si>
  <si>
    <t>B&amp;B Nido Delle Rondini</t>
  </si>
  <si>
    <t>Via Benedetto Da Cingoli 1</t>
  </si>
  <si>
    <t>ilnidodellerondini@gmail.com</t>
  </si>
  <si>
    <t>B&amp;B Di Wealthal Perry Gregory</t>
  </si>
  <si>
    <t>Localita' Palazzo Avenale 40</t>
  </si>
  <si>
    <t>www.peritalia.com</t>
  </si>
  <si>
    <t>gregoryperry@libero.it</t>
  </si>
  <si>
    <t>La Corte Sul Lago</t>
  </si>
  <si>
    <t>Frazione Moscosi 33/41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</si>
  <si>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</si>
  <si>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</si>
  <si>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</si>
  <si>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</si>
  <si>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</si>
  <si>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</si>
  <si>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</si>
  <si>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</si>
  <si>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</si>
  <si>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</si>
  <si>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</si>
  <si>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</si>
  <si>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</si>
  <si>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Via Giacomo Puccini 2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</si>
  <si>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</si>
  <si>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</si>
  <si>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</si>
  <si>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</si>
  <si>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</si>
  <si>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</si>
  <si>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</si>
  <si>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</si>
  <si>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Villa Margherita</t>
  </si>
  <si>
    <t>Loc. Coppo 11</t>
  </si>
  <si>
    <t>Loc. Coppo</t>
  </si>
  <si>
    <t>www.agriturismofontepennici.it</t>
  </si>
  <si>
    <t>info@agriturismofonteppenici.it</t>
  </si>
  <si>
    <t>B&amp;B Emiliani Graziella</t>
  </si>
  <si>
    <t>Localita' Marcucci 16</t>
  </si>
  <si>
    <t>Country House Di Capodimonte Marisa</t>
  </si>
  <si>
    <t>Frazione Pozzo 37</t>
  </si>
  <si>
    <t>www.casalefabrizi.it</t>
  </si>
  <si>
    <t>info@casalefabrizi.it</t>
  </si>
  <si>
    <t>Fattoria Fonte Pennici</t>
  </si>
  <si>
    <t>Localita' Coppo 17</t>
  </si>
  <si>
    <t>info@agriturismofontepennici.it</t>
  </si>
  <si>
    <t>Et'Na'</t>
  </si>
  <si>
    <t>Lungomare Piermanni 12</t>
  </si>
  <si>
    <t>et-na@libero.it</t>
  </si>
  <si>
    <t>Non Ti Scordar Di Me</t>
  </si>
  <si>
    <t>C.Da Castelletta 65</t>
  </si>
  <si>
    <t>chiaramarchionni@virgilio.it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</si>
  <si>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</si>
  <si>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</si>
  <si>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</si>
  <si>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</si>
  <si>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</si>
  <si>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</si>
  <si>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</si>
  <si>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</si>
  <si>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</si>
  <si>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</si>
  <si>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</si>
  <si>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</si>
  <si>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</si>
  <si>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</si>
  <si>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</si>
  <si>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</si>
  <si>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</si>
  <si>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</si>
  <si>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</si>
  <si>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</si>
  <si>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</si>
  <si>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</si>
  <si>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</si>
  <si>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</si>
  <si>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</si>
  <si>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</si>
  <si>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</si>
  <si>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</si>
  <si>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</si>
  <si>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</si>
  <si>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</si>
  <si>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</si>
  <si>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</si>
  <si>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B&amp;B La Stella D'Oro</t>
  </si>
  <si>
    <t>Via Della Carena 24</t>
  </si>
  <si>
    <t>www.lastelladoro.it</t>
  </si>
  <si>
    <t>info@lastelladoro.it</t>
  </si>
  <si>
    <t>Agriturismo Antichi Sapori</t>
  </si>
  <si>
    <t>Contrada Piane Del Chienti 37</t>
  </si>
  <si>
    <t>agriturismo.antichisapori@hotmail.it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</si>
  <si>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</si>
  <si>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</si>
  <si>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</si>
  <si>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</si>
  <si>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</si>
  <si>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</si>
  <si>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</si>
  <si>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</si>
  <si>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</si>
  <si>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</si>
  <si>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</si>
  <si>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</si>
  <si>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</si>
  <si>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</si>
  <si>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</si>
  <si>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</si>
  <si>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</si>
  <si>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</si>
  <si>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</si>
  <si>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</si>
  <si>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</si>
  <si>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</si>
  <si>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Miramare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</si>
  <si>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</si>
  <si>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</si>
  <si>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</si>
  <si>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</si>
  <si>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</si>
  <si>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</si>
  <si>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</si>
  <si>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</si>
  <si>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</si>
  <si>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</si>
  <si>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</si>
  <si>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</si>
  <si>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</si>
  <si>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</si>
  <si>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</si>
  <si>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B&amp;B I Ciliegi</t>
  </si>
  <si>
    <t>Via Carducci  13</t>
  </si>
  <si>
    <t>remoroma24@hotmail.it</t>
  </si>
  <si>
    <t>Gabbiano</t>
  </si>
  <si>
    <t>Viale Vi Novembre 256</t>
  </si>
  <si>
    <t>info@gabbianohotelcivitanova.it</t>
  </si>
  <si>
    <t>B&amp;B Villa Pini</t>
  </si>
  <si>
    <t>Via Lazio 6</t>
  </si>
  <si>
    <t>Villa Pini</t>
  </si>
  <si>
    <t>www.villapini.eu</t>
  </si>
  <si>
    <t>info.bbvillapini@gmail.com</t>
  </si>
  <si>
    <t>B&amp;B Standard</t>
  </si>
  <si>
    <t>Corso Dalmazia 134</t>
  </si>
  <si>
    <t>info@standardbnb.com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</si>
  <si>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</si>
  <si>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</si>
  <si>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</si>
  <si>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</si>
  <si>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</si>
  <si>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</si>
  <si>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</si>
  <si>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</si>
  <si>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</si>
  <si>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</si>
  <si>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</si>
  <si>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</si>
  <si>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</si>
  <si>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</si>
  <si>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</si>
  <si>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</si>
  <si>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</si>
  <si>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</si>
  <si>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</si>
  <si>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</si>
  <si>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</si>
  <si>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</si>
  <si>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</si>
  <si>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B&amp;B A Casa Mia</t>
  </si>
  <si>
    <t>Via Regina Margherita 40</t>
  </si>
  <si>
    <t>Antonio</t>
  </si>
  <si>
    <t>Lungomare Piermanni 1 A 1 A</t>
  </si>
  <si>
    <t>balneare.antonio@alice.it</t>
  </si>
  <si>
    <t>B&amp;B Pino Marittimo</t>
  </si>
  <si>
    <t>Via Lombardia 1</t>
  </si>
  <si>
    <t>www.pinomarittimo.com</t>
  </si>
  <si>
    <t>vincenzosquadroni@libero.it</t>
  </si>
  <si>
    <t>Il Brigantino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</si>
  <si>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</si>
  <si>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</si>
  <si>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</si>
  <si>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</si>
  <si>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</si>
  <si>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Via Indipendenza 43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</si>
  <si>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</si>
  <si>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</si>
  <si>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</si>
  <si>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</si>
  <si>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</si>
  <si>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</si>
  <si>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</si>
  <si>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</si>
  <si>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</si>
  <si>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</si>
  <si>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</si>
  <si>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</si>
  <si>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</si>
  <si>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</si>
  <si>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</si>
  <si>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</si>
  <si>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</si>
  <si>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</si>
  <si>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</si>
  <si>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</si>
  <si>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</si>
  <si>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</si>
  <si>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</si>
  <si>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</si>
  <si>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</si>
  <si>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</si>
  <si>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</si>
  <si>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</si>
  <si>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</si>
  <si>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</si>
  <si>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</si>
  <si>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Arcobaleno</t>
  </si>
  <si>
    <t>Via Civitanova 127</t>
  </si>
  <si>
    <t>www.arcobaleno-bb.com</t>
  </si>
  <si>
    <t>info@arcobaleno-bb.com</t>
  </si>
  <si>
    <t>B&amp;B Santomaro Sea Loft</t>
  </si>
  <si>
    <t>Via Pola 86</t>
  </si>
  <si>
    <t>www.santomaro.com</t>
  </si>
  <si>
    <t>info@santomaro.com</t>
  </si>
  <si>
    <t>Velus</t>
  </si>
  <si>
    <t>Viale Iv Novembre 68</t>
  </si>
  <si>
    <t>www.hotelvelus.it</t>
  </si>
  <si>
    <t>info@hotelvelus.it</t>
  </si>
  <si>
    <t>Federico</t>
  </si>
  <si>
    <t>Viale Iv Novembre 26</t>
  </si>
  <si>
    <t>christian@eurospedizioni.com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</si>
  <si>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</si>
  <si>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</si>
  <si>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</si>
  <si>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</si>
  <si>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</si>
  <si>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</si>
  <si>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</si>
  <si>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</si>
  <si>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</si>
  <si>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Viale Iv Novembre 1 1</t>
  </si>
  <si>
    <t>Capolinea</t>
  </si>
  <si>
    <t>Viale Iv Novembre 39</t>
  </si>
  <si>
    <t>mizio0503@libero.it</t>
  </si>
  <si>
    <t>Stabilimento Balneare Maria Gabriella</t>
  </si>
  <si>
    <t>La Bussola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</si>
  <si>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</si>
  <si>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</si>
  <si>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</si>
  <si>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</si>
  <si>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</si>
  <si>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</si>
  <si>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</si>
  <si>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San Marco</t>
  </si>
  <si>
    <t>Viale Iv Novembre 30</t>
  </si>
  <si>
    <t>La Celeste Di Elisei Nicoletta</t>
  </si>
  <si>
    <t>Via Celeste 1</t>
  </si>
  <si>
    <t>www.laceleste.it</t>
  </si>
  <si>
    <t>info@laceleste.it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</si>
  <si>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</si>
  <si>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</si>
  <si>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</si>
  <si>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</si>
  <si>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</si>
  <si>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</si>
  <si>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</si>
  <si>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</si>
  <si>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</si>
  <si>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</si>
  <si>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</si>
  <si>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</si>
  <si>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</si>
  <si>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</si>
  <si>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</si>
  <si>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</si>
  <si>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</si>
  <si>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</si>
  <si>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</si>
  <si>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</si>
  <si>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</si>
  <si>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</si>
  <si>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</si>
  <si>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</si>
  <si>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</si>
  <si>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</si>
  <si>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</si>
  <si>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</si>
  <si>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</si>
  <si>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</si>
  <si>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</si>
  <si>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</si>
  <si>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La Locanda Del Cavaliere</t>
  </si>
  <si>
    <t>Via Gastone Corti 48</t>
  </si>
  <si>
    <t>www.locandadeicavalieri.com</t>
  </si>
  <si>
    <t>locandadeicavalieri@yahoo.it</t>
  </si>
  <si>
    <t>B.&amp; B. Le Palme</t>
  </si>
  <si>
    <t>Via Principe Di Piemonte 54</t>
  </si>
  <si>
    <t>biancucci.franco@gmail.com</t>
  </si>
  <si>
    <t>Lampara Civitanova S.N.C. Di Broccolo Ugo &amp; C.</t>
  </si>
  <si>
    <t>Viale Iv Novembre 290 294</t>
  </si>
  <si>
    <t>Dal Veneziano</t>
  </si>
  <si>
    <t>Viale Giacomo Matteotti 1 1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</si>
  <si>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</si>
  <si>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</si>
  <si>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</si>
  <si>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</si>
  <si>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</si>
  <si>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</si>
  <si>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</si>
  <si>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</si>
  <si>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</si>
  <si>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</si>
  <si>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</si>
  <si>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</si>
  <si>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</si>
  <si>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</si>
  <si>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</si>
  <si>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</si>
  <si>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</si>
  <si>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</si>
  <si>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Onda Blu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</si>
  <si>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</si>
  <si>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</si>
  <si>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</si>
  <si>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</si>
  <si>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</si>
  <si>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</si>
  <si>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Stabilimento Balneare Golden Beach</t>
  </si>
  <si>
    <t>Viale Iv Novembre Scn Scn</t>
  </si>
  <si>
    <t>Lido Cristallo</t>
  </si>
  <si>
    <t>Lungomare Piermanni 6</t>
  </si>
  <si>
    <t>Caribean</t>
  </si>
  <si>
    <t>Viale Iv Novembre 40</t>
  </si>
  <si>
    <t>caribean@alice.it</t>
  </si>
  <si>
    <t>Luigi Xiv - Re Sole</t>
  </si>
  <si>
    <t>Viale Iv Novembre 32</t>
  </si>
  <si>
    <t>La Sirenetta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</si>
  <si>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</si>
  <si>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</si>
  <si>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</si>
  <si>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</si>
  <si>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</si>
  <si>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</si>
  <si>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</si>
  <si>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</si>
  <si>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</si>
  <si>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</si>
  <si>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</si>
  <si>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</si>
  <si>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</si>
  <si>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</si>
  <si>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</si>
  <si>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</si>
  <si>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</si>
  <si>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</si>
  <si>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</si>
  <si>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Stabilimento Balneare G7</t>
  </si>
  <si>
    <t>Viale Giacomo Matteotti Snc</t>
  </si>
  <si>
    <t>B&amp;B Profumo Di  Magnolia</t>
  </si>
  <si>
    <t>Via Giovanni Cimabue 1</t>
  </si>
  <si>
    <t>bebprofumodimagnolia@libero.it</t>
  </si>
  <si>
    <t>Contrada Migliarino 30</t>
  </si>
  <si>
    <t>cescam@libero.it</t>
  </si>
  <si>
    <t>B&amp;B Nature Colors</t>
  </si>
  <si>
    <t>Via Vasco Da Gama 100</t>
  </si>
  <si>
    <t>Fontespina</t>
  </si>
  <si>
    <t>http://www.naturecolorsbedandbreakfast.com/</t>
  </si>
  <si>
    <t>naturecolorsbb@gmail.com</t>
  </si>
  <si>
    <t>Airis B&amp;B</t>
  </si>
  <si>
    <t>Via Marco Polo 54/B</t>
  </si>
  <si>
    <t>airis.bnb@gmail.com</t>
  </si>
  <si>
    <t>B&amp;B Portocivitanova</t>
  </si>
  <si>
    <t>Via Vittorio Veneto 63</t>
  </si>
  <si>
    <t>peretti5@alice.it</t>
  </si>
  <si>
    <t>B&amp;B A Casa Tua</t>
  </si>
  <si>
    <t>Via Giovanni Pascoli 18</t>
  </si>
  <si>
    <t>bandbacasatua@gmail.com</t>
  </si>
  <si>
    <t>B&amp;B Orchidea House</t>
  </si>
  <si>
    <t>Via Tasso 9</t>
  </si>
  <si>
    <t>orchideacivitanova.wix.com/orchideahouse</t>
  </si>
  <si>
    <t>orchideahousecivitanova@gmail.com</t>
  </si>
  <si>
    <t>B&amp;B Aratro E Rosmarino</t>
  </si>
  <si>
    <t>Via San Domenico 40</t>
  </si>
  <si>
    <t>rogante.ambra@gmail.com</t>
  </si>
  <si>
    <t>B&amp;B La Rosa</t>
  </si>
  <si>
    <t>Via T.Tasso 41</t>
  </si>
  <si>
    <t>beblarosacivitanova@gmail.com</t>
  </si>
  <si>
    <t>Dolci Notte Di Maga Cacao</t>
  </si>
  <si>
    <t>Via Pola 12</t>
  </si>
  <si>
    <t>samuelastak@libero.it</t>
  </si>
  <si>
    <t>Affittacamere Casa Relax</t>
  </si>
  <si>
    <t>Via Indipendenza 63/E</t>
  </si>
  <si>
    <t>ciontea@tiscali.it</t>
  </si>
  <si>
    <t>B&amp;B Mattia Mercuri</t>
  </si>
  <si>
    <t>Via Castellara 14/3</t>
  </si>
  <si>
    <t>rosatilula@gmail.it</t>
  </si>
  <si>
    <t>Shada</t>
  </si>
  <si>
    <t>acruciani@new-system.it</t>
  </si>
  <si>
    <t>La Lampara S.N.C. Di Broccolo Roberto</t>
  </si>
  <si>
    <t>Viale Iv Novembre 290</t>
  </si>
  <si>
    <t>la.lamparasnc@legalmail.it</t>
  </si>
  <si>
    <t>B&amp;B Fonte Giulia</t>
  </si>
  <si>
    <t>Via Fonte Giulia 47</t>
  </si>
  <si>
    <t>Santa Maria Apparente</t>
  </si>
  <si>
    <t>www.bebfontegiulia.com</t>
  </si>
  <si>
    <t>info@bebfontegiulia.com</t>
  </si>
  <si>
    <t>B&amp;B Villa Silvio</t>
  </si>
  <si>
    <t>C.Da San Savino 18/A</t>
  </si>
  <si>
    <t>www.villasilvio.com</t>
  </si>
  <si>
    <t>info@villasilvio.com</t>
  </si>
  <si>
    <t>B&amp;B La Torre</t>
  </si>
  <si>
    <t>Via Gorizia 82</t>
  </si>
  <si>
    <t>http://latorrebbcivitanov.wix.com/torre</t>
  </si>
  <si>
    <t>latorrebbcivitanova@gmail.com</t>
  </si>
  <si>
    <t>L'Airone</t>
  </si>
  <si>
    <t>Porta Pia 12/A</t>
  </si>
  <si>
    <t>www.beblairone.it</t>
  </si>
  <si>
    <t>info@beblairone.it</t>
  </si>
  <si>
    <t>Maurizio Macellari</t>
  </si>
  <si>
    <t>Via De Pineto 1</t>
  </si>
  <si>
    <t>mauriziomacellari64@gmail.com</t>
  </si>
  <si>
    <t>Il Mare Accanto</t>
  </si>
  <si>
    <t>Lung.Nord Iv Novembre  284</t>
  </si>
  <si>
    <t>enzobagalini@tiscali.it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</si>
  <si>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</si>
  <si>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</si>
  <si>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</si>
  <si>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</si>
  <si>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</si>
  <si>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</si>
  <si>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L'Oasi</t>
  </si>
  <si>
    <t>Lungomare Piermanni 14</t>
  </si>
  <si>
    <t>info@loasi.com</t>
  </si>
  <si>
    <t>http://www.ristorantespecialitapesce.com/</t>
  </si>
  <si>
    <t>B&amp;B Il Mandorlo</t>
  </si>
  <si>
    <t>C.Da Mornano 65</t>
  </si>
  <si>
    <t>Civitanova Alta</t>
  </si>
  <si>
    <t>www.ilmandorlobb.it</t>
  </si>
  <si>
    <t>info@ilmandorlobb.it</t>
  </si>
  <si>
    <t>Antico Casale Napoleonico Fossa Cieca</t>
  </si>
  <si>
    <t>Contrada Foce Asola  24</t>
  </si>
  <si>
    <t>vincenzo.vigilia@libero.it</t>
  </si>
  <si>
    <t>Moretti Country House</t>
  </si>
  <si>
    <t>Contrada Piane Chienti 257</t>
  </si>
  <si>
    <t>www.moretticountryhouse.com</t>
  </si>
  <si>
    <t>agata@moretticountryhouse.com</t>
  </si>
  <si>
    <t>B&amp;B La Suite</t>
  </si>
  <si>
    <t>Via Civitanova 80</t>
  </si>
  <si>
    <t>lasuitecivitanova@gmail.com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</si>
  <si>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</si>
  <si>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</si>
  <si>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</si>
  <si>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</si>
  <si>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</si>
  <si>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</si>
  <si>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</si>
  <si>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</si>
  <si>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</si>
  <si>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</si>
  <si>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</si>
  <si>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</si>
  <si>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</si>
  <si>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</si>
  <si>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</si>
  <si>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B&amp;B L'Infinito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</si>
  <si>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</si>
  <si>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</si>
  <si>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</si>
  <si>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</si>
  <si>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</si>
  <si>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</si>
  <si>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</si>
  <si>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Dolce Dormire Affittacamere</t>
  </si>
  <si>
    <t>Via Piero Gobetti 155</t>
  </si>
  <si>
    <t>dolcedormirecivitanova@pec.it</t>
  </si>
  <si>
    <t>Locanda Fontezoppa</t>
  </si>
  <si>
    <t>Contrada San Domenico 38</t>
  </si>
  <si>
    <t>www.locandafontezoppa.com</t>
  </si>
  <si>
    <t>info@locandafontezoppa.com</t>
  </si>
  <si>
    <t>La Celeste Di Elisei Nicoletta - Country House</t>
  </si>
  <si>
    <t>Villa Marietta</t>
  </si>
  <si>
    <t>Via Civitanova 1</t>
  </si>
  <si>
    <t>www.villamarietta.net</t>
  </si>
  <si>
    <t>info@villamarietta.net</t>
  </si>
  <si>
    <t>B&amp;B Calipso</t>
  </si>
  <si>
    <t>Pier Delle Vigne  2</t>
  </si>
  <si>
    <t>calipso2016@libero.it</t>
  </si>
  <si>
    <t>Art B&amp;B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</si>
  <si>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</si>
  <si>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</si>
  <si>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</si>
  <si>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</si>
  <si>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</si>
  <si>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</si>
  <si>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</si>
  <si>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</si>
  <si>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</si>
  <si>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</si>
  <si>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</si>
  <si>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</si>
  <si>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ilgiglio.bb@gmail.com</t>
  </si>
  <si>
    <t>B&amp;B Belle Marche</t>
  </si>
  <si>
    <t>Contrada San Savino 59/B</t>
  </si>
  <si>
    <t>Civitanova Marche Alta</t>
  </si>
  <si>
    <t>www.bellemarchebb.it</t>
  </si>
  <si>
    <t>Alloro Marino</t>
  </si>
  <si>
    <t>Via Vasco De Gama 164</t>
  </si>
  <si>
    <t>alloromarino@gmail.com</t>
  </si>
  <si>
    <t>B&amp;B Gardenia</t>
  </si>
  <si>
    <t>Via Benedetto Croce 6</t>
  </si>
  <si>
    <t>dirire@alice.it</t>
  </si>
  <si>
    <t>Domar</t>
  </si>
  <si>
    <t>Via Della Carena 61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</si>
  <si>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</si>
  <si>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</si>
  <si>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</si>
  <si>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</si>
  <si>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</si>
  <si>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</si>
  <si>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</si>
  <si>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ilsestantebb@gmail.com</t>
  </si>
  <si>
    <t>Il Poggetto</t>
  </si>
  <si>
    <t>Via Maranello 21</t>
  </si>
  <si>
    <t>www.ilpoggetto-bedbreakfast.it</t>
  </si>
  <si>
    <t>ilpoggettobb@gmail.com</t>
  </si>
  <si>
    <t>Agriturismo Alla Solagna</t>
  </si>
  <si>
    <t>Contrada La Rocca 29</t>
  </si>
  <si>
    <t>www.allasolagna.it</t>
  </si>
  <si>
    <t>info-agriturismo@allasolagna.it</t>
  </si>
  <si>
    <t>B&amp;B Mellon</t>
  </si>
  <si>
    <t>Via Salaria Inferiore Snc</t>
  </si>
  <si>
    <t>Villa San Giuseppe</t>
  </si>
  <si>
    <t>www.bebmellon.com</t>
  </si>
  <si>
    <t>bebmellon@gmail.com</t>
  </si>
  <si>
    <t>Hotel Villa Picena</t>
  </si>
  <si>
    <t>Via Salaria 66</t>
  </si>
  <si>
    <t>www.villapicena.it</t>
  </si>
  <si>
    <t>info@villapicena.it</t>
  </si>
  <si>
    <t>Hotel Casale</t>
  </si>
  <si>
    <t>Contrada Casale Superiore 146</t>
  </si>
  <si>
    <t>www.hotelcasale.it</t>
  </si>
  <si>
    <t>info@hotelcasale.it</t>
  </si>
  <si>
    <t>B&amp;B Villa Dei Vignali</t>
  </si>
  <si>
    <t>Via Cavour 9</t>
  </si>
  <si>
    <t>www.villadeivignali.too.it</t>
  </si>
  <si>
    <t>legaltrading@gmail.com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</si>
  <si>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</si>
  <si>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</si>
  <si>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</si>
  <si>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</si>
  <si>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</si>
  <si>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</si>
  <si>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</si>
  <si>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Seri Giuseppe</t>
  </si>
  <si>
    <t>Via Fiastra 34</t>
  </si>
  <si>
    <t>www.hotelseri.it</t>
  </si>
  <si>
    <t>hotelseri@alice.it</t>
  </si>
  <si>
    <t>Casa Rome'</t>
  </si>
  <si>
    <t>Fraz. Vindola</t>
  </si>
  <si>
    <t>Agriturismo Il Gelso Rosso</t>
  </si>
  <si>
    <t>C.Da Cucciole Snc</t>
  </si>
  <si>
    <t>scilla23@tiscali.it</t>
  </si>
  <si>
    <t>Il Borgo Del Vento</t>
  </si>
  <si>
    <t>Villa Montegenco</t>
  </si>
  <si>
    <t>Via Montegenco 1</t>
  </si>
  <si>
    <t>villamontegenco@gmail.com</t>
  </si>
  <si>
    <t>Piantabete</t>
  </si>
  <si>
    <t>Localita' Osteria Nuova 1</t>
  </si>
  <si>
    <t>www.piantabete.it</t>
  </si>
  <si>
    <t>info@piantabete.it</t>
  </si>
  <si>
    <t>Palazzo Pascali Art Hotel</t>
  </si>
  <si>
    <t>Piazza Santa Caterina 1</t>
  </si>
  <si>
    <t>www.palazzopascali.com</t>
  </si>
  <si>
    <t>info@palazzopascali.com</t>
  </si>
  <si>
    <t>Agriturismo Le Selve</t>
  </si>
  <si>
    <t>Contrada Piane Vecchie 1</t>
  </si>
  <si>
    <t>www.leselve.net</t>
  </si>
  <si>
    <t>info@leselve.net</t>
  </si>
  <si>
    <t>Tassi Di Lorella De Luca</t>
  </si>
  <si>
    <t>Piazza Garibaldi 7</t>
  </si>
  <si>
    <t>affittacameretassi@libero.it</t>
  </si>
  <si>
    <t>La Diga S.N.C. (Luciani Giorgio)</t>
  </si>
  <si>
    <t>Contrada Croce Di Casale 50</t>
  </si>
  <si>
    <t>Da Roverino Dipendenza</t>
  </si>
  <si>
    <t>Viale Ascoli 9</t>
  </si>
  <si>
    <t>Da Roverino</t>
  </si>
  <si>
    <t>Viale Ascoli 10</t>
  </si>
  <si>
    <t>www.ristoranteroverino.it</t>
  </si>
  <si>
    <t>info@ristoranteroverino.it</t>
  </si>
  <si>
    <t>B&amp;B Il Settimo Borgo</t>
  </si>
  <si>
    <t>Viale Degli Eroi 78</t>
  </si>
  <si>
    <t>www.ilsettimoborgo.it</t>
  </si>
  <si>
    <t>info@ilsettimoborgo.it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</si>
  <si>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</si>
  <si>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</si>
  <si>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</si>
  <si>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</si>
  <si>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</si>
  <si>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</si>
  <si>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</si>
  <si>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</si>
  <si>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</si>
  <si>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</si>
  <si>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</si>
  <si>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</si>
  <si>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</si>
  <si>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Aloisi Serena</t>
  </si>
  <si>
    <t>Via Santa Maria Goretti  6</t>
  </si>
  <si>
    <t>serealo77@gmail.com</t>
  </si>
  <si>
    <t>Al Casolare</t>
  </si>
  <si>
    <t>Via Corinaldese 6</t>
  </si>
  <si>
    <t>www.alcasolare.it</t>
  </si>
  <si>
    <t>info@alcasolare.it</t>
  </si>
  <si>
    <t>Da Mara</t>
  </si>
  <si>
    <t>Via Don Minzoni 1</t>
  </si>
  <si>
    <t>Casa Da Bianca</t>
  </si>
  <si>
    <t>Via Costa San Giovanni 11</t>
  </si>
  <si>
    <t>elemov@libero.it</t>
  </si>
  <si>
    <t>Il Villino Campagnolo</t>
  </si>
  <si>
    <t>Incancellata</t>
  </si>
  <si>
    <t>B&amp;B  Adriana</t>
  </si>
  <si>
    <t>Vicolo Del Quattrocento 2</t>
  </si>
  <si>
    <t>www.bbadriana-corinaldo.com</t>
  </si>
  <si>
    <t>adrianacoccioni@tiscali.it</t>
  </si>
  <si>
    <t>B&amp;B Da Roby</t>
  </si>
  <si>
    <t>Via Claudio Ridolfi 10</t>
  </si>
  <si>
    <t>luciagiov@tin.it</t>
  </si>
  <si>
    <t>Colverde</t>
  </si>
  <si>
    <t>Via Per Montalboddo 52</t>
  </si>
  <si>
    <t>www.colverde.com</t>
  </si>
  <si>
    <t>info@colverde.com</t>
  </si>
  <si>
    <t>Hotel Ristorante I Tigli</t>
  </si>
  <si>
    <t>Via Del Teatro 31</t>
  </si>
  <si>
    <t>www.corinaldoalbergodiffuso.it</t>
  </si>
  <si>
    <t>cantinalangelina@libero.it</t>
  </si>
  <si>
    <t>B&amp;B Spensierando</t>
  </si>
  <si>
    <t>Via Sant' Isidoro 40</t>
  </si>
  <si>
    <t>ivan.garbatini@alice.it</t>
  </si>
  <si>
    <t>Cantina Langelina</t>
  </si>
  <si>
    <t>Viadelle Ville 53</t>
  </si>
  <si>
    <t>www.cantinalangelina.com</t>
  </si>
  <si>
    <t>info@cantinalangelina.it</t>
  </si>
  <si>
    <t>Agriturismo Alla Vecchia Cascina</t>
  </si>
  <si>
    <t>Via Lepri 10</t>
  </si>
  <si>
    <t>www.agriturismocorinaldo.it</t>
  </si>
  <si>
    <t>info@agriturismocorinaldo.it</t>
  </si>
  <si>
    <t>B&amp;B Casa Adagio</t>
  </si>
  <si>
    <t>Strada Fosso Di Ripe 16</t>
  </si>
  <si>
    <t>www.casa-adagio.de</t>
  </si>
  <si>
    <t>info@casa-adagio.de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</si>
  <si>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</si>
  <si>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</si>
  <si>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</si>
  <si>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</si>
  <si>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</si>
  <si>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</si>
  <si>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</si>
  <si>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Via Don G. Minzoni 1</t>
  </si>
  <si>
    <t>http://bebdamara.it/</t>
  </si>
  <si>
    <t>marisa.berti46@gmail.com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</si>
  <si>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</si>
  <si>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</si>
  <si>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</si>
  <si>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</si>
  <si>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</si>
  <si>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</si>
  <si>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</si>
  <si>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Casalantico</t>
  </si>
  <si>
    <t>Strada Conagrande 8</t>
  </si>
  <si>
    <t>www.casalantico.it</t>
  </si>
  <si>
    <t>info@casalantico.it</t>
  </si>
  <si>
    <t>B&amp;B Palazzo Boscareto</t>
  </si>
  <si>
    <t>Via N. Boscareto 4</t>
  </si>
  <si>
    <t>www.palazzoboscareto.com</t>
  </si>
  <si>
    <t>info@palazzoboscareto.com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</si>
  <si>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</si>
  <si>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</si>
  <si>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</si>
  <si>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</si>
  <si>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</si>
  <si>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</si>
  <si>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</si>
  <si>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</si>
  <si>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</si>
  <si>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</si>
  <si>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</si>
  <si>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</si>
  <si>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</si>
  <si>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</si>
  <si>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B&amp;B Il Tramonto</t>
  </si>
  <si>
    <t>Via Per Montalboddo 54</t>
  </si>
  <si>
    <t>massimo.perticaroli@hotmail.it</t>
  </si>
  <si>
    <t>Attivita' Ricettiva Rurale - Leondina Country House</t>
  </si>
  <si>
    <t>Via San Bartolo 76</t>
  </si>
  <si>
    <t>www.leondinacountryhouse.it</t>
  </si>
  <si>
    <t>info@leondinacountryhouse.it</t>
  </si>
  <si>
    <t>Filippo Capotondi</t>
  </si>
  <si>
    <t>Via Ridolfi 12</t>
  </si>
  <si>
    <t>millola75@gmail.com</t>
  </si>
  <si>
    <t>Il Giglio</t>
  </si>
  <si>
    <t>Via Del Corso 8</t>
  </si>
  <si>
    <t>www.hotelgigliocorinaldo.com</t>
  </si>
  <si>
    <t>info@corinaldoalbergodiffuso.it</t>
  </si>
  <si>
    <t>Apollo 17</t>
  </si>
  <si>
    <t>Via Liguria 2</t>
  </si>
  <si>
    <t>info@apollo17.it</t>
  </si>
  <si>
    <t>B&amp;B Casale Cigliano</t>
  </si>
  <si>
    <t>C.Da Cigliano 16</t>
  </si>
  <si>
    <t>vivianapa@fastwebmail.it; casalecigliano@yahoo.it</t>
  </si>
  <si>
    <t>B&amp;B Il Girasole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</si>
  <si>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</si>
  <si>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</si>
  <si>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</si>
  <si>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</si>
  <si>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</si>
  <si>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</si>
  <si>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</si>
  <si>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</si>
  <si>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</si>
  <si>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</si>
  <si>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</si>
  <si>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</si>
  <si>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</si>
  <si>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</si>
  <si>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</si>
  <si>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</si>
  <si>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</si>
  <si>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</si>
  <si>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</si>
  <si>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Hotel Grassetti</t>
  </si>
  <si>
    <t>Via Romolo Murri 1</t>
  </si>
  <si>
    <t>www.grassetti.it</t>
  </si>
  <si>
    <t>info@grassetti.it</t>
  </si>
  <si>
    <t>Hotel Camerlengo</t>
  </si>
  <si>
    <t>Via Santa Maria 2</t>
  </si>
  <si>
    <t>www.hotelcamerlengo.com</t>
  </si>
  <si>
    <t>info@hotelcamerlengo.com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</si>
  <si>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</si>
  <si>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</si>
  <si>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</si>
  <si>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</si>
  <si>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</si>
  <si>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</si>
  <si>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</si>
  <si>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B&amp;B Castello De Marte</t>
  </si>
  <si>
    <t>Piazza Umberto I 9</t>
  </si>
  <si>
    <t>castellodemarte.com</t>
  </si>
  <si>
    <t>castellodemarte@gmail.com</t>
  </si>
  <si>
    <t>Fortuna Verde</t>
  </si>
  <si>
    <t>C.Da Fiorano 20</t>
  </si>
  <si>
    <t>www.fortunaverde.com</t>
  </si>
  <si>
    <t>info@fortunaverde.com</t>
  </si>
  <si>
    <t>Palazzo Galanti</t>
  </si>
  <si>
    <t>Largo A. N. Bernabei 1</t>
  </si>
  <si>
    <t>www.palazzogalanti.it</t>
  </si>
  <si>
    <t>info@palazzogalanti.it</t>
  </si>
  <si>
    <t>B&amp;B Amadio Rosa</t>
  </si>
  <si>
    <t>Contrada Crocifisso 2</t>
  </si>
  <si>
    <t>infocollesavoia@gmail.com</t>
  </si>
  <si>
    <t>Agriturismo Lanciotti</t>
  </si>
  <si>
    <t>C.Da Corneto 16</t>
  </si>
  <si>
    <t>orianalanciotti@alice.it</t>
  </si>
  <si>
    <t>San Michele</t>
  </si>
  <si>
    <t>Contrada San Michele 5</t>
  </si>
  <si>
    <t>www.agriturismosanmichele.info</t>
  </si>
  <si>
    <t>agriturismomichele@libero.it</t>
  </si>
  <si>
    <t>Contrada Gallo Snc</t>
  </si>
  <si>
    <t>Prossimita' Impianti Sportivi</t>
  </si>
  <si>
    <t>comune.cossignano.ap.it</t>
  </si>
  <si>
    <t>pmcossignano@libero.it</t>
  </si>
  <si>
    <t>Contrada Gallo 16</t>
  </si>
  <si>
    <t>Contrada Gallo</t>
  </si>
  <si>
    <t>www.bblacasaincampagna.it</t>
  </si>
  <si>
    <t>info@bblacasaincampagna.it</t>
  </si>
  <si>
    <t>Delle Grazie</t>
  </si>
  <si>
    <t>Contrada Grazie 22</t>
  </si>
  <si>
    <t>residenzadellegrazie@libero.it</t>
  </si>
  <si>
    <t>Chiarodiluna</t>
  </si>
  <si>
    <t>Strada San Fiorano 26</t>
  </si>
  <si>
    <t>Fiorano</t>
  </si>
  <si>
    <t>info@chiarodiluna.info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</si>
  <si>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</si>
  <si>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</si>
  <si>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</si>
  <si>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</si>
  <si>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</si>
  <si>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</si>
  <si>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</si>
  <si>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</si>
  <si>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</si>
  <si>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</si>
  <si>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</si>
  <si>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</si>
  <si>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</si>
  <si>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</si>
  <si>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Le Querce</t>
  </si>
  <si>
    <t>Contrada Tesino 11</t>
  </si>
  <si>
    <t>r.talamonti@alice.it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</si>
  <si>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</si>
  <si>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</si>
  <si>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</si>
  <si>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</si>
  <si>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</si>
  <si>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</si>
  <si>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</si>
  <si>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</si>
  <si>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</si>
  <si>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</si>
  <si>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</si>
  <si>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Attivita' Ricettiva Rurale Una</t>
  </si>
  <si>
    <t>Contrada Sant' Andrea 66</t>
  </si>
  <si>
    <t>www.countryhouseuna.com</t>
  </si>
  <si>
    <t>info@countryhouseuna.com</t>
  </si>
  <si>
    <t>Led Zeppelin (Bis)</t>
  </si>
  <si>
    <t>C.Da Boccabianca 5</t>
  </si>
  <si>
    <t>www.campingledzeppelin.it</t>
  </si>
  <si>
    <t>info@campingledzeppelin.it</t>
  </si>
  <si>
    <t>Calypso</t>
  </si>
  <si>
    <t>Contrada Boccabianca 7</t>
  </si>
  <si>
    <t>www.campingcalypso.it</t>
  </si>
  <si>
    <t>info@campingcalypso.it</t>
  </si>
  <si>
    <t>La Castelletta</t>
  </si>
  <si>
    <t>Contrada Sant' Andrea 17</t>
  </si>
  <si>
    <t>www.agriturismolacastelletta.com</t>
  </si>
  <si>
    <t>info@agriturismolacastelletta.com</t>
  </si>
  <si>
    <t>Marchetti Tommaso</t>
  </si>
  <si>
    <t>http://users.skynet.be/fa242092/farmhouse/farmhouseit.html</t>
  </si>
  <si>
    <t>ettoretommasomarchetti@gmail.com</t>
  </si>
  <si>
    <t>Oasi Degli Angeli</t>
  </si>
  <si>
    <t>Contrada Sant' Egidio 50</t>
  </si>
  <si>
    <t>Primo Sole</t>
  </si>
  <si>
    <t>Contrada San Michele 10</t>
  </si>
  <si>
    <t>cupramarittima.com/primosole/</t>
  </si>
  <si>
    <t>primosole@siscom.it</t>
  </si>
  <si>
    <t>www.campingilfrutteto.it</t>
  </si>
  <si>
    <t>info@campingilfrutteto.it</t>
  </si>
  <si>
    <t>Marano</t>
  </si>
  <si>
    <t>Via Adriatica Nord 84</t>
  </si>
  <si>
    <t>www.cupramarittima.com/marano</t>
  </si>
  <si>
    <t>maranhotel@libero.it</t>
  </si>
  <si>
    <t>Ideal</t>
  </si>
  <si>
    <t>Viale Nazario Sauro 50</t>
  </si>
  <si>
    <t>www.hotelideal-cupra.it</t>
  </si>
  <si>
    <t>info@hotelideal-cupra.it</t>
  </si>
  <si>
    <t>Cristal Srl</t>
  </si>
  <si>
    <t>Viale Giuseppe Romita 26</t>
  </si>
  <si>
    <t>www.cristalhotel.it</t>
  </si>
  <si>
    <t>info@cristalhotel.it</t>
  </si>
  <si>
    <t>Oasi Di Cupra</t>
  </si>
  <si>
    <t>Viale Giuseppe Romita 70</t>
  </si>
  <si>
    <t>Anita</t>
  </si>
  <si>
    <t>Via Adriatica Nord 127</t>
  </si>
  <si>
    <t>www.hotelanita.it</t>
  </si>
  <si>
    <t>info@hotelanita.it</t>
  </si>
  <si>
    <t>Contrada Boccabianca 99</t>
  </si>
  <si>
    <t>I Delfini</t>
  </si>
  <si>
    <t>Via Kennedy 32</t>
  </si>
  <si>
    <t>www.residencecupra.it</t>
  </si>
  <si>
    <t>info@residencecupra.it</t>
  </si>
  <si>
    <t>Villaggio Verde Cupra</t>
  </si>
  <si>
    <t>Via Lazio 2</t>
  </si>
  <si>
    <t>www.villaggioverdecupra.it</t>
  </si>
  <si>
    <t>info@verdecupra.it</t>
  </si>
  <si>
    <t>Terrazzo Sul Mare</t>
  </si>
  <si>
    <t>Via Adriatica Nord 109</t>
  </si>
  <si>
    <t>www.campingterrazzosulmare.it</t>
  </si>
  <si>
    <t>info@campingterrazzosulmare.it</t>
  </si>
  <si>
    <t>Chalet Pine</t>
  </si>
  <si>
    <t>Strada Statale Adriatica Sud 1 1</t>
  </si>
  <si>
    <t>Giouse' Aldo Conc. N. 20</t>
  </si>
  <si>
    <t>Viale Nazario Sauro 3 3</t>
  </si>
  <si>
    <t>postamarco93@gmail.com</t>
  </si>
  <si>
    <t>B&amp;B La Dogaressa</t>
  </si>
  <si>
    <t>Via Colle Dei Pini 8</t>
  </si>
  <si>
    <t>Camping Oasi</t>
  </si>
  <si>
    <t>Viale Giuseppe Romita 1</t>
  </si>
  <si>
    <t>Hotel Baia Marina</t>
  </si>
  <si>
    <t>Via Nazario Sauro 52</t>
  </si>
  <si>
    <t>www.baiamarinahotel.it</t>
  </si>
  <si>
    <t>hotelbaiamarina@gmail.com</t>
  </si>
  <si>
    <t>Ba Beach</t>
  </si>
  <si>
    <t>Lungomare Romita Snc Snc</t>
  </si>
  <si>
    <t>info@conquistacostruzioni.it</t>
  </si>
  <si>
    <t>Baia Marina</t>
  </si>
  <si>
    <t>Via Nazario Sauro 15 15</t>
  </si>
  <si>
    <t>Via Sabotino 15</t>
  </si>
  <si>
    <t>www.mariaimmacolataresort.it</t>
  </si>
  <si>
    <t>casa-mariaimmacolata@libero.it</t>
  </si>
  <si>
    <t>Residenza Marano</t>
  </si>
  <si>
    <t>Via Nico Ceccarelli 2</t>
  </si>
  <si>
    <t>info@residenzamarano.it</t>
  </si>
  <si>
    <t>Da Aldo N 8</t>
  </si>
  <si>
    <t>www.daaldo.net</t>
  </si>
  <si>
    <t>B&amp;B Verderosa</t>
  </si>
  <si>
    <t>Via San Gregorio Magno 46</t>
  </si>
  <si>
    <t>bbverderosa@gmail.com</t>
  </si>
  <si>
    <t>Dea Cupra</t>
  </si>
  <si>
    <t>Via Adriatica Sud 44</t>
  </si>
  <si>
    <t>www.deacupra.com</t>
  </si>
  <si>
    <t>info@deacupra.com</t>
  </si>
  <si>
    <t>Hotel Capital</t>
  </si>
  <si>
    <t>Viale Nazario Sauro 18</t>
  </si>
  <si>
    <t>www.capitalhotel.net</t>
  </si>
  <si>
    <t>info@capitalhotel.net</t>
  </si>
  <si>
    <t>Europa</t>
  </si>
  <si>
    <t>Via Gramsci 8</t>
  </si>
  <si>
    <t>www.hoteleuropaweb.it</t>
  </si>
  <si>
    <t>direzione@hoteleuropaweb.it</t>
  </si>
  <si>
    <t>Case Appartamenti Vagnoni (Fortuna Alessandra)</t>
  </si>
  <si>
    <t>Viale Stazione 3</t>
  </si>
  <si>
    <t>www.appartamentivagnoni.it</t>
  </si>
  <si>
    <t>info@appartamentivagnoni.it</t>
  </si>
  <si>
    <t>Led Zeppelin</t>
  </si>
  <si>
    <t>Viale Giuseppe Romita 1 1</t>
  </si>
  <si>
    <t>info@terrazzasulmare.it</t>
  </si>
  <si>
    <t>Sole E Mare</t>
  </si>
  <si>
    <t>Viale Nazario Sauro 7 7</t>
  </si>
  <si>
    <t>B&amp;B Belleggia</t>
  </si>
  <si>
    <t>Contrada San Michele 47</t>
  </si>
  <si>
    <t>www.bebdegliangeli.it</t>
  </si>
  <si>
    <t>studiopatriziocapriotti@tin.it</t>
  </si>
  <si>
    <t>Stella Marina</t>
  </si>
  <si>
    <t>Via Cesare Battisti 7A,7B</t>
  </si>
  <si>
    <t>www.stellamarinavacanze.it</t>
  </si>
  <si>
    <t>info@stellamarinavacanze.it</t>
  </si>
  <si>
    <t>Via Nazario Sauro 7 7</t>
  </si>
  <si>
    <t>stefano.abbadini@libero.it</t>
  </si>
  <si>
    <t>Via Romita 70 70</t>
  </si>
  <si>
    <t>Torsten Bergmark Isola Pedonale Nord Snc</t>
  </si>
  <si>
    <t>Portobello</t>
  </si>
  <si>
    <t>seavacanze@gmail.com</t>
  </si>
  <si>
    <t>Via Romita 6 6</t>
  </si>
  <si>
    <t>Agriturismo Casa Del Sole</t>
  </si>
  <si>
    <t>Contrada Sant' Andrea 85</t>
  </si>
  <si>
    <t>www.casadelsoleap.it</t>
  </si>
  <si>
    <t>De Angelis Natalina</t>
  </si>
  <si>
    <t>Via Adriatica 13</t>
  </si>
  <si>
    <t>Affittacamere Civico 28</t>
  </si>
  <si>
    <t>Via Minniti 28</t>
  </si>
  <si>
    <t>cupracivico28@gmail.com</t>
  </si>
  <si>
    <t>Resort Cupra</t>
  </si>
  <si>
    <t>Via Alcide De Gasperi 14</t>
  </si>
  <si>
    <t>info@disabatino.it</t>
  </si>
  <si>
    <t>Borgo Marano</t>
  </si>
  <si>
    <t>Via Castello 35</t>
  </si>
  <si>
    <t>www.borgomarano.it</t>
  </si>
  <si>
    <t>info@borgomarano.it</t>
  </si>
  <si>
    <t>Viale Nazario Sauro 68</t>
  </si>
  <si>
    <t>info@hotellaperlacupra.it</t>
  </si>
  <si>
    <t>Casa Alexis B&amp;B And Wedding Location</t>
  </si>
  <si>
    <t>Via San Giacomo Della Marca,11 11</t>
  </si>
  <si>
    <t>www.casalexis.it</t>
  </si>
  <si>
    <t>info@casalexis.it</t>
  </si>
  <si>
    <t>Pensione Ristorante Castello</t>
  </si>
  <si>
    <t>Via Castello 67</t>
  </si>
  <si>
    <t>castello.hotelristorante@gmail.com</t>
  </si>
  <si>
    <t>Villa Boccabianca</t>
  </si>
  <si>
    <t>Contrada Bocca Bianca 29</t>
  </si>
  <si>
    <t>Cupramarittima</t>
  </si>
  <si>
    <t>www.villaboccabianca.it</t>
  </si>
  <si>
    <t>info@villaboccabianca.it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</si>
  <si>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</si>
  <si>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</si>
  <si>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</si>
  <si>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</si>
  <si>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</si>
  <si>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</si>
  <si>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</si>
  <si>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</si>
  <si>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</si>
  <si>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</si>
  <si>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La Cuna</t>
  </si>
  <si>
    <t>Gabry</t>
  </si>
  <si>
    <t>Via Adriatica Sud  6/A</t>
  </si>
  <si>
    <t>Bagni Residence Patrizia</t>
  </si>
  <si>
    <t>La Riva</t>
  </si>
  <si>
    <t>ricci_matteo2@virgilio.it</t>
  </si>
  <si>
    <t>Marinai</t>
  </si>
  <si>
    <t>aria7676@hotmail.it</t>
  </si>
  <si>
    <t>Papa Orso</t>
  </si>
  <si>
    <t>marcomariam@teletu.it</t>
  </si>
  <si>
    <t>Bagni Hotel Europa Di Splendiani G.</t>
  </si>
  <si>
    <t>hoteleuropacupra@virgilio.it</t>
  </si>
  <si>
    <t>La Perla - Conc. N. 13</t>
  </si>
  <si>
    <t>Cristal  Beach</t>
  </si>
  <si>
    <t>Viale Giuseppe Romita 26 26</t>
  </si>
  <si>
    <t>Giosue' Doriana Conc. N. 19</t>
  </si>
  <si>
    <t>Viale Nazario Sauro 2 2</t>
  </si>
  <si>
    <t>Flammini Stefano 1</t>
  </si>
  <si>
    <t>Il Borghetto Beach</t>
  </si>
  <si>
    <t>Flammini Stefano N.2</t>
  </si>
  <si>
    <t>Viale Nazario Sauro 14 14</t>
  </si>
  <si>
    <t>Sirenella</t>
  </si>
  <si>
    <t>Viale Nazario Sauro 11 11</t>
  </si>
  <si>
    <t>Giosue' Aldo Conc. N. 17</t>
  </si>
  <si>
    <t>Mare Marano</t>
  </si>
  <si>
    <t>maranhotel@ibero.it</t>
  </si>
  <si>
    <t>Alta Marea</t>
  </si>
  <si>
    <t>Via Torsten Bergmark  1</t>
  </si>
  <si>
    <t>maxsportime@libero.it</t>
  </si>
  <si>
    <t>www.chaletaltamarea.com</t>
  </si>
  <si>
    <t>B&amp;B La Selva Festeggiante</t>
  </si>
  <si>
    <t>Via S. Vincenzo 57</t>
  </si>
  <si>
    <t>chiappini.loredana@fastwebnet.it</t>
  </si>
  <si>
    <t>B&amp;B La Girandola</t>
  </si>
  <si>
    <t>Via Piana 66</t>
  </si>
  <si>
    <t>www.lagirandola.eu</t>
  </si>
  <si>
    <t>info@lagirandola.eu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</si>
  <si>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</si>
  <si>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</si>
  <si>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</si>
  <si>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</si>
  <si>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</si>
  <si>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</si>
  <si>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</si>
  <si>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</si>
  <si>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</si>
  <si>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</si>
  <si>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</si>
  <si>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</si>
  <si>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</si>
  <si>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</si>
  <si>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</si>
  <si>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</si>
  <si>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</si>
  <si>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</si>
  <si>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</si>
  <si>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</si>
  <si>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</si>
  <si>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</si>
  <si>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</si>
  <si>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</si>
  <si>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</si>
  <si>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</si>
  <si>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</si>
  <si>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</si>
  <si>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</si>
  <si>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</si>
  <si>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</si>
  <si>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</si>
  <si>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</si>
  <si>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Rose Di Fratta</t>
  </si>
  <si>
    <t>Viale Della Liberta' 1</t>
  </si>
  <si>
    <t>www.rosedifratta.it</t>
  </si>
  <si>
    <t>rosedifratta@gmail.com</t>
  </si>
  <si>
    <t>La Lucciola 2 Di Cornils Maike</t>
  </si>
  <si>
    <t>Via Pietrone 12</t>
  </si>
  <si>
    <t>info@lalucciola.de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</si>
  <si>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</si>
  <si>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</si>
  <si>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</si>
  <si>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</si>
  <si>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</si>
  <si>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</si>
  <si>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</si>
  <si>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</si>
  <si>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</si>
  <si>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</si>
  <si>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</si>
  <si>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</si>
  <si>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</si>
  <si>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</si>
  <si>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</si>
  <si>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</si>
  <si>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</si>
  <si>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</si>
  <si>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</si>
  <si>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</si>
  <si>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</si>
  <si>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</si>
  <si>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</si>
  <si>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</si>
  <si>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</si>
  <si>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</si>
  <si>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</si>
  <si>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</si>
  <si>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</si>
  <si>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</si>
  <si>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</si>
  <si>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</si>
  <si>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</si>
  <si>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</si>
  <si>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Via Leopardi 82</t>
  </si>
  <si>
    <t>http://vialeopardi82.weebly.com/index.html</t>
  </si>
  <si>
    <t>demin.daniela@libero.it</t>
  </si>
  <si>
    <t>B&amp;B La Nicchia</t>
  </si>
  <si>
    <t>Via Roma 91</t>
  </si>
  <si>
    <t>cherubini.simone@alice.it</t>
  </si>
  <si>
    <t>Casa Aurora</t>
  </si>
  <si>
    <t>www.casa-aurora.it</t>
  </si>
  <si>
    <t>B&amp;B Mulino Barchio Di Enzo Fazio</t>
  </si>
  <si>
    <t>Via Barchio 3</t>
  </si>
  <si>
    <t>www.barchio.it</t>
  </si>
  <si>
    <t>info@barchio.it</t>
  </si>
  <si>
    <t>Morning Glory</t>
  </si>
  <si>
    <t>Via G. Annibaldi 15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</si>
  <si>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</si>
  <si>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</si>
  <si>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</si>
  <si>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</si>
  <si>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</si>
  <si>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</si>
  <si>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</si>
  <si>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</si>
  <si>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</si>
  <si>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</si>
  <si>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</si>
  <si>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B&amp;B Cantinone</t>
  </si>
  <si>
    <t>Via Esinante 6</t>
  </si>
  <si>
    <t>www.cantinone.eu</t>
  </si>
  <si>
    <t>info@cantinone.eu</t>
  </si>
  <si>
    <t>Antera</t>
  </si>
  <si>
    <t>Via Valle 36</t>
  </si>
  <si>
    <t>teresacatani@libero.it</t>
  </si>
  <si>
    <t>Casa Manciano</t>
  </si>
  <si>
    <t>Via Manciano 38</t>
  </si>
  <si>
    <t>info@casa-manciano.de</t>
  </si>
  <si>
    <t>Bock Britta</t>
  </si>
  <si>
    <t>Via San Marco Di Sotto 20</t>
  </si>
  <si>
    <t>britabock@gmx.de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</si>
  <si>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</si>
  <si>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</si>
  <si>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</si>
  <si>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</si>
  <si>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</si>
  <si>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</si>
  <si>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</si>
  <si>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</si>
  <si>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</si>
  <si>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</si>
  <si>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</si>
  <si>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</si>
  <si>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</si>
  <si>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Ostello Della Gioventu' Parco Colle Elisa Amatori</t>
  </si>
  <si>
    <t>Via Elisa Amatori 2</t>
  </si>
  <si>
    <t>info@caffeimperialejesi.it</t>
  </si>
  <si>
    <t>B&amp;B Mulino Barchio Di Patrick Houlihan</t>
  </si>
  <si>
    <t>De Domenico Graziella</t>
  </si>
  <si>
    <t>Via S. Bartolomeo 14</t>
  </si>
  <si>
    <t>gdedomenico@live.com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</si>
  <si>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</si>
  <si>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</si>
  <si>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</si>
  <si>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</si>
  <si>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</si>
  <si>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</si>
  <si>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Affittacamere Traballoni Federica</t>
  </si>
  <si>
    <t>Borgo San Giovanni 33</t>
  </si>
  <si>
    <t>debby.brugnolaòlibero.it</t>
  </si>
  <si>
    <t>Faranghe Camping</t>
  </si>
  <si>
    <t>Località Masciano 79</t>
  </si>
  <si>
    <t>Loc. Masciano</t>
  </si>
  <si>
    <t>info@faranghe.eu</t>
  </si>
  <si>
    <t>Affittacamere La Pieve</t>
  </si>
  <si>
    <t>info@ristorantegrillcross.it</t>
  </si>
  <si>
    <t>B&amp;B La Casa Di Paglia</t>
  </si>
  <si>
    <t>Via Borgo San Rocco 19</t>
  </si>
  <si>
    <t>luca.paglia83@gmail.com</t>
  </si>
  <si>
    <t>Faranghe Di Boes Marcus Petrus Contry House</t>
  </si>
  <si>
    <t>Localita' Masciano 79</t>
  </si>
  <si>
    <t>info@vakantieinitalie.eu</t>
  </si>
  <si>
    <t>Aia D'Alto</t>
  </si>
  <si>
    <t>Frazione Melano 38/A</t>
  </si>
  <si>
    <t>www.aiadalto.it</t>
  </si>
  <si>
    <t>info@aiadalto.it</t>
  </si>
  <si>
    <t>Agriturismo Stroppa Eleonora</t>
  </si>
  <si>
    <t>La Pieve Moscano 59</t>
  </si>
  <si>
    <t>elestroppa84@hotmail.it</t>
  </si>
  <si>
    <t>Agriturismo Castelvecchio</t>
  </si>
  <si>
    <t>Via Castelvecchio 48</t>
  </si>
  <si>
    <t>www.agriturismocastelvecchio.it</t>
  </si>
  <si>
    <t>info@agriturismocastelvecchio.it</t>
  </si>
  <si>
    <t>B&amp;B La Casina Del Vicolo Di Sotto</t>
  </si>
  <si>
    <t>Frazione Castelletta 11/Z</t>
  </si>
  <si>
    <t>www.lacasinadelvicolodisotto.it</t>
  </si>
  <si>
    <t>info@lacasinadelvicolodisotto.it</t>
  </si>
  <si>
    <t>Il Mosaico Del Pensiero</t>
  </si>
  <si>
    <t>Via San Mariano 51</t>
  </si>
  <si>
    <t>Albacina</t>
  </si>
  <si>
    <t>Area Sosta Camper - Poggio San Romualdo</t>
  </si>
  <si>
    <t>Loc. Poggio San Romualdo</t>
  </si>
  <si>
    <t>Area Sosta Camper - Fabriano</t>
  </si>
  <si>
    <t>Zona Impianti Sportivi</t>
  </si>
  <si>
    <t>B&amp;B La Tana Della Tigre</t>
  </si>
  <si>
    <t>Frazione Coccore 10</t>
  </si>
  <si>
    <t>www.latanadellatigre.com</t>
  </si>
  <si>
    <t>np.tigre@email.it</t>
  </si>
  <si>
    <t>B&amp;B Il Bosco Di Valargue</t>
  </si>
  <si>
    <t>Frazione Campodiegoli 71</t>
  </si>
  <si>
    <t>B&amp;B Nuova Loggia</t>
  </si>
  <si>
    <t>Via Serraloggia 151</t>
  </si>
  <si>
    <t>www.bblelogge.it</t>
  </si>
  <si>
    <t>nuovaloggia@gmail.com</t>
  </si>
  <si>
    <t>Villa Censi Mancia</t>
  </si>
  <si>
    <t>Via Gaspare Spontini 2</t>
  </si>
  <si>
    <t>www.villacensimancia.it</t>
  </si>
  <si>
    <t>info@villacensimancia.it</t>
  </si>
  <si>
    <t>B&amp;B Il Sorbo</t>
  </si>
  <si>
    <t>Via Collamato 54</t>
  </si>
  <si>
    <t>www.ilsorbo.altervista.org</t>
  </si>
  <si>
    <t>adorno.trab@virgilio.it</t>
  </si>
  <si>
    <t>Agriturismo "Gocce Di Camarzano"</t>
  </si>
  <si>
    <t>Frazione Moscano   70</t>
  </si>
  <si>
    <t>www.goccedicamarzano.it</t>
  </si>
  <si>
    <t>goccedicamarzano@libero.it</t>
  </si>
  <si>
    <t>La Casa Di Campagna</t>
  </si>
  <si>
    <t>Frazione Bassano 32</t>
  </si>
  <si>
    <t>Frazione Bassano</t>
  </si>
  <si>
    <t>www.lacasadicampagnafabriano.it</t>
  </si>
  <si>
    <t>info@lacasadicampagnafabriano.it</t>
  </si>
  <si>
    <t>B&amp;B L'Armonia</t>
  </si>
  <si>
    <t>Via Serraloggia 186</t>
  </si>
  <si>
    <t>mauriziobuselli19@gmail.com</t>
  </si>
  <si>
    <t>B&amp;B Porta Del Piano</t>
  </si>
  <si>
    <t>Viale G. Miliani 3</t>
  </si>
  <si>
    <t>www.bbportadelpiano.it</t>
  </si>
  <si>
    <t>r.mearelli@gmail.com</t>
  </si>
  <si>
    <t>Le Quadrelle</t>
  </si>
  <si>
    <t>Frazione Rocchetta 51</t>
  </si>
  <si>
    <t>Frazione Rocchetta</t>
  </si>
  <si>
    <t>presidenza@castelvecchio.org</t>
  </si>
  <si>
    <t>www.castelvecchio.org</t>
  </si>
  <si>
    <t>Azienda Agricola Attidium Di Cartoni Alice</t>
  </si>
  <si>
    <t>Località Attiggio 61</t>
  </si>
  <si>
    <t>attidium@hotmail.it</t>
  </si>
  <si>
    <t>Via Cuna Della Chiesa 7</t>
  </si>
  <si>
    <t>rolando.grimaccia@gmail.com</t>
  </si>
  <si>
    <t>La Vita E' Bella</t>
  </si>
  <si>
    <t>Collegiglioni</t>
  </si>
  <si>
    <t>osteriafricando@libero.it</t>
  </si>
  <si>
    <t>B&amp;B La Casa Dei Papi</t>
  </si>
  <si>
    <t>Fraz. Collamato 15</t>
  </si>
  <si>
    <t>Borgo San Giustino</t>
  </si>
  <si>
    <t>info@casadeipapi.it</t>
  </si>
  <si>
    <t>Agriturismo Colle Serrone</t>
  </si>
  <si>
    <t>Frazione Precicchie 19</t>
  </si>
  <si>
    <t>www.agriturismocolleserrone.it</t>
  </si>
  <si>
    <t>info@agriturismocolleserrone.it</t>
  </si>
  <si>
    <t>Tenuta San Cassiano</t>
  </si>
  <si>
    <t>Localita' San Cassiano 35</t>
  </si>
  <si>
    <t>San Cassiano</t>
  </si>
  <si>
    <t>www.tenutasancassiano.it</t>
  </si>
  <si>
    <t>info@tenutasancassiano.it</t>
  </si>
  <si>
    <t>Agriturismo Il Vecchio Gelso</t>
  </si>
  <si>
    <t>Frazione Melano 102</t>
  </si>
  <si>
    <t>www.ilgelsoagriturismo.com</t>
  </si>
  <si>
    <t>info@ilgelsoagriturismo.com</t>
  </si>
  <si>
    <t>Antica Dimora</t>
  </si>
  <si>
    <t>Frazione San Donato 159/E</t>
  </si>
  <si>
    <t>San Donato</t>
  </si>
  <si>
    <t>euro.cesaroni@libero.it</t>
  </si>
  <si>
    <t>Agriturismo Stroppa Valentina</t>
  </si>
  <si>
    <t>Via Fonte Vecchia  10</t>
  </si>
  <si>
    <t>Collamato</t>
  </si>
  <si>
    <t>fontevecchia2@libero.it</t>
  </si>
  <si>
    <t>Hotel 2000</t>
  </si>
  <si>
    <t>Via Aurelio Zonghi 1</t>
  </si>
  <si>
    <t>www.2000hotel.it</t>
  </si>
  <si>
    <t>info@2000hotel.it</t>
  </si>
  <si>
    <t>B&amp;B Fontefresca</t>
  </si>
  <si>
    <t>Frazione Moscano Vallemontagnana 111</t>
  </si>
  <si>
    <t>www.fontefresca.com</t>
  </si>
  <si>
    <t>info@fontefresca.com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</si>
  <si>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</si>
  <si>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</si>
  <si>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</si>
  <si>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</si>
  <si>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</si>
  <si>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</si>
  <si>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</si>
  <si>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</si>
  <si>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</si>
  <si>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</si>
  <si>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</si>
  <si>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</si>
  <si>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</si>
  <si>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</si>
  <si>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</si>
  <si>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</si>
  <si>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Gentile Da Fabriano</t>
  </si>
  <si>
    <t>Via Di Vittorio 13B</t>
  </si>
  <si>
    <t>www.hotelgentile.it</t>
  </si>
  <si>
    <t>info@hotelgentile.it</t>
  </si>
  <si>
    <t>Hotel Le Muse</t>
  </si>
  <si>
    <t>Via Cavour 106</t>
  </si>
  <si>
    <t>info@hotellemusefabriano.it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</si>
  <si>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</si>
  <si>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</si>
  <si>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</si>
  <si>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</si>
  <si>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</si>
  <si>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</si>
  <si>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</si>
  <si>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</si>
  <si>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</si>
  <si>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</si>
  <si>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</si>
  <si>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</si>
  <si>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</si>
  <si>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</si>
  <si>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</si>
  <si>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</si>
  <si>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</si>
  <si>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</si>
  <si>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B&amp;B Il Rifugio Del Pittore</t>
  </si>
  <si>
    <t>Via Cavallotti 6</t>
  </si>
  <si>
    <t>2° Vicolo Via Cavallotti</t>
  </si>
  <si>
    <t>info@ilrifugiodelpittore.it</t>
  </si>
  <si>
    <t>La Dimora Del Capitano</t>
  </si>
  <si>
    <t>Fogliardi 24</t>
  </si>
  <si>
    <t>kristinareds88@yahoo.it</t>
  </si>
  <si>
    <t>Borgo Antico</t>
  </si>
  <si>
    <t>Loc.Borgo Tufico 32</t>
  </si>
  <si>
    <t>Loc.Borgo Tufico</t>
  </si>
  <si>
    <t>www.hotelborgoanticofabriano.com</t>
  </si>
  <si>
    <t>info@hotelborgoanticofabriano.com</t>
  </si>
  <si>
    <t>Agriturismo Fiordaliso</t>
  </si>
  <si>
    <t>Localita' Civita 39</t>
  </si>
  <si>
    <t>agri.fiordaliso@libero.it</t>
  </si>
  <si>
    <t>Fattoria La Ginestra</t>
  </si>
  <si>
    <t>Via Serraloggia 203</t>
  </si>
  <si>
    <t>anto.marcaccini@libero.it</t>
  </si>
  <si>
    <t>San Lorenzo</t>
  </si>
  <si>
    <t>Frazione San Michele 91</t>
  </si>
  <si>
    <t>www.agriturismosanlorenzo.net</t>
  </si>
  <si>
    <t>info@agriturismosanlorenzo.net</t>
  </si>
  <si>
    <t>Agriturismo Il Gelso</t>
  </si>
  <si>
    <t>Frazione Melano, 102 102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</si>
  <si>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</si>
  <si>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</si>
  <si>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</si>
  <si>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</si>
  <si>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</si>
  <si>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</si>
  <si>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</si>
  <si>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Villa Marchese Del Grillo</t>
  </si>
  <si>
    <t>Frazione Rocchetta 73</t>
  </si>
  <si>
    <t>www.marchesedelgrillo.com</t>
  </si>
  <si>
    <t>info@marchesedelgrillo.com</t>
  </si>
  <si>
    <t>Locanda Del Grillo</t>
  </si>
  <si>
    <t>Frazione Rocchetta 72</t>
  </si>
  <si>
    <t>Agriturismo Sascia</t>
  </si>
  <si>
    <t>Via Lamberto Corsi 150</t>
  </si>
  <si>
    <t>Mastro Marino</t>
  </si>
  <si>
    <t>Piazzale Xx Settembre 33</t>
  </si>
  <si>
    <t>info@hotelmastromarino.it</t>
  </si>
  <si>
    <t>Antica Loggia</t>
  </si>
  <si>
    <t>Via Serraloggia 188</t>
  </si>
  <si>
    <t>Locanda Taverna Da Ivo</t>
  </si>
  <si>
    <t>Via Vittorio Veneto 14</t>
  </si>
  <si>
    <t>tavernadaivo@tiscali.it</t>
  </si>
  <si>
    <t>B&amp;B Maggiociondolo</t>
  </si>
  <si>
    <t>Frazione Rocchetta 58</t>
  </si>
  <si>
    <t>www.maggiociondolo.com</t>
  </si>
  <si>
    <t>bebmaggiociondolo@libero.it</t>
  </si>
  <si>
    <t>Azienda Agraria Rocchetta</t>
  </si>
  <si>
    <t>Frazione Rocchetta 23</t>
  </si>
  <si>
    <t>fabio.raggi@alice.it</t>
  </si>
  <si>
    <t>Abbazia Di San Biagio Il Caprile</t>
  </si>
  <si>
    <t>Frazione Campodonico 91/B</t>
  </si>
  <si>
    <t>www.sanbiagioincaprile.it</t>
  </si>
  <si>
    <t>hostellosanbiagio@libero.it</t>
  </si>
  <si>
    <t>Localita' San Cassiano 38</t>
  </si>
  <si>
    <t>Janus Hotel Fabriano</t>
  </si>
  <si>
    <t>P.Le Giacomo Matteotti 45</t>
  </si>
  <si>
    <t>www.janussocietacooperativa.it</t>
  </si>
  <si>
    <t>info@janussocietacooperativa.it</t>
  </si>
  <si>
    <t>B&amp;B Faberius</t>
  </si>
  <si>
    <t>Via Ramelli 104</t>
  </si>
  <si>
    <t>faberiusfabriano@gmail.com</t>
  </si>
  <si>
    <t>Affittacamere Latini Lucia</t>
  </si>
  <si>
    <t>Localita' Civita 43</t>
  </si>
  <si>
    <t>www.villagioiacivita.it</t>
  </si>
  <si>
    <t>info@villagioiacivita.it</t>
  </si>
  <si>
    <t>Agriturismo San Romualdo</t>
  </si>
  <si>
    <t>www.valdicastro.it</t>
  </si>
  <si>
    <t>info@valdicastro.it</t>
  </si>
  <si>
    <t>La Palombaia</t>
  </si>
  <si>
    <t>Frazione Paterno  51</t>
  </si>
  <si>
    <t>lapalombaia@postecert.it</t>
  </si>
  <si>
    <t>Agriturismo Il Faggio</t>
  </si>
  <si>
    <t>Frazione Serradica 137</t>
  </si>
  <si>
    <t>www.agriturismoilfaggio.it</t>
  </si>
  <si>
    <t>info@agriturismoilfaggio.it</t>
  </si>
  <si>
    <t>B&amp;B Del Podesta'</t>
  </si>
  <si>
    <t>Corso Della Repubblica 33</t>
  </si>
  <si>
    <t>info@bbdelpodesta.it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</si>
  <si>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</si>
  <si>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</si>
  <si>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</si>
  <si>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</si>
  <si>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</si>
  <si>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</si>
  <si>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</si>
  <si>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C'Era Una Volta</t>
  </si>
  <si>
    <t>Viale Serafini 75</t>
  </si>
  <si>
    <t>ceraunavolta.fabriano@gmail.com</t>
  </si>
  <si>
    <t>Lido Azzurro</t>
  </si>
  <si>
    <t>Via Cristoforo Colombo 1 1</t>
  </si>
  <si>
    <t>d.farano@gmail.com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</si>
  <si>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</si>
  <si>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</si>
  <si>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</si>
  <si>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</si>
  <si>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</si>
  <si>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</si>
  <si>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</si>
  <si>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</si>
  <si>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</si>
  <si>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</si>
  <si>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</si>
  <si>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</si>
  <si>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</si>
  <si>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</si>
  <si>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</si>
  <si>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</si>
  <si>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</si>
  <si>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</si>
  <si>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</si>
  <si>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</si>
  <si>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</si>
  <si>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</si>
  <si>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</si>
  <si>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</si>
  <si>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</si>
  <si>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</si>
  <si>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Appartamento Uso Turistico Laura Carrera 2</t>
  </si>
  <si>
    <t>Via Bissolati 1</t>
  </si>
  <si>
    <t>Castelferretti</t>
  </si>
  <si>
    <t>Azzurra</t>
  </si>
  <si>
    <t>Via Goito 1 1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</si>
  <si>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</si>
  <si>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</si>
  <si>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</si>
  <si>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</si>
  <si>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</si>
  <si>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</si>
  <si>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</si>
  <si>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</si>
  <si>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</si>
  <si>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</si>
  <si>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</si>
  <si>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</si>
  <si>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</si>
  <si>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</si>
  <si>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</si>
  <si>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</si>
  <si>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</si>
  <si>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</si>
  <si>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</si>
  <si>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B&amp;B La Dimora</t>
  </si>
  <si>
    <t>Via Tommasi 11</t>
  </si>
  <si>
    <t>Loc.Castelferretti</t>
  </si>
  <si>
    <t>em.menga@alice.it</t>
  </si>
  <si>
    <t>B&amp;B Il Conventino 44</t>
  </si>
  <si>
    <t>Via Conventino 56</t>
  </si>
  <si>
    <t>www.bbilconventino44.it</t>
  </si>
  <si>
    <t>m.borsini@alice.it</t>
  </si>
  <si>
    <t>Bagni Gabbiano</t>
  </si>
  <si>
    <t>m.spadoni@gruppoapi.com</t>
  </si>
  <si>
    <t>Lido La Bussola</t>
  </si>
  <si>
    <t>Spiaggia Zona Disco Snc Snc</t>
  </si>
  <si>
    <t>B&amp;B Alba Chiara</t>
  </si>
  <si>
    <t>Barcaglione  15</t>
  </si>
  <si>
    <t>francagabrielloni@hotmail.com</t>
  </si>
  <si>
    <t>B&amp;B Cipriani Marco</t>
  </si>
  <si>
    <t>Via I.Nievo 8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</si>
  <si>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</si>
  <si>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</si>
  <si>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</si>
  <si>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</si>
  <si>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</si>
  <si>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</si>
  <si>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</si>
  <si>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</si>
  <si>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</si>
  <si>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</si>
  <si>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</si>
  <si>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</si>
  <si>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</si>
  <si>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</si>
  <si>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</si>
  <si>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</si>
  <si>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</si>
  <si>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</si>
  <si>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</si>
  <si>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</si>
  <si>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Le Ragazze</t>
  </si>
  <si>
    <t>Via Flaminia 551 551</t>
  </si>
  <si>
    <t>leragazze16@libero.it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</si>
  <si>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</si>
  <si>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</si>
  <si>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</si>
  <si>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</si>
  <si>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</si>
  <si>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</si>
  <si>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</si>
  <si>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Le Palme</t>
  </si>
  <si>
    <t>stabilimento.lepalme@alice.it</t>
  </si>
  <si>
    <t>B&amp;B Residenza Leonardo</t>
  </si>
  <si>
    <t>www.residenzaleonardo.com</t>
  </si>
  <si>
    <t>Mirco Ed Ale</t>
  </si>
  <si>
    <t>Via Dei Mille 1 1</t>
  </si>
  <si>
    <t>Bagni Fanesi</t>
  </si>
  <si>
    <t>Vicolo Fornace 1 1</t>
  </si>
  <si>
    <t>Marcello &amp; Walter S.N.C</t>
  </si>
  <si>
    <t>Via Nino Bixio  18/A</t>
  </si>
  <si>
    <t>valtercremonesi90@gmail.com</t>
  </si>
  <si>
    <t>www.bagnimarcelloevalter.it</t>
  </si>
  <si>
    <t>La Vela</t>
  </si>
  <si>
    <t>zannini.aea@tin.it</t>
  </si>
  <si>
    <t>Bagni Dany</t>
  </si>
  <si>
    <t>New Tropical</t>
  </si>
  <si>
    <t>Picchio Beach - Bagni N° 7/8</t>
  </si>
  <si>
    <t>www.picchiobeach.it</t>
  </si>
  <si>
    <t>picchiobeach@gmail.com</t>
  </si>
  <si>
    <t>Solaria Beach Village - Bagni 22 E 23</t>
  </si>
  <si>
    <t>Sottopasso Via Goito Snc Snc</t>
  </si>
  <si>
    <t>info@solariabeachvillage.it</t>
  </si>
  <si>
    <t>www.solariabeachvillage.it</t>
  </si>
  <si>
    <t>Giemme Bar' S Bagni 18</t>
  </si>
  <si>
    <t>Via Flaminia Snc Snc</t>
  </si>
  <si>
    <t>info@giemmebar.it</t>
  </si>
  <si>
    <t>www.giemmebar.it</t>
  </si>
  <si>
    <t>Bagni La Salute</t>
  </si>
  <si>
    <t>Via Della Stazione 1 1</t>
  </si>
  <si>
    <t>Abbronzatissima</t>
  </si>
  <si>
    <t>La Rocca Di Prenna Franco</t>
  </si>
  <si>
    <t>Via Clementina 15</t>
  </si>
  <si>
    <t>larocca.prenna@gmail.com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</si>
  <si>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</si>
  <si>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</si>
  <si>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</si>
  <si>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</si>
  <si>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</si>
  <si>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</si>
  <si>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</si>
  <si>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</si>
  <si>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</si>
  <si>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</si>
  <si>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</si>
  <si>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</si>
  <si>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</si>
  <si>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</si>
  <si>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Catalano Luisa</t>
  </si>
  <si>
    <t>Strada Faleriense A Valle 58</t>
  </si>
  <si>
    <t>Agriturismo Azienda Agraria Bonfigli</t>
  </si>
  <si>
    <t>Via Piagge 2</t>
  </si>
  <si>
    <t>www.aziendabonfigli.it</t>
  </si>
  <si>
    <t>info@aziendabonfigli.it</t>
  </si>
  <si>
    <t>Area Di Sosta Camper Camper Service</t>
  </si>
  <si>
    <t>Piane Di Falerone</t>
  </si>
  <si>
    <t>Filippetti Dante - Agricampeggio</t>
  </si>
  <si>
    <t>Localita' Metaurilia 46</t>
  </si>
  <si>
    <t>Caravel</t>
  </si>
  <si>
    <t>Via Faa' Di Bruno 135</t>
  </si>
  <si>
    <t>Ponte Sasso Di Fano</t>
  </si>
  <si>
    <t>www.hotel-caravel.it</t>
  </si>
  <si>
    <t>info@hotel-caravel.it</t>
  </si>
  <si>
    <t>Edelweiss</t>
  </si>
  <si>
    <t>Via Buonincontri 27</t>
  </si>
  <si>
    <t>www.hoteledelweissfano.it</t>
  </si>
  <si>
    <t>info@hoteledelweissfano.it</t>
  </si>
  <si>
    <t>Werther</t>
  </si>
  <si>
    <t>Via Stelle Di Mare 14</t>
  </si>
  <si>
    <t>Torrette Di Fano</t>
  </si>
  <si>
    <t>www.hotelwerther.com</t>
  </si>
  <si>
    <t>hotelwerther@email.it</t>
  </si>
  <si>
    <t>Verna Giovanni</t>
  </si>
  <si>
    <t>Viale Cairoli 83/56</t>
  </si>
  <si>
    <t>vernagianni@libero.it</t>
  </si>
  <si>
    <t>Via Stelle Di Mare  10</t>
  </si>
  <si>
    <t>www.hoteloasitorrette.it</t>
  </si>
  <si>
    <t>info@hoteloasitorrette.it</t>
  </si>
  <si>
    <t>Maria</t>
  </si>
  <si>
    <t>Via Belvedere 5</t>
  </si>
  <si>
    <t>pensionemaria@email.it</t>
  </si>
  <si>
    <t>Francolini Marinelli Rita</t>
  </si>
  <si>
    <t>guglielmogiovannelli@gmail.com</t>
  </si>
  <si>
    <t>Verna Lucia</t>
  </si>
  <si>
    <t>Via Spontini 2</t>
  </si>
  <si>
    <t>Ruhig</t>
  </si>
  <si>
    <t>Via Faa' Di Bruno 165</t>
  </si>
  <si>
    <t>www.hotelruhig.com</t>
  </si>
  <si>
    <t>info@hotelruhig.com</t>
  </si>
  <si>
    <t>Ordonselli Severino</t>
  </si>
  <si>
    <t>Via Stelle Di Mare 13</t>
  </si>
  <si>
    <t>eurolightillumina@gmail.com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</si>
  <si>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</si>
  <si>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</si>
  <si>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</si>
  <si>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</si>
  <si>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</si>
  <si>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</si>
  <si>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</si>
  <si>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</si>
  <si>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</si>
  <si>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</si>
  <si>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</si>
  <si>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</si>
  <si>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</si>
  <si>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</si>
  <si>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</si>
  <si>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</si>
  <si>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</si>
  <si>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</si>
  <si>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</si>
  <si>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</si>
  <si>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</si>
  <si>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</si>
  <si>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Palazzi Floriana</t>
  </si>
  <si>
    <t>Strana Nazionale Adriatica Sud 129/B</t>
  </si>
  <si>
    <t>Metaurilia</t>
  </si>
  <si>
    <t>floriana.palazzi@libero.it</t>
  </si>
  <si>
    <t>Playa Principe Resort</t>
  </si>
  <si>
    <t>Via Buonincontri 65</t>
  </si>
  <si>
    <t>www.hotelplayaprincipe.it</t>
  </si>
  <si>
    <t>info@hotelplayaprincipe.it</t>
  </si>
  <si>
    <t>Rossetti Maria Luisa</t>
  </si>
  <si>
    <t>Vitali Meris</t>
  </si>
  <si>
    <t>Via Snas  449/A</t>
  </si>
  <si>
    <t>mircobiondi@libero.it</t>
  </si>
  <si>
    <t>Tonnini Tatiana</t>
  </si>
  <si>
    <t>Via Belgatto 89/90</t>
  </si>
  <si>
    <t>tatianatonnini@gmail.com</t>
  </si>
  <si>
    <t>Mencaccini Bruno</t>
  </si>
  <si>
    <t>Via Della Marina 40</t>
  </si>
  <si>
    <t>r.andrea@sed84.com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</si>
  <si>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</si>
  <si>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</si>
  <si>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</si>
  <si>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</si>
  <si>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</si>
  <si>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</si>
  <si>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Via Faa' Di Bruno 136/B</t>
  </si>
  <si>
    <t>info@fanoaffitti.it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</si>
  <si>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</si>
  <si>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</si>
  <si>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</si>
  <si>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</si>
  <si>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</si>
  <si>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</si>
  <si>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Pagnoni Giuliana</t>
  </si>
  <si>
    <t>mauroc@email.it</t>
  </si>
  <si>
    <t>Cosimo Corrado Barbato</t>
  </si>
  <si>
    <t>Via A. Cappellini 57</t>
  </si>
  <si>
    <t>B&amp;B Bigotti 2</t>
  </si>
  <si>
    <t>Strada Nazionale Flaminia 444/Be</t>
  </si>
  <si>
    <t>infobigotti@gmail.com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</si>
  <si>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</si>
  <si>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</si>
  <si>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</si>
  <si>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</si>
  <si>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</si>
  <si>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</si>
  <si>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</si>
  <si>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</si>
  <si>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Via S.N.A.S. Dir. Sud 1</t>
  </si>
  <si>
    <t>www.campingfano.it</t>
  </si>
  <si>
    <t>info@campingfano.it</t>
  </si>
  <si>
    <t>Pellegrini Antonella</t>
  </si>
  <si>
    <t>Via Del Perugino 7</t>
  </si>
  <si>
    <t>simo610@libero.it</t>
  </si>
  <si>
    <t>Via Snas  449</t>
  </si>
  <si>
    <t>Biagiotti Giuliano</t>
  </si>
  <si>
    <t>Viale Cairoli 147</t>
  </si>
  <si>
    <t>giuliano.biagiotti@fastwebnet.it</t>
  </si>
  <si>
    <t>B&amp;B Villetta Al Mare</t>
  </si>
  <si>
    <t>Via Dell'Arzilla 3D</t>
  </si>
  <si>
    <t>www.gardenofitaly/villettaalmare</t>
  </si>
  <si>
    <t>acecco@tin.it</t>
  </si>
  <si>
    <t>Eko</t>
  </si>
  <si>
    <t>Via Belvedere 4</t>
  </si>
  <si>
    <t>www.hoteleko.it</t>
  </si>
  <si>
    <t>info@hoteleko.it</t>
  </si>
  <si>
    <t>Sassonia</t>
  </si>
  <si>
    <t>Viale Adriatico 88</t>
  </si>
  <si>
    <t>www.pensionesassonia.it</t>
  </si>
  <si>
    <t>info@pensionesassonia.it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</si>
  <si>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</si>
  <si>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</si>
  <si>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</si>
  <si>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</si>
  <si>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</si>
  <si>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</si>
  <si>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</si>
  <si>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</si>
  <si>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</si>
  <si>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</si>
  <si>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</si>
  <si>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</si>
  <si>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</si>
  <si>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</si>
  <si>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inesistente@regione.marche.it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</si>
  <si>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</si>
  <si>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</si>
  <si>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</si>
  <si>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</si>
  <si>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</si>
  <si>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</si>
  <si>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</si>
  <si>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</si>
  <si>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ebe.ubi@alice.it</t>
  </si>
  <si>
    <t>Gagliardini Luisella</t>
  </si>
  <si>
    <t>Via Faà Di Bruno 51</t>
  </si>
  <si>
    <t>elimolinari@gmail.com</t>
  </si>
  <si>
    <t>Marco Kindt</t>
  </si>
  <si>
    <t>Via Sant' Anna 46</t>
  </si>
  <si>
    <t>Fenile Di Fano</t>
  </si>
  <si>
    <t>marco.kindt@gmail.com</t>
  </si>
  <si>
    <t>B&amp;B Le Viole</t>
  </si>
  <si>
    <t>Via Brigata Messina 207</t>
  </si>
  <si>
    <t>Centinarola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</si>
  <si>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</si>
  <si>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</si>
  <si>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</si>
  <si>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</si>
  <si>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</si>
  <si>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</si>
  <si>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</si>
  <si>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Camere In Affitto Da Farina</t>
  </si>
  <si>
    <t>Via Flaminia 369 Int 3 N 369/3</t>
  </si>
  <si>
    <t>Carrara Di Fano</t>
  </si>
  <si>
    <t>mori-2004@libero.it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</si>
  <si>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</si>
  <si>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</si>
  <si>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</si>
  <si>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</si>
  <si>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</si>
  <si>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</si>
  <si>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</si>
  <si>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</si>
  <si>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</si>
  <si>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</si>
  <si>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</si>
  <si>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</si>
  <si>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Busca Maria Dea</t>
  </si>
  <si>
    <t>Via Montesanto  5</t>
  </si>
  <si>
    <t>vacanzefano@libero.it</t>
  </si>
  <si>
    <t>Casadei</t>
  </si>
  <si>
    <t>Via Cappellini 53</t>
  </si>
  <si>
    <t>www.hotelcasadei.it</t>
  </si>
  <si>
    <t>info@hotelcasadei.it</t>
  </si>
  <si>
    <t>Gasparoni Luigi App.To Via De Gasperi 16</t>
  </si>
  <si>
    <t>Via De Gasperi 16</t>
  </si>
  <si>
    <t>segreteria@consulgest.eu</t>
  </si>
  <si>
    <t>Bodini Francesco</t>
  </si>
  <si>
    <t>Via Cappellini 63/A</t>
  </si>
  <si>
    <t>Albergo Metauro</t>
  </si>
  <si>
    <t>Viale Piceno 178</t>
  </si>
  <si>
    <t>albemetauro@libero.it</t>
  </si>
  <si>
    <t>Marinella</t>
  </si>
  <si>
    <t>Strada Nazionale Adriatica Nord 107</t>
  </si>
  <si>
    <t>www.hotelristorantemarinella.it</t>
  </si>
  <si>
    <t>info@hotelristorantemarinella.it</t>
  </si>
  <si>
    <t>Siri Hotel</t>
  </si>
  <si>
    <t>Viale Bruno Buozzi 69</t>
  </si>
  <si>
    <t>http://www.sirihotelfano.it</t>
  </si>
  <si>
    <t>info@sirihotelfano.it</t>
  </si>
  <si>
    <t>Plaza</t>
  </si>
  <si>
    <t>Viale Cairoli 114</t>
  </si>
  <si>
    <t>www.plazahotelfano.it</t>
  </si>
  <si>
    <t>info@plazahotelfano.it</t>
  </si>
  <si>
    <t>Paradise</t>
  </si>
  <si>
    <t>Viale Adriatico 126</t>
  </si>
  <si>
    <t>www.hotel-paradise.it</t>
  </si>
  <si>
    <t>info@hotel-paradise.it</t>
  </si>
  <si>
    <t>Orfeo</t>
  </si>
  <si>
    <t>Corso Giacomo Matteotti 5</t>
  </si>
  <si>
    <t>www.hotelorfeo-fano.it</t>
  </si>
  <si>
    <t>info@hotelorfeo.it</t>
  </si>
  <si>
    <t>Hotel Marina</t>
  </si>
  <si>
    <t>Viale Adriatico 15</t>
  </si>
  <si>
    <t>www.hotelmarinafano.it</t>
  </si>
  <si>
    <t>info@hotelmarinafano.it</t>
  </si>
  <si>
    <t>Excelsior</t>
  </si>
  <si>
    <t>Via C. Simonetti 57</t>
  </si>
  <si>
    <t>www.hotelangela.it</t>
  </si>
  <si>
    <t>info@hotelangela.it</t>
  </si>
  <si>
    <t>Gasparoni Luigi App.To Via De Gasperi 22</t>
  </si>
  <si>
    <t>Via De Gasperi 22</t>
  </si>
  <si>
    <t>Cristallo</t>
  </si>
  <si>
    <t>Viale Cesare Battisti 49</t>
  </si>
  <si>
    <t>www.hotelcristallo-fano.it</t>
  </si>
  <si>
    <t>info@hotelcristallo-fano.it</t>
  </si>
  <si>
    <t>Beaurivage</t>
  </si>
  <si>
    <t>Viale Adriatico 124</t>
  </si>
  <si>
    <t>Angela</t>
  </si>
  <si>
    <t>Viale Adriatico 13</t>
  </si>
  <si>
    <t>Amelia</t>
  </si>
  <si>
    <t>Viale Cairoli 80</t>
  </si>
  <si>
    <t>www.hotelamelia.it</t>
  </si>
  <si>
    <t>info@hotelamelia.it</t>
  </si>
  <si>
    <t>Alla Lanterna</t>
  </si>
  <si>
    <t>Strada Nazionale Adriatica Sud 78</t>
  </si>
  <si>
    <t>www.allalanterna.com</t>
  </si>
  <si>
    <t>info@allalanterna.com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</si>
  <si>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</si>
  <si>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</si>
  <si>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</si>
  <si>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</si>
  <si>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</si>
  <si>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</si>
  <si>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</si>
  <si>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</si>
  <si>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</si>
  <si>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</si>
  <si>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</si>
  <si>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</si>
  <si>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Corallo</t>
  </si>
  <si>
    <t>Via Leonardo Da Vinci 3</t>
  </si>
  <si>
    <t>www.hotelcorallo-fano.it</t>
  </si>
  <si>
    <t>info@hotelcorallo-fano.it</t>
  </si>
  <si>
    <t>Simoncini Eugenio Maria</t>
  </si>
  <si>
    <t>Via Cappellini 180</t>
  </si>
  <si>
    <t>Simoncini Rita</t>
  </si>
  <si>
    <t>Via Faà Di Bruno 113</t>
  </si>
  <si>
    <t>sim.rita.mail@gmail.com</t>
  </si>
  <si>
    <t>Alessandrini Daniele</t>
  </si>
  <si>
    <t>Via A. Cappellini 60/A</t>
  </si>
  <si>
    <t>le_roby@hotmail.it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</si>
  <si>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</si>
  <si>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</si>
  <si>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</si>
  <si>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</si>
  <si>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</si>
  <si>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</si>
  <si>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</si>
  <si>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</si>
  <si>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</si>
  <si>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</si>
  <si>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</si>
  <si>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</si>
  <si>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</si>
  <si>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</si>
  <si>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</si>
  <si>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www.bigotti.it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</si>
  <si>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</si>
  <si>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</si>
  <si>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</si>
  <si>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</si>
  <si>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</si>
  <si>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</si>
  <si>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</si>
  <si>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</si>
  <si>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</si>
  <si>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</si>
  <si>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</si>
  <si>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</si>
  <si>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</si>
  <si>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</si>
  <si>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www.bedandbreakfastvilladeafano.wordpress.com</t>
  </si>
  <si>
    <t>villadeafano@libero.it</t>
  </si>
  <si>
    <t>Hotel De La Ville</t>
  </si>
  <si>
    <t>Viale Cairoli 1</t>
  </si>
  <si>
    <t>www.hoteldelavillefano.com</t>
  </si>
  <si>
    <t>info@hoteldelavillefano.com</t>
  </si>
  <si>
    <t>Ostello Don Orione</t>
  </si>
  <si>
    <t>Via Iv Novembre 47</t>
  </si>
  <si>
    <t>www.donorionefano.it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</si>
  <si>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</si>
  <si>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</si>
  <si>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</si>
  <si>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</si>
  <si>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</si>
  <si>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</si>
  <si>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</si>
  <si>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</si>
  <si>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</si>
  <si>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</si>
  <si>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</si>
  <si>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</si>
  <si>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</si>
  <si>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</si>
  <si>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Via S.N.A.S. 102/A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</si>
  <si>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</si>
  <si>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</si>
  <si>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</si>
  <si>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</si>
  <si>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</si>
  <si>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</si>
  <si>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</si>
  <si>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</si>
  <si>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</si>
  <si>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</si>
  <si>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</si>
  <si>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</si>
  <si>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</si>
  <si>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</si>
  <si>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</si>
  <si>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</si>
  <si>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</si>
  <si>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Casa Jolanda</t>
  </si>
  <si>
    <t>Loc.Caminate 34/A</t>
  </si>
  <si>
    <t>Caminate</t>
  </si>
  <si>
    <t>casajolandafano@gmail.com</t>
  </si>
  <si>
    <t>B&amp;B Aria Di Casa Mia</t>
  </si>
  <si>
    <t>Via A. Bianchini 6</t>
  </si>
  <si>
    <t>tonucci.maurizio@libero.it</t>
  </si>
  <si>
    <t>Mare</t>
  </si>
  <si>
    <t>Lungomare Cristoforo Colombo 20</t>
  </si>
  <si>
    <t>La Mimosa</t>
  </si>
  <si>
    <t>Strada Nazionale Adriatica Sud 259</t>
  </si>
  <si>
    <t>www.campinglamimosa.it</t>
  </si>
  <si>
    <t>info@campinglamimosa.it</t>
  </si>
  <si>
    <t>Casa Regina</t>
  </si>
  <si>
    <t>Via Della Scuola 9</t>
  </si>
  <si>
    <t>www.casareginafano.com</t>
  </si>
  <si>
    <t>casareginafano@libero.it</t>
  </si>
  <si>
    <t>Camping Torrette</t>
  </si>
  <si>
    <t>Via Buonincontri 50</t>
  </si>
  <si>
    <t>Mareblu'</t>
  </si>
  <si>
    <t>Strada Nazionale Adriatica Sud 203</t>
  </si>
  <si>
    <t>www.campingmareblu.net</t>
  </si>
  <si>
    <t>info@campingmareblu.net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</si>
  <si>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</si>
  <si>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</si>
  <si>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</si>
  <si>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</si>
  <si>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</si>
  <si>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</si>
  <si>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</si>
  <si>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</si>
  <si>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</si>
  <si>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</si>
  <si>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</si>
  <si>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</si>
  <si>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</si>
  <si>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</si>
  <si>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Continental</t>
  </si>
  <si>
    <t>Viale Adriatico 148</t>
  </si>
  <si>
    <t>www.hotelcontinental-fano.it</t>
  </si>
  <si>
    <t>info@hotelcontinental-fano.it</t>
  </si>
  <si>
    <t>Il Prato - Agricampeggio</t>
  </si>
  <si>
    <t>Localita' Metaurilia 81</t>
  </si>
  <si>
    <t>Ca' Ramarra</t>
  </si>
  <si>
    <t>Localita' San Biagio 50</t>
  </si>
  <si>
    <t>info@caramarra.it</t>
  </si>
  <si>
    <t>Agriturismo Monte Giove</t>
  </si>
  <si>
    <t>Strada Nazionale Flaminia 124</t>
  </si>
  <si>
    <t>agrimontegiove@libero.it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</si>
  <si>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</si>
  <si>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</si>
  <si>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</si>
  <si>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</si>
  <si>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</si>
  <si>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</si>
  <si>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</si>
  <si>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</si>
  <si>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</si>
  <si>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</si>
  <si>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</si>
  <si>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</si>
  <si>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</si>
  <si>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</si>
  <si>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</si>
  <si>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</si>
  <si>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</si>
  <si>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</si>
  <si>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Il Paradiso - Agricampeggio</t>
  </si>
  <si>
    <t>Localita' Magliano 29</t>
  </si>
  <si>
    <t>www.agriturismoilparadiso.altervista.org</t>
  </si>
  <si>
    <t>ilparadisoagriturismo@gmail.com</t>
  </si>
  <si>
    <t>Da Farina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</si>
  <si>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</si>
  <si>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</si>
  <si>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</si>
  <si>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</si>
  <si>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</si>
  <si>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</si>
  <si>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</si>
  <si>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</si>
  <si>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</si>
  <si>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</si>
  <si>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</si>
  <si>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</si>
  <si>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</si>
  <si>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</si>
  <si>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</si>
  <si>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</si>
  <si>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</si>
  <si>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</si>
  <si>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</si>
  <si>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</si>
  <si>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</si>
  <si>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</si>
  <si>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</si>
  <si>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</si>
  <si>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</si>
  <si>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</si>
  <si>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</si>
  <si>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</si>
  <si>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</si>
  <si>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</si>
  <si>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</si>
  <si>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Kalaverde Di Baldini Claudio</t>
  </si>
  <si>
    <t>Baia Metauro</t>
  </si>
  <si>
    <t>mauroeoretta@alice.it</t>
  </si>
  <si>
    <t>kalaverde.it</t>
  </si>
  <si>
    <t>Mario D'Agata</t>
  </si>
  <si>
    <t>Via F. Magnanini 2</t>
  </si>
  <si>
    <t>dadaump@gmail.com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</si>
  <si>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</si>
  <si>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</si>
  <si>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</si>
  <si>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</si>
  <si>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</si>
  <si>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</si>
  <si>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</si>
  <si>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</si>
  <si>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</si>
  <si>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</si>
  <si>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</si>
  <si>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</si>
  <si>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Marchionni Giuseppina</t>
  </si>
  <si>
    <t>Via S. Tomani Amiani 33</t>
  </si>
  <si>
    <t>Tag Hotel</t>
  </si>
  <si>
    <t>Einaudi  2/A</t>
  </si>
  <si>
    <t>Bellocchi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</si>
  <si>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</si>
  <si>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</si>
  <si>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</si>
  <si>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</si>
  <si>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</si>
  <si>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</si>
  <si>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</si>
  <si>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Bed Beach &amp; Bike Dei Talenti</t>
  </si>
  <si>
    <t>Via Di Villa Giulia  12</t>
  </si>
  <si>
    <t>San Biagio</t>
  </si>
  <si>
    <t>www.italenti.info</t>
  </si>
  <si>
    <t>bbb@italenti.info</t>
  </si>
  <si>
    <t>B&amp;B La Casa Del Sole</t>
  </si>
  <si>
    <t>Via Del Bersaglio 33</t>
  </si>
  <si>
    <t>lacasadelsole@hotmail.it</t>
  </si>
  <si>
    <t>Via Buonincontri 25</t>
  </si>
  <si>
    <t>www.residenceedelweiss.com</t>
  </si>
  <si>
    <t>info@residenceedelweiss.com</t>
  </si>
  <si>
    <t>Casale Delle Rose</t>
  </si>
  <si>
    <t>Localita' Caminate 103</t>
  </si>
  <si>
    <t>www.fanocasaledellerose.com</t>
  </si>
  <si>
    <t>info@fanocasaledellerose.com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</si>
  <si>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</si>
  <si>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</si>
  <si>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</si>
  <si>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</si>
  <si>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</si>
  <si>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</si>
  <si>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</si>
  <si>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</si>
  <si>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</si>
  <si>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</si>
  <si>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</si>
  <si>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</si>
  <si>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</si>
  <si>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</si>
  <si>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</si>
  <si>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</si>
  <si>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</si>
  <si>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</si>
  <si>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</si>
  <si>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</si>
  <si>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</si>
  <si>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</si>
  <si>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</si>
  <si>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</si>
  <si>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</si>
  <si>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</si>
  <si>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</si>
  <si>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</si>
  <si>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</si>
  <si>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</si>
  <si>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</si>
  <si>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</si>
  <si>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</si>
  <si>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</si>
  <si>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</si>
  <si>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</si>
  <si>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</si>
  <si>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</si>
  <si>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</si>
  <si>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</si>
  <si>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</si>
  <si>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</si>
  <si>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</si>
  <si>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</si>
  <si>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</si>
  <si>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</si>
  <si>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</si>
  <si>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</si>
  <si>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</si>
  <si>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</si>
  <si>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</si>
  <si>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</si>
  <si>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</si>
  <si>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info@studiocappellini.com</t>
  </si>
  <si>
    <t>B&amp;B La Casina Celeste</t>
  </si>
  <si>
    <t>Via Fanella 47</t>
  </si>
  <si>
    <t>esposito.raffaella@alice.it</t>
  </si>
  <si>
    <t>Filippetti Claudio - Agricampeggio</t>
  </si>
  <si>
    <t>B&amp;B Arzilla</t>
  </si>
  <si>
    <t>Via Centinarola  9</t>
  </si>
  <si>
    <t>info@bbarzilla.it</t>
  </si>
  <si>
    <t>Girolametti Daniela</t>
  </si>
  <si>
    <t>Via E.Storti 2</t>
  </si>
  <si>
    <t>B&amp;B La Casetta Rosa</t>
  </si>
  <si>
    <t>Via Di Villa Giulia 51/D</t>
  </si>
  <si>
    <t>lacasettarosa@yahoo.it</t>
  </si>
  <si>
    <t>B&amp;B Bigotti 3</t>
  </si>
  <si>
    <t>Via Flaminia 444/F</t>
  </si>
  <si>
    <t>Del Vecchio Vilma</t>
  </si>
  <si>
    <t>Via Ferretto  21</t>
  </si>
  <si>
    <t>Pieretti Silvia</t>
  </si>
  <si>
    <t>Lago Di Pilato 5</t>
  </si>
  <si>
    <t>Maccari Danilo</t>
  </si>
  <si>
    <t>Via Lucio Domizio Aureliano 12</t>
  </si>
  <si>
    <t>danilo.maccari@gmail.com</t>
  </si>
  <si>
    <t>Sacchi Fernanda</t>
  </si>
  <si>
    <t>Aureliano 9</t>
  </si>
  <si>
    <t>B&amp;B Terrazza Sul Mare</t>
  </si>
  <si>
    <t>Via Marzabotto 12</t>
  </si>
  <si>
    <t>mei-pla1965@hotmail.it</t>
  </si>
  <si>
    <t>B&amp;B A 2 Passi</t>
  </si>
  <si>
    <t>Via Del Ponte 15</t>
  </si>
  <si>
    <t>breakaduepassi@gmail.com</t>
  </si>
  <si>
    <t>Villa Giulia</t>
  </si>
  <si>
    <t>www.relaisvillagiulia.com</t>
  </si>
  <si>
    <t>info@relaisvillagiulia.com</t>
  </si>
  <si>
    <t>Elisabeth Due</t>
  </si>
  <si>
    <t>Piazzale Amendola 2</t>
  </si>
  <si>
    <t>www.hotelelisabethdue.it</t>
  </si>
  <si>
    <t>info@hotelelisabethdue.it</t>
  </si>
  <si>
    <t>B&amp;B Verdazzurro Di Filippetti Elisabetta</t>
  </si>
  <si>
    <t>Via Poggi 17</t>
  </si>
  <si>
    <t>www.bnbverdazzurro.it</t>
  </si>
  <si>
    <t>info@bnbverdazzurro.it</t>
  </si>
  <si>
    <t>Bencivenni Cesare</t>
  </si>
  <si>
    <t>Via Bellavista 1</t>
  </si>
  <si>
    <t>cesarebencivenni@tiscali.it</t>
  </si>
  <si>
    <t>Biondi Agnese</t>
  </si>
  <si>
    <t>Via Snass 447</t>
  </si>
  <si>
    <t>B&amp;B Al Villino Del Sole</t>
  </si>
  <si>
    <t>Via Loc.Chiaruccia 78</t>
  </si>
  <si>
    <t>www.alvillinodelsole.it</t>
  </si>
  <si>
    <t>info@alvillinodelsole.it</t>
  </si>
  <si>
    <t>Albergo Euro</t>
  </si>
  <si>
    <t>Via Delle Brecce 25</t>
  </si>
  <si>
    <t>www.campingmadonnaponte.it</t>
  </si>
  <si>
    <t>info@campingmadonnaponte.it</t>
  </si>
  <si>
    <t>Camping Madonna Ponte</t>
  </si>
  <si>
    <t>B&amp;B La Casa Di Fano</t>
  </si>
  <si>
    <t>Corso Matteotti 173</t>
  </si>
  <si>
    <t>info@lacasadifano.it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</si>
  <si>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</si>
  <si>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</si>
  <si>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</si>
  <si>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</si>
  <si>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</si>
  <si>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Menaccini Diego</t>
  </si>
  <si>
    <t>Via Nazario Sauro 22</t>
  </si>
  <si>
    <t>Bencivenni Sofia</t>
  </si>
  <si>
    <t>Villa Augusta</t>
  </si>
  <si>
    <t>Localita' San Biagio 43</t>
  </si>
  <si>
    <t>villa.augusta.fano@gmail.com</t>
  </si>
  <si>
    <t>B&amp;B Mery'S House</t>
  </si>
  <si>
    <t>Viale Romagna 28</t>
  </si>
  <si>
    <t>www.meyhouse.it</t>
  </si>
  <si>
    <t>maria.arias@hotmail.it</t>
  </si>
  <si>
    <t>Montanari Leonello</t>
  </si>
  <si>
    <t>Via Faa Di Bruno 118</t>
  </si>
  <si>
    <t>Il Colle Delle Terrazze</t>
  </si>
  <si>
    <t>Via Roncosambaccio 118</t>
  </si>
  <si>
    <t>Roncosambaccio</t>
  </si>
  <si>
    <t>mchiaragiovanetti@gmail.com</t>
  </si>
  <si>
    <t>Furlani Magda</t>
  </si>
  <si>
    <t>Via Nazario Sauro Snc</t>
  </si>
  <si>
    <t>magdalenafurlani@gmail.com</t>
  </si>
  <si>
    <t>B&amp;B Villino Elisabetta</t>
  </si>
  <si>
    <t>Abruzzi  4</t>
  </si>
  <si>
    <t>carmar@gmail.com</t>
  </si>
  <si>
    <t>B&amp;B Vitruvio</t>
  </si>
  <si>
    <t>Piazza Amiani  4</t>
  </si>
  <si>
    <t>iantognozzi72@gmail.com</t>
  </si>
  <si>
    <t>Sotto Le Stelle</t>
  </si>
  <si>
    <t>Ix Strada  34</t>
  </si>
  <si>
    <t>bb.sottolestelle@gmail.com</t>
  </si>
  <si>
    <t>Omiccioli Alessandro</t>
  </si>
  <si>
    <t>Via G.Fattori 3</t>
  </si>
  <si>
    <t>aleomiccioli@alice.it</t>
  </si>
  <si>
    <t>B&amp;B La Cardinella</t>
  </si>
  <si>
    <t>Localita' Fenile 11/A</t>
  </si>
  <si>
    <t>www.lacardinella.it</t>
  </si>
  <si>
    <t>info@lacardinella.it</t>
  </si>
  <si>
    <t>B&amp;B A Casa Di Ernesto</t>
  </si>
  <si>
    <t>Via Guarnieri 7</t>
  </si>
  <si>
    <t>acasadiernesto.fano@gmail.com</t>
  </si>
  <si>
    <t>Quattro Stagioni</t>
  </si>
  <si>
    <t>Via Caminate 75</t>
  </si>
  <si>
    <t>ramonanecsoi@gmail.com</t>
  </si>
  <si>
    <t>B&amp;B Il Giardino Ritrovato</t>
  </si>
  <si>
    <t>Via Vi Strada 40</t>
  </si>
  <si>
    <t>Bellocchi Di Fano</t>
  </si>
  <si>
    <t>info@ilgiardinoritrovato.it</t>
  </si>
  <si>
    <t>B&amp;B Cavalier Gentile</t>
  </si>
  <si>
    <t>Via Cavalier Gentile 161</t>
  </si>
  <si>
    <t>www.cavaliergentile.it</t>
  </si>
  <si>
    <t>info@cavaliergentile.it</t>
  </si>
  <si>
    <t>B&amp;B Greta</t>
  </si>
  <si>
    <t>Loc. Carignano 57</t>
  </si>
  <si>
    <t>giovannigiommi@alice.it</t>
  </si>
  <si>
    <t>B&amp;B Le Quattro Stagioni</t>
  </si>
  <si>
    <t>bblequattrostagioni@gmail.com</t>
  </si>
  <si>
    <t>Biagiotti Eugenio (136/B)</t>
  </si>
  <si>
    <t>Oliva Giulia</t>
  </si>
  <si>
    <t>Trento 13</t>
  </si>
  <si>
    <t>luigicanestrari49@gmail.com</t>
  </si>
  <si>
    <t>Biagiotti Evelina</t>
  </si>
  <si>
    <t>Biagiotti Patrizia</t>
  </si>
  <si>
    <t>Via Dei Mandorli 1</t>
  </si>
  <si>
    <t>gest-service@pec.it</t>
  </si>
  <si>
    <t>Nardini Bruno</t>
  </si>
  <si>
    <t>Via Vanvitelli 27</t>
  </si>
  <si>
    <t>B&amp;B Sant'Andrea</t>
  </si>
  <si>
    <t>Via Sant'Andrea 50</t>
  </si>
  <si>
    <t>S. Andrea In Villis</t>
  </si>
  <si>
    <t>www.santandreabb.it</t>
  </si>
  <si>
    <t>info@santandreabb.it</t>
  </si>
  <si>
    <t>Fiorelli Attilio</t>
  </si>
  <si>
    <t>Viale Trieste 4</t>
  </si>
  <si>
    <t>Cicerchia Maria (11)</t>
  </si>
  <si>
    <t>Via Trieste 11</t>
  </si>
  <si>
    <t>Canestrari Franco</t>
  </si>
  <si>
    <t>Via Nigusanti E Viale Primo Maggio 25/41</t>
  </si>
  <si>
    <t>canestrari89@hotmail.it</t>
  </si>
  <si>
    <t>Orciani Marsino</t>
  </si>
  <si>
    <t>Via Trieste 10</t>
  </si>
  <si>
    <t>Mancinelli Serenella</t>
  </si>
  <si>
    <t>Via L. D. Aureliano 17</t>
  </si>
  <si>
    <t>serimancinelli31@gmail.com</t>
  </si>
  <si>
    <t>Iacchini Isabella</t>
  </si>
  <si>
    <t>Via Giacomo Puccini 18</t>
  </si>
  <si>
    <t>biagiotti.giacomo@gmail.com</t>
  </si>
  <si>
    <t>Crestini Gianfrancesco</t>
  </si>
  <si>
    <t>Via Del Pietrisco 30</t>
  </si>
  <si>
    <t>Biagiotti Giacomo</t>
  </si>
  <si>
    <t>Via Giacomo Puccini 14/A</t>
  </si>
  <si>
    <t>Borgogelli Ottaviani Marco</t>
  </si>
  <si>
    <t>Vicolo Alavolini 9</t>
  </si>
  <si>
    <t>borgomarco@libero.it</t>
  </si>
  <si>
    <t>Bettini Maria Luisa</t>
  </si>
  <si>
    <t>Via Nazario Sauro 266/B</t>
  </si>
  <si>
    <t>goffredodonini@katamail.com</t>
  </si>
  <si>
    <t>Dellasanta Massimo</t>
  </si>
  <si>
    <t>Via Cavazzotti 7</t>
  </si>
  <si>
    <t>massimo.dellasanta@libero.it</t>
  </si>
  <si>
    <t>Vitali Carmen</t>
  </si>
  <si>
    <t>Via Dei Mille  15/A Pu</t>
  </si>
  <si>
    <t>vitali1952@gmail.com</t>
  </si>
  <si>
    <t>Hotel Sole Resort</t>
  </si>
  <si>
    <t>Via Faa' Di Bruno 103</t>
  </si>
  <si>
    <t>www.hotelsole-marotta.it</t>
  </si>
  <si>
    <t>info@hotelsole-marotta.it</t>
  </si>
  <si>
    <t>Il Grecale 2</t>
  </si>
  <si>
    <t>Via Snas  461</t>
  </si>
  <si>
    <t>Ponte Sasso</t>
  </si>
  <si>
    <t>c.vitali62@gmail.com</t>
  </si>
  <si>
    <t>Il Grecale</t>
  </si>
  <si>
    <t>Via Sas 459</t>
  </si>
  <si>
    <t>Magrini Ines</t>
  </si>
  <si>
    <t>Via Della Marina 34</t>
  </si>
  <si>
    <t>ghinocelani@email.it</t>
  </si>
  <si>
    <t>Gasparoni Luigi App.To Via De Gasperi 18</t>
  </si>
  <si>
    <t>Via De Gasperi 18</t>
  </si>
  <si>
    <t>Esposito Mariachiara</t>
  </si>
  <si>
    <t>Viale Romagna 45</t>
  </si>
  <si>
    <t>telematico@renierassociati.com</t>
  </si>
  <si>
    <t>Curina Paola</t>
  </si>
  <si>
    <t>Via Campioni 3</t>
  </si>
  <si>
    <t>giolun70@gmail.com</t>
  </si>
  <si>
    <t>Primavera Mariella</t>
  </si>
  <si>
    <t>Via Raffaele Jozzino 1</t>
  </si>
  <si>
    <t>mariellaboiani@yahoo.it</t>
  </si>
  <si>
    <t>Islamorada Dog-Beach</t>
  </si>
  <si>
    <t>Via Faa Di Bruno Sn</t>
  </si>
  <si>
    <t>www.islamorada.it</t>
  </si>
  <si>
    <t>info@islamorada.it</t>
  </si>
  <si>
    <t>Bonanomi Greta</t>
  </si>
  <si>
    <t>Via Caminate 31</t>
  </si>
  <si>
    <t>bbtanadellupo@gmail.com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</si>
  <si>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</si>
  <si>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</si>
  <si>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</si>
  <si>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</si>
  <si>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</si>
  <si>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</si>
  <si>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</si>
  <si>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</si>
  <si>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Biagiotti Ennio (9/13)</t>
  </si>
  <si>
    <t>Via Trieste 9/13</t>
  </si>
  <si>
    <t>Zia Lelly B&amp;B</t>
  </si>
  <si>
    <t>Via Vittorio Veneto 80/B</t>
  </si>
  <si>
    <t>elenapatrizi@gmail.com</t>
  </si>
  <si>
    <t>B&amp;B Casa Sgaria</t>
  </si>
  <si>
    <t>Del Mulino  44</t>
  </si>
  <si>
    <t>Fenile</t>
  </si>
  <si>
    <t>www.casasgaria.it</t>
  </si>
  <si>
    <t>serfetanto@gmail.com</t>
  </si>
  <si>
    <t>Casa Religiosa Di Ospitalita' Maestre Pie Venerini</t>
  </si>
  <si>
    <t>Montevecchio  51</t>
  </si>
  <si>
    <t>maestrepie.venerini1@gmail.com</t>
  </si>
  <si>
    <t>Costanza</t>
  </si>
  <si>
    <t>Martino Da Fano  36</t>
  </si>
  <si>
    <t>Fano Zona Centro</t>
  </si>
  <si>
    <t>schiaroli.luciano@gmail.com</t>
  </si>
  <si>
    <t>Aiudi Alberto</t>
  </si>
  <si>
    <t>Via Gorizia 11</t>
  </si>
  <si>
    <t>aiudisnc@libero.it</t>
  </si>
  <si>
    <t>Spiaggia Dei Talenti</t>
  </si>
  <si>
    <t>ilgermogliocooperativa@gmail.com</t>
  </si>
  <si>
    <t>La Darsena</t>
  </si>
  <si>
    <t>Via Nazario Sauro 24</t>
  </si>
  <si>
    <t>daquinox@libero.it</t>
  </si>
  <si>
    <t>Santini Serenella App.To 212/A</t>
  </si>
  <si>
    <t>Ss. Adriatica Sud 212/A</t>
  </si>
  <si>
    <t>Santini Serenella App.To 212/B</t>
  </si>
  <si>
    <t>Ss. Adriatica Sud 212/B</t>
  </si>
  <si>
    <t>Santini Serenella App.To 212/C</t>
  </si>
  <si>
    <t>Ss. Adriatica Sud 212/C</t>
  </si>
  <si>
    <t>Santini Serenella App.To 210/B</t>
  </si>
  <si>
    <t>Ss. Adriatica Sud 210/B</t>
  </si>
  <si>
    <t>Santini Serenella App.To 210/A</t>
  </si>
  <si>
    <t>Ss. Adriatica Sud  210/A</t>
  </si>
  <si>
    <t>Santini Serenella App.To 210/C</t>
  </si>
  <si>
    <t>Ss. Adriatica Sud  210/C</t>
  </si>
  <si>
    <t>Sciplino Maria Teresa</t>
  </si>
  <si>
    <t>Vicolo Alavolini 6</t>
  </si>
  <si>
    <t>m.teresasciplino@virgilio.it</t>
  </si>
  <si>
    <t>Agriturismo Pettirosso</t>
  </si>
  <si>
    <t>Loc. Madonna Ponte 89/A</t>
  </si>
  <si>
    <t>http://www.agriturismopettirosso.it/</t>
  </si>
  <si>
    <t>info@agriturismopettirosso.it</t>
  </si>
  <si>
    <t>B&amp;B Il Tiglio</t>
  </si>
  <si>
    <t>Via Luciano Manara 23</t>
  </si>
  <si>
    <t>iltigliofano.altervista.org</t>
  </si>
  <si>
    <t>bbiltiglio@libero.it</t>
  </si>
  <si>
    <t>Villa Mauro Mare</t>
  </si>
  <si>
    <t>Via A. Cappellini 58-60</t>
  </si>
  <si>
    <t>info@villamaurosanmartino.it</t>
  </si>
  <si>
    <t>Verna Stefano</t>
  </si>
  <si>
    <t>Via Adriatico 108</t>
  </si>
  <si>
    <t>Vernelli Alessia</t>
  </si>
  <si>
    <t>Via Buonincontri 19</t>
  </si>
  <si>
    <t>Da Quinta</t>
  </si>
  <si>
    <t>Via Adriatico 42</t>
  </si>
  <si>
    <t>www.trattorialaquinta.com</t>
  </si>
  <si>
    <t>rengababy@gmail.com</t>
  </si>
  <si>
    <t>Al Colle San Giovanni</t>
  </si>
  <si>
    <t>Strada Comunale Di Montegiove 104</t>
  </si>
  <si>
    <t>serefabiani@libero.it</t>
  </si>
  <si>
    <t>Affittacamere Oasi</t>
  </si>
  <si>
    <t>Via Belsito 17</t>
  </si>
  <si>
    <t>hotel.oasi@gostec.net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</si>
  <si>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</si>
  <si>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</si>
  <si>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</si>
  <si>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</si>
  <si>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</si>
  <si>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</si>
  <si>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Metaurilia - Fano</t>
  </si>
  <si>
    <t>Bagni Ermete Di Glori Maurizio</t>
  </si>
  <si>
    <t>Via Stelle Di Mare 1 1</t>
  </si>
  <si>
    <t>Il Lido Delle Palme Di Battisti Francesca &amp; C. S.N.C.</t>
  </si>
  <si>
    <t>Via Cappellini 1 1</t>
  </si>
  <si>
    <t>Spiaggia Dei Gabbiani Di Stafoggia Walter</t>
  </si>
  <si>
    <t>Via Lucio Domizio Aureliano 1 1</t>
  </si>
  <si>
    <t>Bagni Peppe Di Tarini Giuseppe</t>
  </si>
  <si>
    <t>Viale Adriatico 1 1</t>
  </si>
  <si>
    <t>info@bagnipeppe.it</t>
  </si>
  <si>
    <t>www.bagnipeppe.it</t>
  </si>
  <si>
    <t>Bagni Maurizio Di Gabbianelli Iride</t>
  </si>
  <si>
    <t>info@bagnimaurizio.it</t>
  </si>
  <si>
    <t>www.bagnimaurizio.it</t>
  </si>
  <si>
    <t>Astoria Gourmet &amp; Relax</t>
  </si>
  <si>
    <t>Viale Cairoli 86</t>
  </si>
  <si>
    <t>www.hotelastoriafano.it</t>
  </si>
  <si>
    <t>info@hotelastoriafano.it</t>
  </si>
  <si>
    <t>Kendwa Beach Di Cursi Massimo</t>
  </si>
  <si>
    <t>Via Della Baia 1 1</t>
  </si>
  <si>
    <t>Bagni Gabriele Di Barbini Gabriele</t>
  </si>
  <si>
    <t>Bagni Alda Di Mastrogiacomi Marco</t>
  </si>
  <si>
    <t>Via Faa' Di Bruno 1 1</t>
  </si>
  <si>
    <t>info@bagnialda.it</t>
  </si>
  <si>
    <t>Bagni Torrette Di Mandolini Mauro E Marco</t>
  </si>
  <si>
    <t>Blu Beach</t>
  </si>
  <si>
    <t>Strada Nazionale Adriatica Sud 203 203</t>
  </si>
  <si>
    <t>Bagni Camping Metauro</t>
  </si>
  <si>
    <t>Via Buonincontri 1 1</t>
  </si>
  <si>
    <t>Bagni Ermes Di Zagaglia Ermes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</si>
  <si>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</si>
  <si>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</si>
  <si>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</si>
  <si>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</si>
  <si>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</si>
  <si>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</si>
  <si>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</si>
  <si>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</si>
  <si>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Fosso Sejore - Fano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</si>
  <si>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</si>
  <si>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</si>
  <si>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</si>
  <si>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</si>
  <si>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</si>
  <si>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</si>
  <si>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</si>
  <si>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</si>
  <si>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</si>
  <si>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</si>
  <si>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</si>
  <si>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</si>
  <si>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</si>
  <si>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</si>
  <si>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</si>
  <si>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</si>
  <si>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</si>
  <si>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</si>
  <si>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Via A.Cappellini 58/A</t>
  </si>
  <si>
    <t>Camping Stella Maris Di Tarsi Amedeo</t>
  </si>
  <si>
    <t>Bagni Lory Di Casagrande Bacchiocchi Fabio</t>
  </si>
  <si>
    <t>Via Cappellini 21 21</t>
  </si>
  <si>
    <t>Bagni Crida Di Bartolucci Paolo E Davide</t>
  </si>
  <si>
    <t>Via Delle Nasse 1 1</t>
  </si>
  <si>
    <t>Bagni Soleado Di Diotallevi Davide &amp; C.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</si>
  <si>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</si>
  <si>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</si>
  <si>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</si>
  <si>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</si>
  <si>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</si>
  <si>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</si>
  <si>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</si>
  <si>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</si>
  <si>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</si>
  <si>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Bagni Sergio Di Ciavaglia Adamo</t>
  </si>
  <si>
    <t>Ca' Dorale</t>
  </si>
  <si>
    <t>Localita' Fenile 81</t>
  </si>
  <si>
    <t>www.agriturismocadorale.it</t>
  </si>
  <si>
    <t>cadorale@gmail.com</t>
  </si>
  <si>
    <t>Via Ticino T 1 D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</si>
  <si>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</si>
  <si>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</si>
  <si>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</si>
  <si>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</si>
  <si>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</si>
  <si>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</si>
  <si>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</si>
  <si>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</si>
  <si>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</si>
  <si>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</si>
  <si>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</si>
  <si>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</si>
  <si>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</si>
  <si>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</si>
  <si>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</si>
  <si>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</si>
  <si>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</si>
  <si>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</si>
  <si>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</si>
  <si>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</si>
  <si>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</si>
  <si>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B&amp;B A Casa Da Matilde</t>
  </si>
  <si>
    <t>www.acasadamatilde.it</t>
  </si>
  <si>
    <t>info@acasadamatilde.it</t>
  </si>
  <si>
    <t>Bagni Franco (Conc. N° 56) Di Gaudenzi Gianfranco</t>
  </si>
  <si>
    <t>Via Snan - Fosso Sejore - Fano 2 2</t>
  </si>
  <si>
    <t>info@bagnifranco.it</t>
  </si>
  <si>
    <t>www.bagnifranco.it</t>
  </si>
  <si>
    <t>Bagni Caravel Di Cuicchi Marino &amp; C. Sas</t>
  </si>
  <si>
    <t>Via Faa' Di Bruno 135 135</t>
  </si>
  <si>
    <t>Marotta Di Fano</t>
  </si>
  <si>
    <t>Bar Spiaggia Dei Fiori</t>
  </si>
  <si>
    <t>spiaggiadeifiori@pec.it</t>
  </si>
  <si>
    <t>Bagni Carmen Di Battisti Leonello E Battistoni Carmen Luisa</t>
  </si>
  <si>
    <t>Bagni Azzurra</t>
  </si>
  <si>
    <t>pinciodes@gmail.com</t>
  </si>
  <si>
    <t>Fantasy Beach Di Tonelli Emanuele</t>
  </si>
  <si>
    <t>Bagni Claudia (Conc. N° 140)</t>
  </si>
  <si>
    <t>Via Cappellini 140 140</t>
  </si>
  <si>
    <t>Bagni Claudia (Conc. N° 17)</t>
  </si>
  <si>
    <t>Via Cappellini 17 17</t>
  </si>
  <si>
    <t>Augustus</t>
  </si>
  <si>
    <t>hotelaugustus.it</t>
  </si>
  <si>
    <t>augustus@hotelaugustus.it</t>
  </si>
  <si>
    <t>La Meta Beach Di Ferri Mauro</t>
  </si>
  <si>
    <t>bastia71@hotmail.com</t>
  </si>
  <si>
    <t>Hotel Playa Principe</t>
  </si>
  <si>
    <t>Bagni Lido 2 Di Franchini Franco (Conc. N° 18)</t>
  </si>
  <si>
    <t>Via C. Simonetti 18 18</t>
  </si>
  <si>
    <t>g.gianca@libero.it</t>
  </si>
  <si>
    <t>Bagni 5 - Tam Tam Beach</t>
  </si>
  <si>
    <t>Via Della Baia 5 5</t>
  </si>
  <si>
    <t>Bagni Elsa Di Tombari Elsa Isola</t>
  </si>
  <si>
    <t>Bagni Lido 1 Di Cecconi Matteo &amp; C. S.N.C. (Conc. N° 235)</t>
  </si>
  <si>
    <t>Via C. Simonetti 235 235</t>
  </si>
  <si>
    <t>Hotel Ruhig Di Cilina Mare Srl</t>
  </si>
  <si>
    <t>Via Faa' Di Bruno 165 165</t>
  </si>
  <si>
    <t>Agriturismo Villa Furlo</t>
  </si>
  <si>
    <t>Loc. Pagino 100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</si>
  <si>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</si>
  <si>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</si>
  <si>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</si>
  <si>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</si>
  <si>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</si>
  <si>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</si>
  <si>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</si>
  <si>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</si>
  <si>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</si>
  <si>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</si>
  <si>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</si>
  <si>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</si>
  <si>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</si>
  <si>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</si>
  <si>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</si>
  <si>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</si>
  <si>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</si>
  <si>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</si>
  <si>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</si>
  <si>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</si>
  <si>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</si>
  <si>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</si>
  <si>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</si>
  <si>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</si>
  <si>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</si>
  <si>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</si>
  <si>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</si>
  <si>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</si>
  <si>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</si>
  <si>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</si>
  <si>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</si>
  <si>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</si>
  <si>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Villa Martina</t>
  </si>
  <si>
    <t>Loc.Zaccagna Snc</t>
  </si>
  <si>
    <t>Localita' Zaccagna</t>
  </si>
  <si>
    <t>villamartina@hotmail.it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</si>
  <si>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</si>
  <si>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</si>
  <si>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</si>
  <si>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</si>
  <si>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</si>
  <si>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</si>
  <si>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</si>
  <si>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</si>
  <si>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</si>
  <si>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</si>
  <si>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</si>
  <si>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</si>
  <si>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</si>
  <si>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</si>
  <si>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</si>
  <si>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</si>
  <si>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</si>
  <si>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</si>
  <si>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</si>
  <si>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</si>
  <si>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</si>
  <si>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</si>
  <si>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</si>
  <si>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Ca' Del Pino</t>
  </si>
  <si>
    <t>Via Degli Orti  1</t>
  </si>
  <si>
    <t>cadelpino@libero.it</t>
  </si>
  <si>
    <t>B&amp;B Garden</t>
  </si>
  <si>
    <t>Via Martin Luther King 35</t>
  </si>
  <si>
    <t>www.bbgarden.it</t>
  </si>
  <si>
    <t>bedandbreakfastgarden@gmail.com</t>
  </si>
  <si>
    <t>B&amp;B La Lanterna</t>
  </si>
  <si>
    <t>Via Lucio Tarunzio 58</t>
  </si>
  <si>
    <t>www.lalanternafermo.it</t>
  </si>
  <si>
    <t>bb@lalanternafermo.it</t>
  </si>
  <si>
    <t>Verde Mare</t>
  </si>
  <si>
    <t>www.centrovacanzeverdemare.it</t>
  </si>
  <si>
    <t>info@centrovacanzeverdemare.it</t>
  </si>
  <si>
    <t>Hotel Royal</t>
  </si>
  <si>
    <t>Viale Enea Silvio Piccolomini 3</t>
  </si>
  <si>
    <t>royal@royalre.it</t>
  </si>
  <si>
    <t>Hotel Lido</t>
  </si>
  <si>
    <t>Via Lungomare Fermano 104</t>
  </si>
  <si>
    <t>stefan130577@yahoo.it</t>
  </si>
  <si>
    <t>Eden</t>
  </si>
  <si>
    <t>Viale Del Lido 51</t>
  </si>
  <si>
    <t>www.hoteledenfermo.it</t>
  </si>
  <si>
    <t>hoteleden@live.it</t>
  </si>
  <si>
    <t>Astoria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</si>
  <si>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</si>
  <si>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</si>
  <si>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</si>
  <si>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</si>
  <si>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</si>
  <si>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</si>
  <si>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</si>
  <si>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</si>
  <si>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</si>
  <si>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</si>
  <si>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</si>
  <si>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</si>
  <si>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</si>
  <si>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</si>
  <si>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</si>
  <si>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</si>
  <si>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</si>
  <si>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</si>
  <si>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</si>
  <si>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</si>
  <si>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</si>
  <si>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</si>
  <si>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</si>
  <si>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</si>
  <si>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</si>
  <si>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</si>
  <si>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</si>
  <si>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</si>
  <si>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</si>
  <si>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B&amp;B La Corte</t>
  </si>
  <si>
    <t>Via Pompeiana 390</t>
  </si>
  <si>
    <t>www.lacortefermo.it</t>
  </si>
  <si>
    <t>info@lacortefermo.it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</si>
  <si>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</si>
  <si>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</si>
  <si>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</si>
  <si>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</si>
  <si>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</si>
  <si>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</si>
  <si>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</si>
  <si>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Belvedere</t>
  </si>
  <si>
    <t>Contrada Cantagallo 16</t>
  </si>
  <si>
    <t>Villa Il Cannone</t>
  </si>
  <si>
    <t>Via Dei Palmensi   108</t>
  </si>
  <si>
    <t>Marina Palmense</t>
  </si>
  <si>
    <t>www.villailcannone.it</t>
  </si>
  <si>
    <t>info@villailcannone.it</t>
  </si>
  <si>
    <t>Il Picchio - Madonnabruna</t>
  </si>
  <si>
    <t>Contrada Camera Di Fermo 100</t>
  </si>
  <si>
    <t>www.madonnabruna.it</t>
  </si>
  <si>
    <t>azienda@madonnabruna.it</t>
  </si>
  <si>
    <t>Levandara</t>
  </si>
  <si>
    <t>C.Da Lavandara  9</t>
  </si>
  <si>
    <t>levandara.it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</si>
  <si>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</si>
  <si>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</si>
  <si>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</si>
  <si>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</si>
  <si>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</si>
  <si>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</si>
  <si>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</si>
  <si>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</si>
  <si>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</si>
  <si>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</si>
  <si>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</si>
  <si>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</si>
  <si>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</si>
  <si>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</si>
  <si>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</si>
  <si>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</si>
  <si>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</si>
  <si>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</si>
  <si>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</si>
  <si>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</si>
  <si>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</si>
  <si>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</si>
  <si>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</si>
  <si>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</si>
  <si>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</si>
  <si>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</si>
  <si>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</si>
  <si>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</si>
  <si>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</si>
  <si>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</si>
  <si>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</si>
  <si>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</si>
  <si>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</si>
  <si>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</si>
  <si>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</si>
  <si>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</si>
  <si>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</si>
  <si>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</si>
  <si>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</si>
  <si>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</si>
  <si>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</si>
  <si>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</si>
  <si>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</si>
  <si>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</si>
  <si>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</si>
  <si>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</si>
  <si>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</si>
  <si>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</si>
  <si>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</si>
  <si>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</si>
  <si>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Rio Ete</t>
  </si>
  <si>
    <t>Contrada San Girolamo 1</t>
  </si>
  <si>
    <t>Tre Archi</t>
  </si>
  <si>
    <t>Via Ugo La Malfa 19A</t>
  </si>
  <si>
    <t>www.campingtrearchi.eu</t>
  </si>
  <si>
    <t>info@campingtrearchi.eu</t>
  </si>
  <si>
    <t>Villa Lattanzi</t>
  </si>
  <si>
    <t>C.Da Cugnolo 19</t>
  </si>
  <si>
    <t>Loc.Torre Di Palme</t>
  </si>
  <si>
    <t>www.villalattanzi.it</t>
  </si>
  <si>
    <t>info@villalattanzi.it</t>
  </si>
  <si>
    <t>Residence Casabianca</t>
  </si>
  <si>
    <t>www.residencecasabianca.eu</t>
  </si>
  <si>
    <t>info@residencecasabianca.eu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</si>
  <si>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</si>
  <si>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</si>
  <si>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</si>
  <si>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</si>
  <si>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</si>
  <si>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</si>
  <si>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</si>
  <si>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</si>
  <si>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</si>
  <si>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</si>
  <si>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</si>
  <si>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</si>
  <si>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</si>
  <si>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</si>
  <si>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</si>
  <si>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</si>
  <si>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</si>
  <si>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</si>
  <si>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</si>
  <si>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</si>
  <si>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</si>
  <si>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</si>
  <si>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</si>
  <si>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</si>
  <si>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</si>
  <si>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</si>
  <si>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Lido Di Fermo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</si>
  <si>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</si>
  <si>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</si>
  <si>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</si>
  <si>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</si>
  <si>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</si>
  <si>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</si>
  <si>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</si>
  <si>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</si>
  <si>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</si>
  <si>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</si>
  <si>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</si>
  <si>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</si>
  <si>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</si>
  <si>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</si>
  <si>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</si>
  <si>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</si>
  <si>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</si>
  <si>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</si>
  <si>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</si>
  <si>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</si>
  <si>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</si>
  <si>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</si>
  <si>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</si>
  <si>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</si>
  <si>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</si>
  <si>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</si>
  <si>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</si>
  <si>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</si>
  <si>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</si>
  <si>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</si>
  <si>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</si>
  <si>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</si>
  <si>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</si>
  <si>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L'Orologio</t>
  </si>
  <si>
    <t>Via Dell'Università 5</t>
  </si>
  <si>
    <t>remiamg@gmail.com; lorenzoluciani@tin.it</t>
  </si>
  <si>
    <t>B&amp;B Il Corso</t>
  </si>
  <si>
    <t>C.So Cefalonia 51</t>
  </si>
  <si>
    <t>B&amp;B Mozzorecchia Marino</t>
  </si>
  <si>
    <t>Via Paludi 409</t>
  </si>
  <si>
    <t>info@mariomozzorecchia.it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</si>
  <si>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</si>
  <si>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</si>
  <si>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</si>
  <si>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</si>
  <si>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</si>
  <si>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</si>
  <si>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</si>
  <si>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</si>
  <si>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</si>
  <si>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</si>
  <si>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</si>
  <si>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</si>
  <si>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</si>
  <si>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</si>
  <si>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</si>
  <si>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</si>
  <si>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</si>
  <si>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</si>
  <si>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</si>
  <si>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</si>
  <si>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</si>
  <si>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</si>
  <si>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</si>
  <si>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</si>
  <si>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</si>
  <si>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</si>
  <si>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</si>
  <si>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</si>
  <si>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</si>
  <si>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</si>
  <si>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</si>
  <si>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</si>
  <si>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</si>
  <si>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</si>
  <si>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</si>
  <si>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</si>
  <si>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</si>
  <si>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</si>
  <si>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</si>
  <si>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</si>
  <si>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</si>
  <si>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</si>
  <si>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</si>
  <si>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</si>
  <si>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</si>
  <si>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</si>
  <si>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</si>
  <si>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</si>
  <si>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</si>
  <si>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Mario</t>
  </si>
  <si>
    <t>Riva Dei Pini</t>
  </si>
  <si>
    <t>Via Lungomare Fermano  4</t>
  </si>
  <si>
    <t>www.rivadeipini.it</t>
  </si>
  <si>
    <t>info@rivadeipini.it</t>
  </si>
  <si>
    <t>B&amp;B Fermo Storica</t>
  </si>
  <si>
    <t>Cesare Battisti 14</t>
  </si>
  <si>
    <t>www.fermostorica.com</t>
  </si>
  <si>
    <t>info@fermostorica.com</t>
  </si>
  <si>
    <t>Agriturismo Monterosato</t>
  </si>
  <si>
    <t>C.Da Lavandara 7</t>
  </si>
  <si>
    <t>fbertone@gmail.com</t>
  </si>
  <si>
    <t>Uliveto</t>
  </si>
  <si>
    <t>Contrada San Girolamo 121</t>
  </si>
  <si>
    <t>B&amp;B Palazzo Romani Adami</t>
  </si>
  <si>
    <t>Corso Cavour 94</t>
  </si>
  <si>
    <t>www.palazzoromaniadami.com</t>
  </si>
  <si>
    <t>info@palazzoromaniadami.com</t>
  </si>
  <si>
    <t>La Chiave Di Violino</t>
  </si>
  <si>
    <t>Via Dell'Università 14</t>
  </si>
  <si>
    <t>valentina_giostra@libero.it</t>
  </si>
  <si>
    <t>Prima Colonna Del Loggiato</t>
  </si>
  <si>
    <t>Piazza Del Popolo 9</t>
  </si>
  <si>
    <t>www.primacolonna.it</t>
  </si>
  <si>
    <t>luzi.francesco@gmail.com</t>
  </si>
  <si>
    <t>Centro Vacanze Camping Spinnaker</t>
  </si>
  <si>
    <t>Via Giovanni Campofiloni 24</t>
  </si>
  <si>
    <t>www.vacanzespinnaker.it</t>
  </si>
  <si>
    <t>info@vacanzespinnaker.it</t>
  </si>
  <si>
    <t>Patrizia Room</t>
  </si>
  <si>
    <t>Via Della Carriera 26</t>
  </si>
  <si>
    <t>patlibe66@vodafone.it</t>
  </si>
  <si>
    <t>Casa Vacanze Borgo Casal Cristiana</t>
  </si>
  <si>
    <t>Contrada Cugnolo 16</t>
  </si>
  <si>
    <t>Torre Di Palme</t>
  </si>
  <si>
    <t>www.homeholidaymarche.com</t>
  </si>
  <si>
    <t>borghiantichi.srl@gmail.com</t>
  </si>
  <si>
    <t>B&amp;B Crivelli</t>
  </si>
  <si>
    <t>Via Duca D'Aosta 2</t>
  </si>
  <si>
    <t>mtbtorre@tiscalinet.it</t>
  </si>
  <si>
    <t>B&amp;B La Corte Uno</t>
  </si>
  <si>
    <t>B&amp;B Montanini Roberto</t>
  </si>
  <si>
    <t>Contrada San Martino 95</t>
  </si>
  <si>
    <t>Porta Santa Lucia</t>
  </si>
  <si>
    <t>Corso Marconi 48</t>
  </si>
  <si>
    <t>www.portasantaluciafermo.it</t>
  </si>
  <si>
    <t>pina.rubinetti@gmail.com</t>
  </si>
  <si>
    <t>B&amp;B Antica Biblioteca Di Michele Bernetti Evangelista</t>
  </si>
  <si>
    <t>Goffredo Mameli  5</t>
  </si>
  <si>
    <t>bernettiev@gmail.com</t>
  </si>
  <si>
    <t>L'Uliveto</t>
  </si>
  <si>
    <t>Via San Girolamo  70</t>
  </si>
  <si>
    <t>Il Terrazzino</t>
  </si>
  <si>
    <t>Via Del Molino 17</t>
  </si>
  <si>
    <t>www.ilterrazzino.wordpress.com</t>
  </si>
  <si>
    <t>ilterrazzinobb@gmail.com</t>
  </si>
  <si>
    <t>Palmensis Hotel Residence</t>
  </si>
  <si>
    <t>Via Stazione  56</t>
  </si>
  <si>
    <t>info@palmensis.it</t>
  </si>
  <si>
    <t>B&amp;B Gli Alberelli</t>
  </si>
  <si>
    <t>C.Da Paludi 344</t>
  </si>
  <si>
    <t>renren_2@libero.it</t>
  </si>
  <si>
    <t>B&amp;B A Casa Di Ilaria</t>
  </si>
  <si>
    <t>Via Ciccolungo 102</t>
  </si>
  <si>
    <t>assuntam51@libero.it</t>
  </si>
  <si>
    <t>B&amp;B Suite Spa</t>
  </si>
  <si>
    <t>Via A. Diaz 64</t>
  </si>
  <si>
    <t>gismondimassimiliano@gmail.com</t>
  </si>
  <si>
    <t>B&amp;B Casa Capponi</t>
  </si>
  <si>
    <t>Piazza Sereni 2</t>
  </si>
  <si>
    <t>se.capponi@gmail.com</t>
  </si>
  <si>
    <t>B&amp;B Piazzetta</t>
  </si>
  <si>
    <t>Corso Marconi 9</t>
  </si>
  <si>
    <t>tizianagrillo@micso.it</t>
  </si>
  <si>
    <t>B&amp;B Berkovits</t>
  </si>
  <si>
    <t>Via San Biagio 8</t>
  </si>
  <si>
    <t>andrea.gallucci1@geopec.it</t>
  </si>
  <si>
    <t>B&amp;B Il Fico Gentile</t>
  </si>
  <si>
    <t>C/Da Fontana Ii 21</t>
  </si>
  <si>
    <t>www.ilficogentile.it</t>
  </si>
  <si>
    <t>danidea.cellamare@gmail.com</t>
  </si>
  <si>
    <t>Coleffi Maria Vittoria</t>
  </si>
  <si>
    <t>Preziotti 7</t>
  </si>
  <si>
    <t>giuseppe@mediapixel.it</t>
  </si>
  <si>
    <t>Pascali Tea</t>
  </si>
  <si>
    <t>Via Mazzini 13</t>
  </si>
  <si>
    <t>thea.pascali@libero.it</t>
  </si>
  <si>
    <t>B&amp;B Il Ponte Di Legno</t>
  </si>
  <si>
    <t>Via Noce 6</t>
  </si>
  <si>
    <t>em.dangelo@libero.it</t>
  </si>
  <si>
    <t>B&amp;B Vista Sul Mare</t>
  </si>
  <si>
    <t>C.Da Abbadetta Ss 16 Agro Palmense 5</t>
  </si>
  <si>
    <t>www.vistasulmare.net</t>
  </si>
  <si>
    <t>claudiadelgatto@hotmail.it</t>
  </si>
  <si>
    <t>B&amp;B Maison De Campagne</t>
  </si>
  <si>
    <t>Contrada Salvano 30</t>
  </si>
  <si>
    <t>gigifratta@gmail.com</t>
  </si>
  <si>
    <t>Il Pettirosso</t>
  </si>
  <si>
    <t>C.Da Monterosato 3</t>
  </si>
  <si>
    <t>Fiore Di Campo</t>
  </si>
  <si>
    <t>Contrada Montone 124</t>
  </si>
  <si>
    <t>www.fioredicampo.com/</t>
  </si>
  <si>
    <t>info@fioredicampo.com</t>
  </si>
  <si>
    <t>Agriturismo Serena</t>
  </si>
  <si>
    <t>Contrada Ete 41</t>
  </si>
  <si>
    <t>www.agriturismoserena.it</t>
  </si>
  <si>
    <t>info@agriturismoserena.it</t>
  </si>
  <si>
    <t>B&amp;B Villa Rondanella</t>
  </si>
  <si>
    <t>www.villarondanella.it</t>
  </si>
  <si>
    <t>info@villarondanella.it</t>
  </si>
  <si>
    <t>Contrada Marina Palmense 1</t>
  </si>
  <si>
    <t>www.campinggirasole.it</t>
  </si>
  <si>
    <t>booking@campinggirasole.it</t>
  </si>
  <si>
    <t>Castura' Tommaso. I Tre Fratelli</t>
  </si>
  <si>
    <t>Hotel Lido - Big Fisch</t>
  </si>
  <si>
    <t>Via Lungomare Fermano 1 1</t>
  </si>
  <si>
    <t>Chalet Ondina</t>
  </si>
  <si>
    <t>Sombrero</t>
  </si>
  <si>
    <t>Mauna Loa</t>
  </si>
  <si>
    <t>Paradise Beach</t>
  </si>
  <si>
    <t>Chalet Papillon - Bagni Anna</t>
  </si>
  <si>
    <t>Il Re Del Sole - South Bach</t>
  </si>
  <si>
    <t>Chalet Rivazzurra</t>
  </si>
  <si>
    <t>Chalet Il Grillo</t>
  </si>
  <si>
    <t>mirella.santanafessa@alice.it</t>
  </si>
  <si>
    <t>www.agriturismolacollinadeiciliegi.it</t>
  </si>
  <si>
    <t>info@agriturismolacollinadeiciliegi.it</t>
  </si>
  <si>
    <t>Chalet Malu'</t>
  </si>
  <si>
    <t>Chalet Dadi'</t>
  </si>
  <si>
    <t>Chalet Kinghino</t>
  </si>
  <si>
    <t>Nove Nove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</si>
  <si>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</si>
  <si>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</si>
  <si>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</si>
  <si>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</si>
  <si>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</si>
  <si>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</si>
  <si>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</si>
  <si>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Visi Nicolina</t>
  </si>
  <si>
    <t>Onda Verde</t>
  </si>
  <si>
    <t>Usodimare (Lungomare Fermano) S/N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</si>
  <si>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</si>
  <si>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</si>
  <si>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</si>
  <si>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</si>
  <si>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</si>
  <si>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</si>
  <si>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</si>
  <si>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</si>
  <si>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</si>
  <si>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</si>
  <si>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Residence Criro'</t>
  </si>
  <si>
    <t>Via Delle Scienze 4</t>
  </si>
  <si>
    <t>Localita' Marina Palmense</t>
  </si>
  <si>
    <t>www.residencecriro.it</t>
  </si>
  <si>
    <t>info@residencecriro.it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</si>
  <si>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</si>
  <si>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</si>
  <si>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</si>
  <si>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</si>
  <si>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</si>
  <si>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</si>
  <si>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</si>
  <si>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</si>
  <si>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</si>
  <si>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</si>
  <si>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</si>
  <si>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</si>
  <si>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</si>
  <si>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</si>
  <si>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</si>
  <si>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</si>
  <si>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</si>
  <si>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Locanda Del Torchietto Di Nicolini Patrizia</t>
  </si>
  <si>
    <t>C.Da Girola 11</t>
  </si>
  <si>
    <t>www.locandadeltorchietto.com</t>
  </si>
  <si>
    <t>info@locandadeltorchietto.com</t>
  </si>
  <si>
    <t>Leli Fiorenzo</t>
  </si>
  <si>
    <t>Via Circonvallazione Del Lago 19</t>
  </si>
  <si>
    <t>osteriadellago19@gmail.com</t>
  </si>
  <si>
    <t>La Ro.Sa.</t>
  </si>
  <si>
    <t>Via San Lorenzo In Colpolina 21</t>
  </si>
  <si>
    <t>www.larosabeb.it</t>
  </si>
  <si>
    <t>sabrina.sim@tiscali.it</t>
  </si>
  <si>
    <t>B&amp;B Belvedere Sul Lago</t>
  </si>
  <si>
    <t>Via Ruffella 2</t>
  </si>
  <si>
    <t>a-merlini@libero.it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</si>
  <si>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</si>
  <si>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</si>
  <si>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</si>
  <si>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</si>
  <si>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</si>
  <si>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</si>
  <si>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</si>
  <si>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</si>
  <si>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</si>
  <si>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</si>
  <si>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</si>
  <si>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</si>
  <si>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Casa Mameli</t>
  </si>
  <si>
    <t>Via Paladue 38</t>
  </si>
  <si>
    <t>B&amp;B La Coccinella</t>
  </si>
  <si>
    <t>Via Umberto I 37</t>
  </si>
  <si>
    <t>www.bandblacoccinella.it</t>
  </si>
  <si>
    <t>bandblacoccinella@gmail.com</t>
  </si>
  <si>
    <t>Le Casette</t>
  </si>
  <si>
    <t>Via Sant' Ilario 1</t>
  </si>
  <si>
    <t>Degli Alti Pascoli (5206)</t>
  </si>
  <si>
    <t>Via Sant'Ilario 10</t>
  </si>
  <si>
    <t>www.agriturismodeglialtipascoli.it</t>
  </si>
  <si>
    <t>info@agriturismodeglialtipascoli.it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</si>
  <si>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</si>
  <si>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</si>
  <si>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</si>
  <si>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</si>
  <si>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</si>
  <si>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</si>
  <si>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</si>
  <si>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</si>
  <si>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</si>
  <si>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</si>
  <si>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</si>
  <si>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</si>
  <si>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</si>
  <si>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Degli Alti Pascoli (3481)</t>
  </si>
  <si>
    <t>Via Sant' Ilario 10</t>
  </si>
  <si>
    <t>Agriturismo Due Sorelle</t>
  </si>
  <si>
    <t>Via Chiesa San Martino 6</t>
  </si>
  <si>
    <t>www.due-sorelle.com</t>
  </si>
  <si>
    <t>info@due-sorelle.com</t>
  </si>
  <si>
    <t>Campo Del Rio</t>
  </si>
  <si>
    <t>Frazione Di Rio 8</t>
  </si>
  <si>
    <t>info@campodelrio.it</t>
  </si>
  <si>
    <t>Localita' San Lorenzo Al Lago</t>
  </si>
  <si>
    <t>Country House Lamaddalena</t>
  </si>
  <si>
    <t>Via Storaco 3</t>
  </si>
  <si>
    <t>www.agriturismolamaddalena.com</t>
  </si>
  <si>
    <t>info@agriturismolamaddalena.com</t>
  </si>
  <si>
    <t>Affittacamere F.Lli Rossi</t>
  </si>
  <si>
    <t>Via Dell'Industria  85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</si>
  <si>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</si>
  <si>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</si>
  <si>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</si>
  <si>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</si>
  <si>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</si>
  <si>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</si>
  <si>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</si>
  <si>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</si>
  <si>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</si>
  <si>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</si>
  <si>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</si>
  <si>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</si>
  <si>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</si>
  <si>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</si>
  <si>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</si>
  <si>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</si>
  <si>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</si>
  <si>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</si>
  <si>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</si>
  <si>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</si>
  <si>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</si>
  <si>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</si>
  <si>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</si>
  <si>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</si>
  <si>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</si>
  <si>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</si>
  <si>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</si>
  <si>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</si>
  <si>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</si>
  <si>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</si>
  <si>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</si>
  <si>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Via G. Lapucci Snc</t>
  </si>
  <si>
    <t>Loc.Castello Di Fiordimonte</t>
  </si>
  <si>
    <t>www.bnbilcastello.com</t>
  </si>
  <si>
    <t>bnbilcastello@gmail.com</t>
  </si>
  <si>
    <t>Residence Graziella Di Bottei Maria Grazia</t>
  </si>
  <si>
    <t>Piazzale Della Vittoria 17</t>
  </si>
  <si>
    <t>La Castagna</t>
  </si>
  <si>
    <t>Localita' Castagna 17</t>
  </si>
  <si>
    <t>www.agriturismolacastagna.com</t>
  </si>
  <si>
    <t>mazzalupi.claudio@gmail.com</t>
  </si>
  <si>
    <t>Area Di Sosta Camper Al Ponte</t>
  </si>
  <si>
    <t>Località Colle San Pietro</t>
  </si>
  <si>
    <t>fiuminatavalleapert@libero.it</t>
  </si>
  <si>
    <t>Agriturismo Colle Di Rosa Olivieri</t>
  </si>
  <si>
    <t>Frazione Fonte Di Brescia 3</t>
  </si>
  <si>
    <t>www.agriturismocolle.it</t>
  </si>
  <si>
    <t>rosa_olivieri@libero.it</t>
  </si>
  <si>
    <t>Hotel Villa Pigna</t>
  </si>
  <si>
    <t>Viale Assisi 33</t>
  </si>
  <si>
    <t>www.hotelvillapigna.it</t>
  </si>
  <si>
    <t>reception@hotelvillapigna.it</t>
  </si>
  <si>
    <t>B&amp;B Da Giuliana</t>
  </si>
  <si>
    <t>Piazza Costantino Rozzi 3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</si>
  <si>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</si>
  <si>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</si>
  <si>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</si>
  <si>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</si>
  <si>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</si>
  <si>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</si>
  <si>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</si>
  <si>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Agriturismo Ramuse Di Ciccioli Paolo</t>
  </si>
  <si>
    <t>Localita' Casette 3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</si>
  <si>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</si>
  <si>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</si>
  <si>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</si>
  <si>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</si>
  <si>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</si>
  <si>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</si>
  <si>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</si>
  <si>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</si>
  <si>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</si>
  <si>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</si>
  <si>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</si>
  <si>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</si>
  <si>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</si>
  <si>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</si>
  <si>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</si>
  <si>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</si>
  <si>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</si>
  <si>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</si>
  <si>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</si>
  <si>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</si>
  <si>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</si>
  <si>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</si>
  <si>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Al Lago</t>
  </si>
  <si>
    <t>Parrocchia Cattedrale 124</t>
  </si>
  <si>
    <t>albergoristoranteallago.com</t>
  </si>
  <si>
    <t>info@albergoristoranteallago.com</t>
  </si>
  <si>
    <t>El Gatarel</t>
  </si>
  <si>
    <t>Via Pantaneto 10</t>
  </si>
  <si>
    <t>www.elgatarel.it</t>
  </si>
  <si>
    <t>elgatarel@tiscali.it</t>
  </si>
  <si>
    <t>B&amp;B Al Mulino</t>
  </si>
  <si>
    <t>Via Molino Delle Ginestre 29</t>
  </si>
  <si>
    <t>www.bbalmulino.it</t>
  </si>
  <si>
    <t>info@bbalmulino.it</t>
  </si>
  <si>
    <t>Sant'Aldebrando Bed&amp;Breakfast</t>
  </si>
  <si>
    <t>Via S. Aldebrando 23</t>
  </si>
  <si>
    <t>www.bebsantaldebrando.com</t>
  </si>
  <si>
    <t>info@bebsantaldebrando.com</t>
  </si>
  <si>
    <t>El Mor</t>
  </si>
  <si>
    <t>Via Molino Delle Ginestre 21</t>
  </si>
  <si>
    <t>Ranco</t>
  </si>
  <si>
    <t>in allestimento</t>
  </si>
  <si>
    <t>info.ranco@libero.it</t>
  </si>
  <si>
    <t>B&amp;B Corte Rossa</t>
  </si>
  <si>
    <t>Cesare Battisti 28</t>
  </si>
  <si>
    <t>bbcorterossa@libero.it</t>
  </si>
  <si>
    <t>La Collina Degli Olivi</t>
  </si>
  <si>
    <t>Via Monte Aguzzo  29</t>
  </si>
  <si>
    <t>collinadegliolivi@libero.it</t>
  </si>
  <si>
    <t>B&amp;B Camera Con Vista</t>
  </si>
  <si>
    <t>Via Umberto I 18</t>
  </si>
  <si>
    <t>santisamuele@libero.it</t>
  </si>
  <si>
    <t>Valletarugo Di Paradisi Terenzio</t>
  </si>
  <si>
    <t>Campagna Parrocchia Caspessa 1</t>
  </si>
  <si>
    <t>www.valletarugo.it</t>
  </si>
  <si>
    <t>webmaster@valletarugo.it</t>
  </si>
  <si>
    <t>B&amp;B La Finestra Sul Fiume</t>
  </si>
  <si>
    <t>Via Umberto I  30</t>
  </si>
  <si>
    <t>www.ritarinci.com</t>
  </si>
  <si>
    <t>rita.rinci@gmail.com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</si>
  <si>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</si>
  <si>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</si>
  <si>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</si>
  <si>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</si>
  <si>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</si>
  <si>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</si>
  <si>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</si>
  <si>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</si>
  <si>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</si>
  <si>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</si>
  <si>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</si>
  <si>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</si>
  <si>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Agriturismo Cascina Marianna</t>
  </si>
  <si>
    <t>Via Dei Molini 32</t>
  </si>
  <si>
    <t>Isola Di Fano</t>
  </si>
  <si>
    <t>www.camarianna.it</t>
  </si>
  <si>
    <t>cascinamarianna@hotmail.com</t>
  </si>
  <si>
    <t>La Capinera</t>
  </si>
  <si>
    <t>Localita' San Martino Dei Muri 1</t>
  </si>
  <si>
    <t>www.lacapinera.com</t>
  </si>
  <si>
    <t>info@lacapinera.com</t>
  </si>
  <si>
    <t>B&amp;B Romagnoli Edmeo</t>
  </si>
  <si>
    <t>A. Negri 7</t>
  </si>
  <si>
    <t>bedandbreakfast.romagnoli@gmail.com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</si>
  <si>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</si>
  <si>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</si>
  <si>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</si>
  <si>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</si>
  <si>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</si>
  <si>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</si>
  <si>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</si>
  <si>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</si>
  <si>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Il Colle Dei Ceci</t>
  </si>
  <si>
    <t>C.Da San Sisto 8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</si>
  <si>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</si>
  <si>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</si>
  <si>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</si>
  <si>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</si>
  <si>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</si>
  <si>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</si>
  <si>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</si>
  <si>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Societa' Agricola Fratte Rosa</t>
  </si>
  <si>
    <t>Via Delle Serre 28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</si>
  <si>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</si>
  <si>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</si>
  <si>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</si>
  <si>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</si>
  <si>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</si>
  <si>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</si>
  <si>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</si>
  <si>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</si>
  <si>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</si>
  <si>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</si>
  <si>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</si>
  <si>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Caliendi Corrado 1</t>
  </si>
  <si>
    <t>Pian Dei Prati</t>
  </si>
  <si>
    <t>B&amp;B Ca' Giorgetto</t>
  </si>
  <si>
    <t>Localita' Ca' Giorgetto 216</t>
  </si>
  <si>
    <t>www.bedandbreakfastcagiorgetto.com</t>
  </si>
  <si>
    <t>paxismith@libero.it</t>
  </si>
  <si>
    <t>La Rocca Dei Malatesta</t>
  </si>
  <si>
    <t>Corso Giovanni Xxiii 1</t>
  </si>
  <si>
    <t>www.laroccadeimalatesta.com</t>
  </si>
  <si>
    <t>info@laroccadeimalatesta.com</t>
  </si>
  <si>
    <t>La Spiga D'Oro</t>
  </si>
  <si>
    <t>Via San Girolamo Sn</t>
  </si>
  <si>
    <t>www.laspigadoro.eu</t>
  </si>
  <si>
    <t>mail@lasipgadoro.eu</t>
  </si>
  <si>
    <t>Corrado Caliendi</t>
  </si>
  <si>
    <t>Localita' Pian Dei Prati Sn</t>
  </si>
  <si>
    <t>Agriturismo Dai Du Bourdei</t>
  </si>
  <si>
    <t>Via Cà Marchino Snc</t>
  </si>
  <si>
    <t>info@daidubourdei.com</t>
  </si>
  <si>
    <t>Centro Servizio Polivalente Del Montefeltro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</si>
  <si>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</si>
  <si>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</si>
  <si>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</si>
  <si>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</si>
  <si>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</si>
  <si>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</si>
  <si>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</si>
  <si>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</si>
  <si>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</si>
  <si>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</si>
  <si>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Loc. Calmugnano 103</t>
  </si>
  <si>
    <t>Calmugnano</t>
  </si>
  <si>
    <t>www.locandalequerce.com</t>
  </si>
  <si>
    <t>lequerce32@hotmail.com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</si>
  <si>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</si>
  <si>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</si>
  <si>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</si>
  <si>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</si>
  <si>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</si>
  <si>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</si>
  <si>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</si>
  <si>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Sotto La Torre</t>
  </si>
  <si>
    <t>Via Europa Unita 7</t>
  </si>
  <si>
    <t>bbsottolatorre@libero.it</t>
  </si>
  <si>
    <t>La Palazzina</t>
  </si>
  <si>
    <t>carmen@sistivenanzio.it</t>
  </si>
  <si>
    <t>Il Mutino</t>
  </si>
  <si>
    <t>Via Del Mutino 57</t>
  </si>
  <si>
    <t>Agriturismo Pian Di Gallo</t>
  </si>
  <si>
    <t>Strada Della Contea 15</t>
  </si>
  <si>
    <t>coopag3a@gmail.com</t>
  </si>
  <si>
    <t>Casa Vacanze Il Caprile</t>
  </si>
  <si>
    <t>Caprile</t>
  </si>
  <si>
    <t>www.edilmartino.com</t>
  </si>
  <si>
    <t>brunarossi1976@virgilio.it</t>
  </si>
  <si>
    <t>B&amp;B Ai Piedi Del Catria</t>
  </si>
  <si>
    <t>Via Strada Del Caprile 2</t>
  </si>
  <si>
    <t>www.aipiedidelcatria.it</t>
  </si>
  <si>
    <t>pmorbi@tin.it</t>
  </si>
  <si>
    <t>B&amp;B Il Gibbo</t>
  </si>
  <si>
    <t>Via Fonte Avellana 37</t>
  </si>
  <si>
    <t>Foce</t>
  </si>
  <si>
    <t>giuly.bartocci@virgilio.it</t>
  </si>
  <si>
    <t>Casa Vacanze Osteriaccio</t>
  </si>
  <si>
    <t>Via Osteriaccio 3</t>
  </si>
  <si>
    <t>www.osteriaccio.it</t>
  </si>
  <si>
    <t>info@osteriaccio.it</t>
  </si>
  <si>
    <t>Il Cinisco</t>
  </si>
  <si>
    <t>Via Cinisco Snc</t>
  </si>
  <si>
    <t>www.ilcinisco.it/informazioni.html</t>
  </si>
  <si>
    <t>info@ilcinisco.it</t>
  </si>
  <si>
    <t>Il Daino</t>
  </si>
  <si>
    <t>Via Roma 19 19</t>
  </si>
  <si>
    <t>info@hotelildaino.it</t>
  </si>
  <si>
    <t>Locanda Del Castello</t>
  </si>
  <si>
    <t>Piazzale Della Rocca 5</t>
  </si>
  <si>
    <t>www.locandadelcastello.it</t>
  </si>
  <si>
    <t>locandadelcastello@liberto.it</t>
  </si>
  <si>
    <t>Frazione Poggio 6</t>
  </si>
  <si>
    <t>B&amp;B La Tana</t>
  </si>
  <si>
    <t>Via Buonconsiglio 9</t>
  </si>
  <si>
    <t>ferdinando.raggi@libero.it; info@latanabed.it</t>
  </si>
  <si>
    <t>Rifugio Monte Catria Cotaline 1400</t>
  </si>
  <si>
    <t>Monte Acuto</t>
  </si>
  <si>
    <t>cupadellecotaline@gmail.com</t>
  </si>
  <si>
    <t>B&amp;B La Foce</t>
  </si>
  <si>
    <t>Via Fonte Avellana 19</t>
  </si>
  <si>
    <t>www.beblafoce.it</t>
  </si>
  <si>
    <t>cinisco@alice.it; info@beblafoce.it</t>
  </si>
  <si>
    <t>Casa Vacanze Edilfrontone</t>
  </si>
  <si>
    <t>Via Colombara Sn</t>
  </si>
  <si>
    <t>Maxim</t>
  </si>
  <si>
    <t>Via Circonvallazione 12</t>
  </si>
  <si>
    <t>www.maximhotel.it</t>
  </si>
  <si>
    <t>maxim@gabiccemare.com</t>
  </si>
  <si>
    <t>Via Vittorio Veneto 127</t>
  </si>
  <si>
    <t>www.hotel-marinella.it</t>
  </si>
  <si>
    <t>info@hotel-marinella.it</t>
  </si>
  <si>
    <t>Grand Hotel Michelacci</t>
  </si>
  <si>
    <t>Piazza Giardini Unità D'Italia 1</t>
  </si>
  <si>
    <t>www.michelacci.com</t>
  </si>
  <si>
    <t>info@michelacci.com</t>
  </si>
  <si>
    <t>Madison</t>
  </si>
  <si>
    <t>www.hotel-madison.it</t>
  </si>
  <si>
    <t>madison@hotel-madison.it</t>
  </si>
  <si>
    <t>Maremonti</t>
  </si>
  <si>
    <t>Via Nino Bixio 1</t>
  </si>
  <si>
    <t>Majestic Dipendenza</t>
  </si>
  <si>
    <t>Viale Balneare 10</t>
  </si>
  <si>
    <t>www.majestichotel.it</t>
  </si>
  <si>
    <t>majestic@gabiccemare.com</t>
  </si>
  <si>
    <t>Italia Meuble'</t>
  </si>
  <si>
    <t>Via Vittorio Veneto 132</t>
  </si>
  <si>
    <t>www.hotelitaliagabiccemare.com</t>
  </si>
  <si>
    <t>info@hotelitaliagabiccemare.com</t>
  </si>
  <si>
    <t>Majestic</t>
  </si>
  <si>
    <t>Gloria</t>
  </si>
  <si>
    <t>Via Niccolo' Machiavelli 1</t>
  </si>
  <si>
    <t>www.gloriahotel.net</t>
  </si>
  <si>
    <t>direzione@gloriahotel.net</t>
  </si>
  <si>
    <t>Lido</t>
  </si>
  <si>
    <t>Via Armando Diaz 6</t>
  </si>
  <si>
    <t>www.lidohotel.org</t>
  </si>
  <si>
    <t>lido@gabiccemare.com</t>
  </si>
  <si>
    <t>Viale Della Vittoria 57</t>
  </si>
  <si>
    <t>www.residenceeden.it</t>
  </si>
  <si>
    <t>eden@residenceeden.it</t>
  </si>
  <si>
    <t>Giovanna Regina</t>
  </si>
  <si>
    <t>Via Vittorio Veneto 173</t>
  </si>
  <si>
    <t>www.hotelgiovannaregina.com</t>
  </si>
  <si>
    <t>giovanna@gabiccemare.com</t>
  </si>
  <si>
    <t>Garden</t>
  </si>
  <si>
    <t>Via Vittorio Veneto 31</t>
  </si>
  <si>
    <t>www.hotelgardengabicce.com</t>
  </si>
  <si>
    <t>info@hotelgardengabicce.com</t>
  </si>
  <si>
    <t>Gabicce</t>
  </si>
  <si>
    <t>Via Trento 24</t>
  </si>
  <si>
    <t>www.hotelgabicce.it</t>
  </si>
  <si>
    <t>info@hotelgabicce.it</t>
  </si>
  <si>
    <t>Fulvia</t>
  </si>
  <si>
    <t>Via Trieste 23</t>
  </si>
  <si>
    <t>www.gabiccemare.com/fulvia; info@hotelfulvia.com</t>
  </si>
  <si>
    <t>info@hotelfulvia.com</t>
  </si>
  <si>
    <t>Hotel Fabbri</t>
  </si>
  <si>
    <t>Via Cesare Battisti 48</t>
  </si>
  <si>
    <t>www.hotelfabbri.it</t>
  </si>
  <si>
    <t>info@hotelfabbri.it</t>
  </si>
  <si>
    <t>Albergo Everest Meuble' Garni</t>
  </si>
  <si>
    <t>Via Enrico Filiberto 2</t>
  </si>
  <si>
    <t>www.hotel-everest.com</t>
  </si>
  <si>
    <t>heverest@libero.it</t>
  </si>
  <si>
    <t>Via Vittorio Veneto 163</t>
  </si>
  <si>
    <t>www.miramarehtl.com</t>
  </si>
  <si>
    <t>info@miramarehtl.com</t>
  </si>
  <si>
    <t>Du Parc</t>
  </si>
  <si>
    <t>Via Panoramica 48</t>
  </si>
  <si>
    <t>www.duparchotel.it</t>
  </si>
  <si>
    <t>info@duparchotel.it</t>
  </si>
  <si>
    <t>Via Primo Maggio 6</t>
  </si>
  <si>
    <t>www.continentalhotel.info</t>
  </si>
  <si>
    <t>continental@continentalhotel.info</t>
  </si>
  <si>
    <t>Hotel Cavalluccio Marino</t>
  </si>
  <si>
    <t>Via Vittorio Veneto 111</t>
  </si>
  <si>
    <t>www.hotelcavallucciomarino.it</t>
  </si>
  <si>
    <t>info@hotelcavallucciomarino.it</t>
  </si>
  <si>
    <t>Capri</t>
  </si>
  <si>
    <t>Viale Della Repubblica 1</t>
  </si>
  <si>
    <t>www.gabiccemare.com/capri</t>
  </si>
  <si>
    <t>capri@gabiccemare.com</t>
  </si>
  <si>
    <t>Capo Est</t>
  </si>
  <si>
    <t>Via Panoramica 123</t>
  </si>
  <si>
    <t>www.capoest.com</t>
  </si>
  <si>
    <t>capoest@capoest.com</t>
  </si>
  <si>
    <t>Giuseppina</t>
  </si>
  <si>
    <t>Via Edmondo De Amicis 46</t>
  </si>
  <si>
    <t>www.gabiccemare.com/giuseppina</t>
  </si>
  <si>
    <t>Napoleon</t>
  </si>
  <si>
    <t>Via Vittorio Veneto 151</t>
  </si>
  <si>
    <t>www.hotel-napoleon.it</t>
  </si>
  <si>
    <t>napoleon@hotel-napoleon.it</t>
  </si>
  <si>
    <t>Betty Affittacamere</t>
  </si>
  <si>
    <t>Via Panoramica 98</t>
  </si>
  <si>
    <t>www.hotelgabiccemonte.com</t>
  </si>
  <si>
    <t>bettys@gabiccemare.com</t>
  </si>
  <si>
    <t>Nuovo Fiore</t>
  </si>
  <si>
    <t>Via Edmondo De Amicis 25</t>
  </si>
  <si>
    <t>www.gabiccemare.com/nuovofiore</t>
  </si>
  <si>
    <t>nuovofiore@gabiccemare.com</t>
  </si>
  <si>
    <t>Hotel Thea Dipendenza</t>
  </si>
  <si>
    <t>Via Vittorio Veneto 16</t>
  </si>
  <si>
    <t>www.hotelthea.it</t>
  </si>
  <si>
    <t>info@hotelthea.it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</si>
  <si>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</si>
  <si>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</si>
  <si>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</si>
  <si>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</si>
  <si>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</si>
  <si>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</si>
  <si>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</si>
  <si>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</si>
  <si>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</si>
  <si>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</si>
  <si>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</si>
  <si>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</si>
  <si>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</si>
  <si>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</si>
  <si>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Bellavista Dipendenza</t>
  </si>
  <si>
    <t>Via Vittorio Veneto 192</t>
  </si>
  <si>
    <t>Alba</t>
  </si>
  <si>
    <t>Via Vittorio Veneto 15</t>
  </si>
  <si>
    <t>www.hotel-alba.it</t>
  </si>
  <si>
    <t>info@hotel-alba.it</t>
  </si>
  <si>
    <t>Hotel Thea</t>
  </si>
  <si>
    <t>Via Vittorio Veneto 7</t>
  </si>
  <si>
    <t>Atlantic</t>
  </si>
  <si>
    <t>Via Panoramica 22</t>
  </si>
  <si>
    <t>www.hatlantic.it</t>
  </si>
  <si>
    <t>info@hatlantic.it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</si>
  <si>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</si>
  <si>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</si>
  <si>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</si>
  <si>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</si>
  <si>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</si>
  <si>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</si>
  <si>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</si>
  <si>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</si>
  <si>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</si>
  <si>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</si>
  <si>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</si>
  <si>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</si>
  <si>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</si>
  <si>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</si>
  <si>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</si>
  <si>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</si>
  <si>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</si>
  <si>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</si>
  <si>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</si>
  <si>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</si>
  <si>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</si>
  <si>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</si>
  <si>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</si>
  <si>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</si>
  <si>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</si>
  <si>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</si>
  <si>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Residence Continental Resort</t>
  </si>
  <si>
    <t>Via Primo Maggio 4</t>
  </si>
  <si>
    <t>info@residencecontinental.it</t>
  </si>
  <si>
    <t>Nobel</t>
  </si>
  <si>
    <t>Via Vittorio Veneto 99</t>
  </si>
  <si>
    <t>www.hotelnobel.it</t>
  </si>
  <si>
    <t>info@hotelnobel.it</t>
  </si>
  <si>
    <t>Strand Hotel</t>
  </si>
  <si>
    <t>Via Vittorio Veneto 167</t>
  </si>
  <si>
    <t>www.strand-hotel.it</t>
  </si>
  <si>
    <t>info@strand-hotel.it</t>
  </si>
  <si>
    <t>Sirena</t>
  </si>
  <si>
    <t>Via Gabriele D' Annunzio 14</t>
  </si>
  <si>
    <t>www.sirenahotel.com</t>
  </si>
  <si>
    <t>info@sirenahotel.com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</si>
  <si>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</si>
  <si>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</si>
  <si>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</si>
  <si>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</si>
  <si>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</si>
  <si>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</si>
  <si>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</si>
  <si>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</si>
  <si>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</si>
  <si>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</si>
  <si>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</si>
  <si>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</si>
  <si>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</si>
  <si>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</si>
  <si>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</si>
  <si>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</si>
  <si>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</si>
  <si>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</si>
  <si>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</si>
  <si>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</si>
  <si>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</si>
  <si>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</si>
  <si>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</si>
  <si>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</si>
  <si>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Hotel Splendid</t>
  </si>
  <si>
    <t>Via Armando Diaz 5</t>
  </si>
  <si>
    <t>www.hotelsplendidgabicce.it</t>
  </si>
  <si>
    <t>lucianapiermaria@libero.it</t>
  </si>
  <si>
    <t>Promenade</t>
  </si>
  <si>
    <t>Viale Mare 15</t>
  </si>
  <si>
    <t>www.hpromenade.it</t>
  </si>
  <si>
    <t>info@hpromenade.it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</si>
  <si>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</si>
  <si>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</si>
  <si>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</si>
  <si>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</si>
  <si>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</si>
  <si>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</si>
  <si>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</si>
  <si>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</si>
  <si>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</si>
  <si>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</si>
  <si>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</si>
  <si>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</si>
  <si>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</si>
  <si>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</si>
  <si>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</si>
  <si>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</si>
  <si>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</si>
  <si>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</si>
  <si>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</si>
  <si>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</si>
  <si>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</si>
  <si>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</si>
  <si>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</si>
  <si>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</si>
  <si>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</si>
  <si>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Residenza Del Grand Hotel Michelacci</t>
  </si>
  <si>
    <t>Via Panoramica 6</t>
  </si>
  <si>
    <t>Brezza Meuble'</t>
  </si>
  <si>
    <t>Via Vittorio Veneto 117</t>
  </si>
  <si>
    <t>Bagni N 46</t>
  </si>
  <si>
    <t>rosmarchini@gmail.com</t>
  </si>
  <si>
    <t>Bellevue</t>
  </si>
  <si>
    <t>Via Redipuglia 22</t>
  </si>
  <si>
    <t>www.bellevueresidence.it</t>
  </si>
  <si>
    <t>info@bellevueresidence.it</t>
  </si>
  <si>
    <t>Appartamenti Fontainebleau</t>
  </si>
  <si>
    <t>Via Panoramica 92</t>
  </si>
  <si>
    <t>ab37rn@tin.it</t>
  </si>
  <si>
    <t>Hotel Atlas</t>
  </si>
  <si>
    <t>Via Edmondo De Amicis 6</t>
  </si>
  <si>
    <t>www.gabiccemare.com/atlas</t>
  </si>
  <si>
    <t>atlas@gabiccemare.com</t>
  </si>
  <si>
    <t>Hotel Lidia</t>
  </si>
  <si>
    <t>Via Edmondo De Amicis 28</t>
  </si>
  <si>
    <t>www.hotellidiagabiccemare.com</t>
  </si>
  <si>
    <t>info@hotellidiagabiccemare.com</t>
  </si>
  <si>
    <t>Via Vittorio Veneto 5</t>
  </si>
  <si>
    <t>www.hoteleuropagabicce.com</t>
  </si>
  <si>
    <t>info@hoteleuropagabicce.com</t>
  </si>
  <si>
    <t>B&amp;B Maison D'O</t>
  </si>
  <si>
    <t>Via Panoramica 1</t>
  </si>
  <si>
    <t>paolamichelacci@michelacci.com</t>
  </si>
  <si>
    <t>Ville E Appartamenti Arcobaleno</t>
  </si>
  <si>
    <t>Via Giovanni Pascoli 25</t>
  </si>
  <si>
    <t>www.villeappartamentigabicce.com</t>
  </si>
  <si>
    <t>info@villeappartamentigabicce.com</t>
  </si>
  <si>
    <t>Meeting</t>
  </si>
  <si>
    <t>Via Panoramica 13</t>
  </si>
  <si>
    <t>www.residencemeeting.it</t>
  </si>
  <si>
    <t>info@residencemeeting.it</t>
  </si>
  <si>
    <t>Via Vittorio Veneto 73</t>
  </si>
  <si>
    <t>hotelexcelsiorgabicce.com</t>
  </si>
  <si>
    <t>info@hotelexcelsiorgabicce.com</t>
  </si>
  <si>
    <t>Camping Gabicce Monte</t>
  </si>
  <si>
    <t>maioli.giacomo@libero.it</t>
  </si>
  <si>
    <t>Primavera Maria</t>
  </si>
  <si>
    <t>Via Bellavista 9</t>
  </si>
  <si>
    <t>Del Chierico Gilberto</t>
  </si>
  <si>
    <t>Via Madonna Di Loreto 16</t>
  </si>
  <si>
    <t>Bertuccioli Silvano</t>
  </si>
  <si>
    <t>Via G. D'Annuzio 4</t>
  </si>
  <si>
    <t>Vanzolini Giuliano</t>
  </si>
  <si>
    <t>Via Trento 14</t>
  </si>
  <si>
    <t>Galli Maria Pia, Filippini Maria</t>
  </si>
  <si>
    <t>Via Nino Bixio 4</t>
  </si>
  <si>
    <t>Sartori Susanna</t>
  </si>
  <si>
    <t>Via Trieste 2</t>
  </si>
  <si>
    <t>Venus</t>
  </si>
  <si>
    <t>Via Panoramica 29</t>
  </si>
  <si>
    <t>www.hotelvenus.it</t>
  </si>
  <si>
    <t>venus@gabiccemare.com</t>
  </si>
  <si>
    <t>Leonardi Claudio</t>
  </si>
  <si>
    <t>Via G. Pascoli 12</t>
  </si>
  <si>
    <t>Venus Dipendenza</t>
  </si>
  <si>
    <t>Viale Mare 26</t>
  </si>
  <si>
    <t>Appartamenti Graziella</t>
  </si>
  <si>
    <t>Via Panoramica 26</t>
  </si>
  <si>
    <t>www.appartamentigabiccemare.it</t>
  </si>
  <si>
    <t>info@appartamentigabiccemare.it</t>
  </si>
  <si>
    <t>Ricci Tiziana</t>
  </si>
  <si>
    <t>Vicolo Mgellano 14</t>
  </si>
  <si>
    <t>Palazzi Giuseppina</t>
  </si>
  <si>
    <t>Via Cavour 15</t>
  </si>
  <si>
    <t>Gaudenzi Luciano</t>
  </si>
  <si>
    <t>Via Redipuglia 14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</si>
  <si>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</si>
  <si>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</si>
  <si>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</si>
  <si>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</si>
  <si>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</si>
  <si>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</si>
  <si>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</si>
  <si>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</si>
  <si>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</si>
  <si>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</si>
  <si>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</si>
  <si>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</si>
  <si>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</si>
  <si>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</si>
  <si>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</si>
  <si>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</si>
  <si>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Bertuccioli Quinta</t>
  </si>
  <si>
    <t>Via Primo Maggio 23</t>
  </si>
  <si>
    <t>Antonelli Norma</t>
  </si>
  <si>
    <t>Hotel Lux</t>
  </si>
  <si>
    <t>Via Ariosto 8</t>
  </si>
  <si>
    <t>www.hotelluxgabicce.it</t>
  </si>
  <si>
    <t>info@hotelluxgabicce.it</t>
  </si>
  <si>
    <t>My Hotel Meuble' Garni'</t>
  </si>
  <si>
    <t>Via Redipuglia 18</t>
  </si>
  <si>
    <t>www.myhotelgabicce.it</t>
  </si>
  <si>
    <t>info@myhotelgabicce.it</t>
  </si>
  <si>
    <t>Gaudenzi Venerina</t>
  </si>
  <si>
    <t>Via G.Pascoli 5</t>
  </si>
  <si>
    <t>Vichi Malvina</t>
  </si>
  <si>
    <t>Via Circonvallazione 6</t>
  </si>
  <si>
    <t>Hotel Athena</t>
  </si>
  <si>
    <t>Via Panoramica 9</t>
  </si>
  <si>
    <t>www.hotelathena.eu</t>
  </si>
  <si>
    <t>direzione@hotelathena.eu;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</si>
  <si>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</si>
  <si>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</si>
  <si>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</si>
  <si>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</si>
  <si>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</si>
  <si>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</si>
  <si>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</si>
  <si>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</si>
  <si>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</si>
  <si>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</si>
  <si>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</si>
  <si>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</si>
  <si>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</si>
  <si>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</si>
  <si>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</si>
  <si>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</si>
  <si>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</si>
  <si>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</si>
  <si>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</si>
  <si>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</si>
  <si>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</si>
  <si>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</si>
  <si>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</si>
  <si>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</si>
  <si>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</si>
  <si>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</si>
  <si>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</si>
  <si>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</si>
  <si>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</si>
  <si>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</si>
  <si>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</si>
  <si>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</si>
  <si>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</si>
  <si>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</si>
  <si>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</si>
  <si>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</si>
  <si>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</si>
  <si>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</si>
  <si>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</si>
  <si>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</si>
  <si>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</si>
  <si>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</si>
  <si>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</si>
  <si>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</si>
  <si>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</si>
  <si>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</si>
  <si>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</si>
  <si>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</si>
  <si>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</si>
  <si>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</si>
  <si>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</si>
  <si>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</si>
  <si>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</si>
  <si>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</si>
  <si>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</si>
  <si>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Bertuccioli Luciano</t>
  </si>
  <si>
    <t>Via Primo Maggio 21</t>
  </si>
  <si>
    <t>Facondini Marino</t>
  </si>
  <si>
    <t>Via De Amicis 8</t>
  </si>
  <si>
    <t>Prioli Antonio</t>
  </si>
  <si>
    <t>Via Trento 19</t>
  </si>
  <si>
    <t>Giagnolini Giovanni</t>
  </si>
  <si>
    <t>Via Dell' Orizzonte 27</t>
  </si>
  <si>
    <t>Hotel Losanna</t>
  </si>
  <si>
    <t>Piazza Giardini Unita' D' Italia 7</t>
  </si>
  <si>
    <t>www.hotellosanna.info</t>
  </si>
  <si>
    <t>info@hotellosanna.info</t>
  </si>
  <si>
    <t>Foronchi Elvira</t>
  </si>
  <si>
    <t>Via Trieste, Via Trento 25,20</t>
  </si>
  <si>
    <t>monica_vincenzo@virgilio.it</t>
  </si>
  <si>
    <t>Foronchi Giuseppe</t>
  </si>
  <si>
    <t>Via Trieste 25/B</t>
  </si>
  <si>
    <t>Bagni  N. 32</t>
  </si>
  <si>
    <t>matteo@baldassarri.com</t>
  </si>
  <si>
    <t>www.bagni32.it</t>
  </si>
  <si>
    <t>Bagni N 45</t>
  </si>
  <si>
    <t>Nadia Rossi</t>
  </si>
  <si>
    <t>Via Medaglia D'Oro 18</t>
  </si>
  <si>
    <t>rnadia73.nr@gmail.com; alan.grassi@alice.it</t>
  </si>
  <si>
    <t>Michelini Dino</t>
  </si>
  <si>
    <t>Via Cesare Battisti 67</t>
  </si>
  <si>
    <t>Blu Star Hotel</t>
  </si>
  <si>
    <t>Via Redipuglia 6</t>
  </si>
  <si>
    <t>www.hotelblustar.com</t>
  </si>
  <si>
    <t>info@hotelblustar.com</t>
  </si>
  <si>
    <t>Bacchini Oriana</t>
  </si>
  <si>
    <t>Viale Della Repubblica, Via Vittorio Veneto 10,136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</si>
  <si>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</si>
  <si>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</si>
  <si>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</si>
  <si>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</si>
  <si>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</si>
  <si>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</si>
  <si>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</si>
  <si>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</si>
  <si>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</si>
  <si>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</si>
  <si>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</si>
  <si>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</si>
  <si>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</si>
  <si>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Ricci Ernesto</t>
  </si>
  <si>
    <t>Via Vittorio Veneto  135</t>
  </si>
  <si>
    <t>Bagno N. 46</t>
  </si>
  <si>
    <t>Via Cristoforo Colombo 45 45</t>
  </si>
  <si>
    <t>Gaudenzi Marco</t>
  </si>
  <si>
    <t>Via Redipuglia 12</t>
  </si>
  <si>
    <t>Banana Beach N. 10-9</t>
  </si>
  <si>
    <t>Viale Cristoforo Colombo 10 10</t>
  </si>
  <si>
    <t>Zona 30 Gigio</t>
  </si>
  <si>
    <t>Via Colombo 1 1</t>
  </si>
  <si>
    <t>gigiopaolo@alice.it</t>
  </si>
  <si>
    <t>Bagni Tonino N. 29</t>
  </si>
  <si>
    <t>Viale Cristoforo Colombo 29 29</t>
  </si>
  <si>
    <t>Bagni Giorgio N. 27</t>
  </si>
  <si>
    <t>Via Cristoforo Colombo 17 17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</si>
  <si>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</si>
  <si>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</si>
  <si>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</si>
  <si>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</si>
  <si>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</si>
  <si>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</si>
  <si>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</si>
  <si>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</si>
  <si>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info@giovannaregina.com</t>
  </si>
  <si>
    <t>Zona 31</t>
  </si>
  <si>
    <t>Lungomare Cristoforo Colombo 31 31</t>
  </si>
  <si>
    <t>info@spiaggia31gabiccemare.com</t>
  </si>
  <si>
    <t>www.spiaggia31gabiccemare.com</t>
  </si>
  <si>
    <t>Bagni Marisa N. 23</t>
  </si>
  <si>
    <t>Lungomare Cristoforo Colombo 1 1</t>
  </si>
  <si>
    <t>bagnimarisa@libero.it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</si>
  <si>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</si>
  <si>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</si>
  <si>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</si>
  <si>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</si>
  <si>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</si>
  <si>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</si>
  <si>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</si>
  <si>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Caricato Giovanni</t>
  </si>
  <si>
    <t>Via Marina 9</t>
  </si>
  <si>
    <t>Bagni Sandro N. 6</t>
  </si>
  <si>
    <t>Viale Cristoforo Colombo 6 6</t>
  </si>
  <si>
    <t>bagni6gabicce@gmail.com</t>
  </si>
  <si>
    <t>www.bagni6gabicce.altervista.org</t>
  </si>
  <si>
    <t>Bagni Dino N. 22</t>
  </si>
  <si>
    <t>Via Cristoforo Colombo 22 22</t>
  </si>
  <si>
    <t>Bagno Maria N. 33</t>
  </si>
  <si>
    <t>Viale Cristoforo Colombo 33 33</t>
  </si>
  <si>
    <t>info@bagnimaria33.it</t>
  </si>
  <si>
    <t>www.bagnimaria33.it</t>
  </si>
  <si>
    <t>Bagni Silvio N. 28</t>
  </si>
  <si>
    <t>Viale Cristoforo Colombo 28 28</t>
  </si>
  <si>
    <t>gianfranco_leonardi@tin.it</t>
  </si>
  <si>
    <t>www.bagnisilvio28.com</t>
  </si>
  <si>
    <t>Bagni N. 35</t>
  </si>
  <si>
    <t>Via Cristoforo Colombo 35 35</t>
  </si>
  <si>
    <t>info@gabiccemarespiaggia.com</t>
  </si>
  <si>
    <t>www.gabiccemarespiaggia.com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</si>
  <si>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</si>
  <si>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</si>
  <si>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</si>
  <si>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</si>
  <si>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</si>
  <si>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</si>
  <si>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Bagni N. 34</t>
  </si>
  <si>
    <t>Via Cristoforo Colombo 34 34</t>
  </si>
  <si>
    <t>Banana Beach N. 12</t>
  </si>
  <si>
    <t>Viale Cristoforo Colombo 12 12</t>
  </si>
  <si>
    <t>Zona 17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</si>
  <si>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</si>
  <si>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</si>
  <si>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</si>
  <si>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</si>
  <si>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</si>
  <si>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</si>
  <si>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</si>
  <si>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Alberto E Mario N° 16</t>
  </si>
  <si>
    <t>Lungomare Cristoforo Colombo 16 16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</si>
  <si>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</si>
  <si>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</si>
  <si>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</si>
  <si>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</si>
  <si>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</si>
  <si>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</si>
  <si>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</si>
  <si>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I Delfini Snc</t>
  </si>
  <si>
    <t>Bagni Catia E Giorgio N. 42, 43, 44</t>
  </si>
  <si>
    <t>Via Cristoforo Colombo 42 42</t>
  </si>
  <si>
    <t>Bagni Franco N. 37</t>
  </si>
  <si>
    <t>alessandro.fili-2008@libero.it</t>
  </si>
  <si>
    <t>Bagni Peppino N. 20</t>
  </si>
  <si>
    <t>Via Cristoforo Colombo 20 20</t>
  </si>
  <si>
    <t>Agriturismo Fonterama Di Fashion Fur</t>
  </si>
  <si>
    <t>Loc.Fonterama 4</t>
  </si>
  <si>
    <t>Fonterama</t>
  </si>
  <si>
    <t>www.residencefonterama.it</t>
  </si>
  <si>
    <t>residencefonterama@libero.it</t>
  </si>
  <si>
    <t>Fonterama Di Beni Maria Teresa</t>
  </si>
  <si>
    <t>Locanda San Rocco</t>
  </si>
  <si>
    <t>Collaiello 2</t>
  </si>
  <si>
    <t>Frazione Collaiello</t>
  </si>
  <si>
    <t>locandasanrocco@libero.it</t>
  </si>
  <si>
    <t>Fonterama  Fashion Fur Di Moscetti Maurizio</t>
  </si>
  <si>
    <t>Frazione Fonterama 4</t>
  </si>
  <si>
    <t>Le Roverelle</t>
  </si>
  <si>
    <t>Localita' Feggiano 12</t>
  </si>
  <si>
    <t>Magrini Della Genga</t>
  </si>
  <si>
    <t>Localita' Bivio Pandolfi 6</t>
  </si>
  <si>
    <t>www.albergomagrini.it</t>
  </si>
  <si>
    <t>info@albergomagrini.it</t>
  </si>
  <si>
    <t>Agriturismo I Baronci</t>
  </si>
  <si>
    <t>Loc. I Baronci 2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</si>
  <si>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</si>
  <si>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</si>
  <si>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</si>
  <si>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</si>
  <si>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</si>
  <si>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</si>
  <si>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</si>
  <si>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</si>
  <si>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Hotel Ristorante Le Grotte</t>
  </si>
  <si>
    <t>Loc. Pontebovesecco 14</t>
  </si>
  <si>
    <t>Loc. Pontebovesecco</t>
  </si>
  <si>
    <t>www.hotellegrotte.it</t>
  </si>
  <si>
    <t>info@hotellegrotte.it</t>
  </si>
  <si>
    <t>Camomilla</t>
  </si>
  <si>
    <t>Via Borgo Delle Rondini 11</t>
  </si>
  <si>
    <t>Frazione Trinquelli</t>
  </si>
  <si>
    <t>angela.meetings@gmail.com</t>
  </si>
  <si>
    <t>Agriturismo Il Melo</t>
  </si>
  <si>
    <t>Frazione Meleto 8</t>
  </si>
  <si>
    <t>Ghianda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</si>
  <si>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</si>
  <si>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</si>
  <si>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</si>
  <si>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</si>
  <si>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</si>
  <si>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</si>
  <si>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</si>
  <si>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</si>
  <si>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</si>
  <si>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</si>
  <si>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</si>
  <si>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</si>
  <si>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</si>
  <si>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Mons. Giorgio Terruzzi</t>
  </si>
  <si>
    <t>Frazione Foce 4</t>
  </si>
  <si>
    <t>Airone Country House</t>
  </si>
  <si>
    <t>Frazione Pianello 6</t>
  </si>
  <si>
    <t>www.aironebb.it</t>
  </si>
  <si>
    <t>info@aironebb.it</t>
  </si>
  <si>
    <t>Area Di Sosta Camper - La Cuna</t>
  </si>
  <si>
    <t>Il Parco</t>
  </si>
  <si>
    <t>Via Guglielmo Marconi 6</t>
  </si>
  <si>
    <t>ristilparco@alice.it</t>
  </si>
  <si>
    <t>B&amp;B Il Revellone</t>
  </si>
  <si>
    <t>Frazione Falcioni 47</t>
  </si>
  <si>
    <t>www.revellone.it</t>
  </si>
  <si>
    <t>info@revellone.it</t>
  </si>
  <si>
    <t>Villa Matarazzo</t>
  </si>
  <si>
    <t>Via Farneto 1</t>
  </si>
  <si>
    <t>www.villamatarazzo.it</t>
  </si>
  <si>
    <t>info@villamatarazzo.com</t>
  </si>
  <si>
    <t>B&amp;B Dimora Malatesta</t>
  </si>
  <si>
    <t>Via Zanvettori 2</t>
  </si>
  <si>
    <t>arianna.tagliabracci@virgilio.it</t>
  </si>
  <si>
    <t>Terenzi Elisa</t>
  </si>
  <si>
    <t>Via Cattolica 9</t>
  </si>
  <si>
    <t>elisaterenzi82@gmail.com</t>
  </si>
  <si>
    <t>Scassamacchia Pietro</t>
  </si>
  <si>
    <t>Via Strada Romagna 40</t>
  </si>
  <si>
    <t>marinascassamacchia@hotmail.it</t>
  </si>
  <si>
    <t>Gerboni Romeo</t>
  </si>
  <si>
    <t>Via Tavullia 19</t>
  </si>
  <si>
    <t>allkr456.7@gmail.com</t>
  </si>
  <si>
    <t>Franchini Federica</t>
  </si>
  <si>
    <t>Via Cattolica 24/B</t>
  </si>
  <si>
    <t>franchini.federica82@gmail.com</t>
  </si>
  <si>
    <t>Emporio La Loggia</t>
  </si>
  <si>
    <t>Via Malatestiana 6</t>
  </si>
  <si>
    <t>Del Magna Luciana - Piano Terra</t>
  </si>
  <si>
    <t>Via Rubini 1</t>
  </si>
  <si>
    <t>B&amp;B Cubo Con Vista</t>
  </si>
  <si>
    <t>Via Tavullia 71</t>
  </si>
  <si>
    <t>www.cuboconvista.it</t>
  </si>
  <si>
    <t>info@cuboconvista.it</t>
  </si>
  <si>
    <t>Il Glicine</t>
  </si>
  <si>
    <t>Via Mercato 6</t>
  </si>
  <si>
    <t>delbianco.mar@gmail.com</t>
  </si>
  <si>
    <t>B&amp;B Collesole</t>
  </si>
  <si>
    <t>Boncio 6</t>
  </si>
  <si>
    <t>paolomarini57@gmail.com</t>
  </si>
  <si>
    <t>Del Magna Luciana - Piano Primo</t>
  </si>
  <si>
    <t>Via Gaggera 4</t>
  </si>
  <si>
    <t>lamagnolia.gradara@gmail.com</t>
  </si>
  <si>
    <t>Valle Del Picchio</t>
  </si>
  <si>
    <t>Via Vicinato 17/1</t>
  </si>
  <si>
    <t>leo.vince70@gmail.com</t>
  </si>
  <si>
    <t>B&amp;B Dimora Della Rovere</t>
  </si>
  <si>
    <t>Via Della Rovere 4</t>
  </si>
  <si>
    <t>Www.Dimoradellarovere.Com</t>
  </si>
  <si>
    <t>info@dimoradellarovere.com</t>
  </si>
  <si>
    <t>Residenza Aurora</t>
  </si>
  <si>
    <t>Via Della Fiera 1</t>
  </si>
  <si>
    <t>info@appartamentigradara.com</t>
  </si>
  <si>
    <t>Il Casale Del Boncio</t>
  </si>
  <si>
    <t>Via Boncio 8</t>
  </si>
  <si>
    <t>info@casaledelboncio.it</t>
  </si>
  <si>
    <t>Castello Di Granarola</t>
  </si>
  <si>
    <t>Via Castello 1</t>
  </si>
  <si>
    <t>www.castellodigranarola.it</t>
  </si>
  <si>
    <t>info@castellodigranarola.it</t>
  </si>
  <si>
    <t>Mariposa</t>
  </si>
  <si>
    <t>Via Sotto Granarola 1/3</t>
  </si>
  <si>
    <t>mari.maffei@virgilio.it</t>
  </si>
  <si>
    <t>B&amp;B La Rosa Antica</t>
  </si>
  <si>
    <t>Via Ghetto 1</t>
  </si>
  <si>
    <t>https://www.facebook.com/bblarosaantica?hc_location=timeline</t>
  </si>
  <si>
    <t>marilena.turroni@gmail.com</t>
  </si>
  <si>
    <t>B&amp;B Gradara</t>
  </si>
  <si>
    <t>Via Tavullia 28</t>
  </si>
  <si>
    <t>emanuelatf1@gmail.com</t>
  </si>
  <si>
    <t>B&amp;B Casa Della Stella</t>
  </si>
  <si>
    <t>Via Tario 1</t>
  </si>
  <si>
    <t>www.casadellastella.it</t>
  </si>
  <si>
    <t>info@casadellastella.it</t>
  </si>
  <si>
    <t>B&amp;B La Pulcia</t>
  </si>
  <si>
    <t>Via Cattolica 16</t>
  </si>
  <si>
    <t>lapulciagradara@gmail.com</t>
  </si>
  <si>
    <t>Casa Renalda</t>
  </si>
  <si>
    <t>Via Tavullia 44</t>
  </si>
  <si>
    <t>casarenalda@gmail.com</t>
  </si>
  <si>
    <t>Al Borgo</t>
  </si>
  <si>
    <t>Via Mancini 36</t>
  </si>
  <si>
    <t>www.affittacameregradara.com</t>
  </si>
  <si>
    <t>luisa@gradara.com</t>
  </si>
  <si>
    <t>La Loggia</t>
  </si>
  <si>
    <t>Via Dante Alighieri 2</t>
  </si>
  <si>
    <t>www.laloggiagradara.it</t>
  </si>
  <si>
    <t>info@laloggiagradara.it</t>
  </si>
  <si>
    <t>www.comune.gradara.pu.it</t>
  </si>
  <si>
    <t>comune.gradara@provincia.ps.it</t>
  </si>
  <si>
    <t>B&amp;B Villa Dei Fiori</t>
  </si>
  <si>
    <t>Via Santo Stefano 5</t>
  </si>
  <si>
    <t>www.bb-gradara.com</t>
  </si>
  <si>
    <t>info@bb-gradara.com</t>
  </si>
  <si>
    <t>B&amp;B La Terrazza Sul Mare</t>
  </si>
  <si>
    <t>Viale Alcide De Gasperi 7</t>
  </si>
  <si>
    <t>www.laterrazzasulmare.eu</t>
  </si>
  <si>
    <t>info@laterrazzasulmare.eu</t>
  </si>
  <si>
    <t>Delfino Blu</t>
  </si>
  <si>
    <t>Viale Alcide De Gasperi 1 1</t>
  </si>
  <si>
    <t>Il Tucano</t>
  </si>
  <si>
    <t>Viale Alcide De Gasperi 73 73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</si>
  <si>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</si>
  <si>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</si>
  <si>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</si>
  <si>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</si>
  <si>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</si>
  <si>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</si>
  <si>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</si>
  <si>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</si>
  <si>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</si>
  <si>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</si>
  <si>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</si>
  <si>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</si>
  <si>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</si>
  <si>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</si>
  <si>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</si>
  <si>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Bagni Viareggio</t>
  </si>
  <si>
    <t>B&amp;B Bric E Brac</t>
  </si>
  <si>
    <t>Via Brasile 9</t>
  </si>
  <si>
    <t>simona.cocci@libero.it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</si>
  <si>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</si>
  <si>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</si>
  <si>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</si>
  <si>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</si>
  <si>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</si>
  <si>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</si>
  <si>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</si>
  <si>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</si>
  <si>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</si>
  <si>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</si>
  <si>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</si>
  <si>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</si>
  <si>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</si>
  <si>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</si>
  <si>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Grillo</t>
  </si>
  <si>
    <t>Viale Alcide De Gasperi  1</t>
  </si>
  <si>
    <t>Gin'G Beach</t>
  </si>
  <si>
    <t>www.residenceada.com</t>
  </si>
  <si>
    <t>info@residenceada.com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</si>
  <si>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</si>
  <si>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</si>
  <si>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</si>
  <si>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</si>
  <si>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</si>
  <si>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</si>
  <si>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</si>
  <si>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</si>
  <si>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</si>
  <si>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</si>
  <si>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</si>
  <si>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</si>
  <si>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</si>
  <si>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</si>
  <si>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</si>
  <si>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</si>
  <si>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Bagni Hotel Marconi</t>
  </si>
  <si>
    <t>Viale Alcide De Gasperi 7 7</t>
  </si>
  <si>
    <t>Bagni Fabio (1)</t>
  </si>
  <si>
    <t>Viale Della Repubblica 17 17</t>
  </si>
  <si>
    <t>Chalet Sylvia</t>
  </si>
  <si>
    <t>Viale Cristoforo Colombo  1</t>
  </si>
  <si>
    <t>sonssnc@hostingtoo.it</t>
  </si>
  <si>
    <t>Saari Beach</t>
  </si>
  <si>
    <t>Viale Alcide De Gasperi 75 75</t>
  </si>
  <si>
    <t>Ragno Verde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</si>
  <si>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</si>
  <si>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</si>
  <si>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</si>
  <si>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</si>
  <si>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</si>
  <si>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</si>
  <si>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</si>
  <si>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</si>
  <si>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</si>
  <si>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</si>
  <si>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</si>
  <si>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</si>
  <si>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</si>
  <si>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</si>
  <si>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</si>
  <si>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</si>
  <si>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L'Ancora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</si>
  <si>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</si>
  <si>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</si>
  <si>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</si>
  <si>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</si>
  <si>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</si>
  <si>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</si>
  <si>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</si>
  <si>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</si>
  <si>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</si>
  <si>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Viale Cristoforo Colombo 2 2</t>
  </si>
  <si>
    <t>Il Lido Di Anna</t>
  </si>
  <si>
    <t>Viale Colombo 12 12</t>
  </si>
  <si>
    <t>margio26@libero.it</t>
  </si>
  <si>
    <t>Cantu'</t>
  </si>
  <si>
    <t>Viale Alcide De Gasperi 81 81</t>
  </si>
  <si>
    <t>Bagni Hotel Roma - Bahia Blanca</t>
  </si>
  <si>
    <t>California</t>
  </si>
  <si>
    <t>Viale Cristoforo Colombo 1 1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</si>
  <si>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</si>
  <si>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</si>
  <si>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</si>
  <si>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</si>
  <si>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</si>
  <si>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</si>
  <si>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</si>
  <si>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</si>
  <si>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</si>
  <si>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</si>
  <si>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</si>
  <si>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</si>
  <si>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 Scoglio</t>
  </si>
  <si>
    <t>loscoglio@tin.it</t>
  </si>
  <si>
    <t>Mimosa</t>
  </si>
  <si>
    <t>Bagni Fabio (2)</t>
  </si>
  <si>
    <t>Savana Club</t>
  </si>
  <si>
    <t>glascani@virgilio.it</t>
  </si>
  <si>
    <t>Hotel Velia</t>
  </si>
  <si>
    <t>Viale Alcide De Gasperi 20 20</t>
  </si>
  <si>
    <t>velia@grottammare.it</t>
  </si>
  <si>
    <t>www.grottammare.it/velia</t>
  </si>
  <si>
    <t>Peccato Solo D'Estate</t>
  </si>
  <si>
    <t>Bagni Paoloni</t>
  </si>
  <si>
    <t>Bagno Hotel Europa N° 30/31</t>
  </si>
  <si>
    <t>info@eurotel.it</t>
  </si>
  <si>
    <t>www.eurhotel.it</t>
  </si>
  <si>
    <t>Marconi</t>
  </si>
  <si>
    <t>Viale Alcide De Gasperi 6</t>
  </si>
  <si>
    <t>marconi.hotel@alice.it</t>
  </si>
  <si>
    <t>Viale Alcide De Gasperi 146</t>
  </si>
  <si>
    <t>www.hoteledengrottammare.it</t>
  </si>
  <si>
    <t>info@hoteledengrottammare.it</t>
  </si>
  <si>
    <t>Sylvia</t>
  </si>
  <si>
    <t>Viale C. Colombo 83</t>
  </si>
  <si>
    <t>www.hotelsylvia.net</t>
  </si>
  <si>
    <t>info@hotelsylvia.net</t>
  </si>
  <si>
    <t>Viale Alcide De Gasperi 60</t>
  </si>
  <si>
    <t>www.hotelromagrottammare.com</t>
  </si>
  <si>
    <t>info@hotelromagrottammare.com</t>
  </si>
  <si>
    <t>Lo Squalo</t>
  </si>
  <si>
    <t>Via Guglielmo Marconi 71</t>
  </si>
  <si>
    <t>www.hotellosqualo.it</t>
  </si>
  <si>
    <t>info@hotellosqualo.it</t>
  </si>
  <si>
    <t>Relais Concorde</t>
  </si>
  <si>
    <t>Via G.Parini 34</t>
  </si>
  <si>
    <t>www.relaisconcorde.it</t>
  </si>
  <si>
    <t>info@relaisconcorde.it</t>
  </si>
  <si>
    <t>Velia</t>
  </si>
  <si>
    <t>Viale Alcide De Gasperi 20</t>
  </si>
  <si>
    <t>www.hotelvelia.it</t>
  </si>
  <si>
    <t>Hotel Parco Dei Principi</t>
  </si>
  <si>
    <t>Lungomare Alcide De Gasperi 90</t>
  </si>
  <si>
    <t>www.hotelparcodeiprincipi.it</t>
  </si>
  <si>
    <t>htlparcodeiprincipi@tiscalinet.it</t>
  </si>
  <si>
    <t>Villa Helvetia</t>
  </si>
  <si>
    <t>Via Vincenzo Salvi 9</t>
  </si>
  <si>
    <t>www.villahelvetia.it</t>
  </si>
  <si>
    <t>info@villahelvetia.it</t>
  </si>
  <si>
    <t>Residence Le Palme</t>
  </si>
  <si>
    <t>Lungomare Alcide De Gasperi 160</t>
  </si>
  <si>
    <t>www.residencelepalme.it</t>
  </si>
  <si>
    <t>info@residencelepalme.it</t>
  </si>
  <si>
    <t>Hotel Ambassador</t>
  </si>
  <si>
    <t>Viale Lungomare Repubblica 86</t>
  </si>
  <si>
    <t>www.paradisogrottammare.it</t>
  </si>
  <si>
    <t>info@ambassadorgrottammare.it</t>
  </si>
  <si>
    <t>Caraibi</t>
  </si>
  <si>
    <t>Lungomare Alcide De Gasperi 172</t>
  </si>
  <si>
    <t>www.hotelcaraibi.it</t>
  </si>
  <si>
    <t>info@hotelcaraibi.it</t>
  </si>
  <si>
    <t>Ada</t>
  </si>
  <si>
    <t>Lungomare Alcide De Gasperi 76</t>
  </si>
  <si>
    <t>Residence Costa Azzurra</t>
  </si>
  <si>
    <t>Via Malta 2</t>
  </si>
  <si>
    <t>www.costazzurraresidence.it</t>
  </si>
  <si>
    <t>info@costazzurraresidence.it</t>
  </si>
  <si>
    <t>B&amp;B La Casa Dei Gerani Vacanze</t>
  </si>
  <si>
    <t>Via G. Bruno 34</t>
  </si>
  <si>
    <t>casadeigeranei@gmail.com</t>
  </si>
  <si>
    <t>degaetanovincenzo@gmail.com</t>
  </si>
  <si>
    <t>Da Mario</t>
  </si>
  <si>
    <t>Viale De Gasperi 1 1</t>
  </si>
  <si>
    <t>B&amp;B Lady D</t>
  </si>
  <si>
    <t>Via Ischia Prima 203</t>
  </si>
  <si>
    <t>www.bbladyd.altervista.org</t>
  </si>
  <si>
    <t>bbladyd@gmail.com</t>
  </si>
  <si>
    <t>Via Cagliata 4</t>
  </si>
  <si>
    <t>www.villapaolabb.it</t>
  </si>
  <si>
    <t>info@villapaolabb.it</t>
  </si>
  <si>
    <t>B&amp;B Cantine Cameli Vini 1890</t>
  </si>
  <si>
    <t>Strada Provinciale Valtesino 352</t>
  </si>
  <si>
    <t>www.bebcantinecameli.it</t>
  </si>
  <si>
    <t>info@bebcantinecameli.it</t>
  </si>
  <si>
    <t>B&amp;B La Signora Casa</t>
  </si>
  <si>
    <t>Viale Alcide De Gasperi 182</t>
  </si>
  <si>
    <t>www.lasignoracasa.com</t>
  </si>
  <si>
    <t>info@lasignoracasa.com</t>
  </si>
  <si>
    <t>Viale Alcide De Gasperi 130</t>
  </si>
  <si>
    <t>info@paradisogrottammare.it</t>
  </si>
  <si>
    <t>B&amp;B Profumo Di Nardo</t>
  </si>
  <si>
    <t>Strada Provinciale Valtesino 242</t>
  </si>
  <si>
    <t>www.profumodinardo.it</t>
  </si>
  <si>
    <t>emanuela_torquati@yahoo.it</t>
  </si>
  <si>
    <t>Pensione Miramare</t>
  </si>
  <si>
    <t>Via Cagliata 44</t>
  </si>
  <si>
    <t>daniele.ubaldi@tin.it</t>
  </si>
  <si>
    <t>Prater</t>
  </si>
  <si>
    <t>Via Malta 18</t>
  </si>
  <si>
    <t>www.hotelprater.it</t>
  </si>
  <si>
    <t>info@hotelprater.it</t>
  </si>
  <si>
    <t>Don Diego</t>
  </si>
  <si>
    <t>Noa'</t>
  </si>
  <si>
    <t>Colibri Beach</t>
  </si>
  <si>
    <t>Viale Alcide De Gasperi 59 59</t>
  </si>
  <si>
    <t>ristorantetropical@alice.it</t>
  </si>
  <si>
    <t>www.ristorantetropical.com</t>
  </si>
  <si>
    <t>Rosa Dei Venti</t>
  </si>
  <si>
    <t>Viale Alcide De Gasperi 71 71</t>
  </si>
  <si>
    <t>Florida</t>
  </si>
  <si>
    <t>Lungomare Cristoforo Colombo 6 6</t>
  </si>
  <si>
    <t>Elisei Stellina</t>
  </si>
  <si>
    <t>B&amp;B I Girasoli Di Antonini Daniela</t>
  </si>
  <si>
    <t>Via Dei Piceni 64</t>
  </si>
  <si>
    <t>daniela.antonini2@gmail.com</t>
  </si>
  <si>
    <t>B&amp;B Amurri Domenica</t>
  </si>
  <si>
    <t>Strada Comunale San Biagio 9</t>
  </si>
  <si>
    <t>sandro.esposito@gmail.com</t>
  </si>
  <si>
    <t>Casa Pazzi</t>
  </si>
  <si>
    <t>Via Sotto Le Mura 8</t>
  </si>
  <si>
    <t>www.casapazzi.com</t>
  </si>
  <si>
    <t>info@casapazzi.com</t>
  </si>
  <si>
    <t>Valentino Resort</t>
  </si>
  <si>
    <t>Via Dante Alighieri 99</t>
  </si>
  <si>
    <t>www.valentinoresort.com</t>
  </si>
  <si>
    <t>info@valentinoresort.com</t>
  </si>
  <si>
    <t>B&amp;B Casa Vacanze</t>
  </si>
  <si>
    <t>Via Frana 27</t>
  </si>
  <si>
    <t>sbtluca@gmail.com</t>
  </si>
  <si>
    <t>B&amp;B Cameli Emidio</t>
  </si>
  <si>
    <t>Strada Comunale San Biagio 1</t>
  </si>
  <si>
    <t>trade77@hotmail.com</t>
  </si>
  <si>
    <t>Casa Dei Pesci</t>
  </si>
  <si>
    <t>Vicolo Pineta 7</t>
  </si>
  <si>
    <t>vicolopineta@gmail.com</t>
  </si>
  <si>
    <t>B&amp;B Imbrescia</t>
  </si>
  <si>
    <t>Via San Paterniano 16</t>
  </si>
  <si>
    <t>simoelori@alice.it</t>
  </si>
  <si>
    <t>La Priora</t>
  </si>
  <si>
    <t>Via Francesco Cilea 194</t>
  </si>
  <si>
    <t>A Casa Da Angelo</t>
  </si>
  <si>
    <t>Contrada San Giacomo 26</t>
  </si>
  <si>
    <t>agriturismoacasadaangelo@alice.it</t>
  </si>
  <si>
    <t>Lungomare Alcide De Gasperi 128</t>
  </si>
  <si>
    <t>www.campingdondiego.it</t>
  </si>
  <si>
    <t>info@dondiegocamping.it</t>
  </si>
  <si>
    <t>Piergallini Rita</t>
  </si>
  <si>
    <t>Alcide De Gasperi 120</t>
  </si>
  <si>
    <t>pl.massi@gmail.com</t>
  </si>
  <si>
    <t>Hotel La Perla Preziosa</t>
  </si>
  <si>
    <t>www.laperlapreziosa.com</t>
  </si>
  <si>
    <t>info@laperlapreziosa.com</t>
  </si>
  <si>
    <t>Hotel La Perla Preziosa Dependance</t>
  </si>
  <si>
    <t>Via Mediterraneo 14</t>
  </si>
  <si>
    <t>Vagnozzi</t>
  </si>
  <si>
    <t>Via Francesco Cilea 113</t>
  </si>
  <si>
    <t>www.pensionevagnozzi.com</t>
  </si>
  <si>
    <t>pensionevagnozzi@gmail.com</t>
  </si>
  <si>
    <t>Fiscals Computers Di Perotti Enrico Snc</t>
  </si>
  <si>
    <t>Viale Alcide De Gasperi 16</t>
  </si>
  <si>
    <t>ramona@studioenricoperotti.it</t>
  </si>
  <si>
    <t>B&amp;B Sapore Di Mare</t>
  </si>
  <si>
    <t>Ponza 91</t>
  </si>
  <si>
    <t>info@bbsaporedimare.it</t>
  </si>
  <si>
    <t>Casa Preziosa</t>
  </si>
  <si>
    <t>Via Natale Capriotti 39</t>
  </si>
  <si>
    <t>www.casapreziosa.it</t>
  </si>
  <si>
    <t>info@casapreziosa.it</t>
  </si>
  <si>
    <t>B&amp;B La Casa Di Tina</t>
  </si>
  <si>
    <t>Via Marche 2</t>
  </si>
  <si>
    <t>lacasaditina@libero.it</t>
  </si>
  <si>
    <t>Mama Lulu' Village</t>
  </si>
  <si>
    <t>Viale Alcide De Gasperi 42 42</t>
  </si>
  <si>
    <t>B&amp;B Lo Squalo</t>
  </si>
  <si>
    <t>Via Marconi 75</t>
  </si>
  <si>
    <t>B&amp;B Tre Finestre Sul Mare - Casabagnara</t>
  </si>
  <si>
    <t>Via Santa Lucia 10</t>
  </si>
  <si>
    <t>www.casabagnara.it</t>
  </si>
  <si>
    <t>caterina@casabagnara.it</t>
  </si>
  <si>
    <t>B&amp;B A Casa Di Paolo</t>
  </si>
  <si>
    <t>Contrada San Francesco 26</t>
  </si>
  <si>
    <t>www.acasadipaolo.it</t>
  </si>
  <si>
    <t>amadiopaolo@libero.it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</si>
  <si>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</si>
  <si>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</si>
  <si>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</si>
  <si>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</si>
  <si>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</si>
  <si>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</si>
  <si>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</si>
  <si>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</si>
  <si>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</si>
  <si>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info@conerohotel.com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</si>
  <si>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</si>
  <si>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</si>
  <si>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</si>
  <si>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</si>
  <si>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</si>
  <si>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</si>
  <si>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</si>
  <si>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</si>
  <si>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</si>
  <si>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</si>
  <si>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</si>
  <si>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</si>
  <si>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</si>
  <si>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</si>
  <si>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</si>
  <si>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info@eurhotel.it</t>
  </si>
  <si>
    <t>B&amp;B Lolu</t>
  </si>
  <si>
    <t>Via Ballestra 69</t>
  </si>
  <si>
    <t>acasadilolu@gmail.com</t>
  </si>
  <si>
    <t>B&amp;B A Casa Di..</t>
  </si>
  <si>
    <t>Sabia</t>
  </si>
  <si>
    <t>Viale Alcide De Gasperi 79 79</t>
  </si>
  <si>
    <t>www.valentinoresort.it</t>
  </si>
  <si>
    <t>B&amp;B 43</t>
  </si>
  <si>
    <t>Via Xx Settembre 105</t>
  </si>
  <si>
    <t>www.bb43.it</t>
  </si>
  <si>
    <t>info@bb43.it</t>
  </si>
  <si>
    <t>Casa Del Mare</t>
  </si>
  <si>
    <t>Via Cantiere 7</t>
  </si>
  <si>
    <t>Briciola Di Sole</t>
  </si>
  <si>
    <t>Contrada Granaro 19</t>
  </si>
  <si>
    <t>www.bricioladisole.it</t>
  </si>
  <si>
    <t>info@bricioladisole.it</t>
  </si>
  <si>
    <t>B&amp;B Le Palme</t>
  </si>
  <si>
    <t>Via San Martino 43/3</t>
  </si>
  <si>
    <t>verzilli@hotmail.com</t>
  </si>
  <si>
    <t>Residence Costa Smeralda</t>
  </si>
  <si>
    <t>Via Malta 16</t>
  </si>
  <si>
    <t>www.costasmeraldaresidence.it</t>
  </si>
  <si>
    <t>info@costasmeraldaresidence.it</t>
  </si>
  <si>
    <t>B&amp;B Cantine Cameli</t>
  </si>
  <si>
    <t>Strada Provinciale Valtesino 350</t>
  </si>
  <si>
    <t>Residence Mareamare</t>
  </si>
  <si>
    <t>Viale Lungomare Repubblica 14</t>
  </si>
  <si>
    <t>www.mareamareresidence.it</t>
  </si>
  <si>
    <t>info@mareamareresidence.it</t>
  </si>
  <si>
    <t>La Torretta Sul Borgo</t>
  </si>
  <si>
    <t>Via C. Peretti 2</t>
  </si>
  <si>
    <t>www.latorrettasulborgo.it</t>
  </si>
  <si>
    <t>info@latorrettasulborgo.it</t>
  </si>
  <si>
    <t>B&amp;B Guarneri Ivana</t>
  </si>
  <si>
    <t>Via Frana 33A</t>
  </si>
  <si>
    <t>www.activebroker.agenzie.cas.it</t>
  </si>
  <si>
    <t>ivanaguarneri@email.it</t>
  </si>
  <si>
    <t>B&amp;B Stramenga Vincenzo</t>
  </si>
  <si>
    <t>www.activebroker.agenzie.casa.it</t>
  </si>
  <si>
    <t>stramengaenzo@email.it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</si>
  <si>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</si>
  <si>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</si>
  <si>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</si>
  <si>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</si>
  <si>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</si>
  <si>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</si>
  <si>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</si>
  <si>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</si>
  <si>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</si>
  <si>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</si>
  <si>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</si>
  <si>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</si>
  <si>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</si>
  <si>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</si>
  <si>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</si>
  <si>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</si>
  <si>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Il Sogno</t>
  </si>
  <si>
    <t>P.Zza Marconi 16</t>
  </si>
  <si>
    <t>www.bbilsognogrottazzolina.com</t>
  </si>
  <si>
    <t>bbilsogno@hotmail.com</t>
  </si>
  <si>
    <t>Al Fiume</t>
  </si>
  <si>
    <t>Strada Fonte Carra' 26</t>
  </si>
  <si>
    <t>www.alfiume.it</t>
  </si>
  <si>
    <t>info@alfiume.it</t>
  </si>
  <si>
    <t>Country House Montebello</t>
  </si>
  <si>
    <t>Strada Della Fonte 12</t>
  </si>
  <si>
    <t>www.countryhouse-montebello.it</t>
  </si>
  <si>
    <t>info@countryhouse-montebello.it</t>
  </si>
  <si>
    <t>B&amp;B La Posta</t>
  </si>
  <si>
    <t>Strada Pescia' 1</t>
  </si>
  <si>
    <t>www.beblaposta.it</t>
  </si>
  <si>
    <t>info@beblaposta.it</t>
  </si>
  <si>
    <t>Carletti Giovanna</t>
  </si>
  <si>
    <t>Kevin Garrett</t>
  </si>
  <si>
    <t>Via Marrone 37</t>
  </si>
  <si>
    <t>Via Morrone 37</t>
  </si>
  <si>
    <t>casadorato311@hotmail.com</t>
  </si>
  <si>
    <t>Grisi James Robert</t>
  </si>
  <si>
    <t>Via Massignano 29</t>
  </si>
  <si>
    <t>laborlawyer@live.com; sundaydipalma@yahoo.com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</si>
  <si>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</si>
  <si>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</si>
  <si>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</si>
  <si>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</si>
  <si>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</si>
  <si>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</si>
  <si>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</si>
  <si>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</si>
  <si>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</si>
  <si>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Falli Lorenzo</t>
  </si>
  <si>
    <t>Via Marchesi 26</t>
  </si>
  <si>
    <t>lorenzo.falli@istruzione.it</t>
  </si>
  <si>
    <t>Il Salino</t>
  </si>
  <si>
    <t>Contrada Contro 20</t>
  </si>
  <si>
    <t>www.ilsalino.com</t>
  </si>
  <si>
    <t>info@ilsalino.com</t>
  </si>
  <si>
    <t>Isidori Patrizio</t>
  </si>
  <si>
    <t>Via Papa Sisto Iv 1</t>
  </si>
  <si>
    <t>manila.isidori@alice.it</t>
  </si>
  <si>
    <t>Il Casale Di Gualdo</t>
  </si>
  <si>
    <t>C.Da Tomassucci</t>
  </si>
  <si>
    <t>www.countryhousecasaledigualdo.it</t>
  </si>
  <si>
    <t>damiano.c@tiscali.it</t>
  </si>
  <si>
    <t>Di Luca Sante</t>
  </si>
  <si>
    <t>Contrada Morrone 12</t>
  </si>
  <si>
    <t>sante.diluca@alice.it</t>
  </si>
  <si>
    <t>B&amp;B Il Borghetto</t>
  </si>
  <si>
    <t>Via Tomassucci 9</t>
  </si>
  <si>
    <t>claudia.zavaglini@gmail.com</t>
  </si>
  <si>
    <t>Welch Rachael</t>
  </si>
  <si>
    <t>C.Da Bartollotti 24</t>
  </si>
  <si>
    <t>C.Da Bartollotti</t>
  </si>
  <si>
    <t>lynnebowman@tiscali.it; kentreves@tiscali.it</t>
  </si>
  <si>
    <t>Biggar Patricia Anne</t>
  </si>
  <si>
    <t>Via C. Morrone 4</t>
  </si>
  <si>
    <t>trishabiggar@ad.com</t>
  </si>
  <si>
    <t>Contrada Massignano 1</t>
  </si>
  <si>
    <t>Brand Piernitzki Doris Helga Barbel</t>
  </si>
  <si>
    <t>Contrada Contro 7</t>
  </si>
  <si>
    <t>doris@piernitzki.com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</si>
  <si>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</si>
  <si>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</si>
  <si>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</si>
  <si>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</si>
  <si>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</si>
  <si>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</si>
  <si>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</si>
  <si>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</si>
  <si>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</si>
  <si>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</si>
  <si>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</si>
  <si>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</si>
  <si>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</si>
  <si>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</si>
  <si>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</si>
  <si>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</si>
  <si>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</si>
  <si>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May Patricia Helen Roxburgh</t>
  </si>
  <si>
    <t>C.Da Morrone  5</t>
  </si>
  <si>
    <t>C.Da Morrone</t>
  </si>
  <si>
    <t>pattinay@live.co.uk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</si>
  <si>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</si>
  <si>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</si>
  <si>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</si>
  <si>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</si>
  <si>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</si>
  <si>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</si>
  <si>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</si>
  <si>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</si>
  <si>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</si>
  <si>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tulliani@montiazzurri.com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</si>
  <si>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</si>
  <si>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</si>
  <si>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</si>
  <si>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</si>
  <si>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</si>
  <si>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</si>
  <si>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Fabrizio Ermini</t>
  </si>
  <si>
    <t>Via Morrone 2</t>
  </si>
  <si>
    <t>ale.ermini@gmail.com</t>
  </si>
  <si>
    <t>Manlio Tulliani Agostini</t>
  </si>
  <si>
    <t>C.Da Valle 1</t>
  </si>
  <si>
    <t>Casa Millie</t>
  </si>
  <si>
    <t>Contrada Zaza 47</t>
  </si>
  <si>
    <t>marcspendlove@gmail.com</t>
  </si>
  <si>
    <t>Agriturismo Le Morrette</t>
  </si>
  <si>
    <t>Contrada Contro 49</t>
  </si>
  <si>
    <t>Il Podere</t>
  </si>
  <si>
    <t>Strada Delle Valli 8</t>
  </si>
  <si>
    <t>La Polarina Di Battisti Giuseppina</t>
  </si>
  <si>
    <t>Strada Castelgagliardo 22</t>
  </si>
  <si>
    <t>Agriturismo Dai Mori</t>
  </si>
  <si>
    <t>Strada Delle Valli 5</t>
  </si>
  <si>
    <t>www.agriturismodaimori.it</t>
  </si>
  <si>
    <t>agriturismodaimori@libero.it</t>
  </si>
  <si>
    <t>Tenuta Di Montebello</t>
  </si>
  <si>
    <t>Montebello 1</t>
  </si>
  <si>
    <t>www.agriturismogirolomoni.it</t>
  </si>
  <si>
    <t>agriturismo@girolomoni.it</t>
  </si>
  <si>
    <t>Campo Degli Olivi</t>
  </si>
  <si>
    <t>Strada Ponte Degli Alberi 55</t>
  </si>
  <si>
    <t>www.campodegliolivi.it</t>
  </si>
  <si>
    <t>info@campodegliolivi.it</t>
  </si>
  <si>
    <t>Tagliabracci Norma</t>
  </si>
  <si>
    <t>Strada Delle Valli 25</t>
  </si>
  <si>
    <t>norma.tagliabracci@libero.it</t>
  </si>
  <si>
    <t>La Fattoria Di Otello</t>
  </si>
  <si>
    <t>Via Della Figuretta 8</t>
  </si>
  <si>
    <t>annetta.pat@libero.it</t>
  </si>
  <si>
    <t>A Casa Di Paola</t>
  </si>
  <si>
    <t>Viale Giovanni Xxiii 6</t>
  </si>
  <si>
    <t>www.casapaola.it</t>
  </si>
  <si>
    <t>info@casapaola.it</t>
  </si>
  <si>
    <t>Il Maniero</t>
  </si>
  <si>
    <t>Via Bagnatora 25</t>
  </si>
  <si>
    <t>www.agriturismoilmaniero.it</t>
  </si>
  <si>
    <t>info@agriturismoilmaniero.it</t>
  </si>
  <si>
    <t>Le Finestre Sul Centro</t>
  </si>
  <si>
    <t>Corso Giacomo Matteotti 18</t>
  </si>
  <si>
    <t>www.lefinestresulcentro.it</t>
  </si>
  <si>
    <t>lefinestresulcentro@gmail.com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</si>
  <si>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</si>
  <si>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</si>
  <si>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</si>
  <si>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</si>
  <si>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</si>
  <si>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</si>
  <si>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</si>
  <si>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</si>
  <si>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</si>
  <si>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</si>
  <si>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Maison 022</t>
  </si>
  <si>
    <t>Via Coppetella 14</t>
  </si>
  <si>
    <t>booking@maison022.it</t>
  </si>
  <si>
    <t>Corte Clementina</t>
  </si>
  <si>
    <t>Via Clementina 18</t>
  </si>
  <si>
    <t>loretta.sordoni@gmail.com</t>
  </si>
  <si>
    <t>Sotto Il Borgo</t>
  </si>
  <si>
    <t>Via Rinaldi 4</t>
  </si>
  <si>
    <t>www.sottoilborgo.it</t>
  </si>
  <si>
    <t>info@sottoilborgo.it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</si>
  <si>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</si>
  <si>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</si>
  <si>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</si>
  <si>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</si>
  <si>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</si>
  <si>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</si>
  <si>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</si>
  <si>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</si>
  <si>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</si>
  <si>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Le Maraclà</t>
  </si>
  <si>
    <t>Via Gangalia Bassa 8</t>
  </si>
  <si>
    <t>Gangalia</t>
  </si>
  <si>
    <t>www.lemaracla.it</t>
  </si>
  <si>
    <t>info@lemaracla.it</t>
  </si>
  <si>
    <t>Al Pergolesi</t>
  </si>
  <si>
    <t>Via Mura Orientali 8</t>
  </si>
  <si>
    <t>www.alpergolesi.it</t>
  </si>
  <si>
    <t>alpergolesi@gmail.com</t>
  </si>
  <si>
    <t>La Saetta</t>
  </si>
  <si>
    <t>Via G. Garibaldi 73</t>
  </si>
  <si>
    <t>vbuari@mail.ru</t>
  </si>
  <si>
    <t>Hotel Mariani</t>
  </si>
  <si>
    <t>Via Dell' Orfanotrofio 10</t>
  </si>
  <si>
    <t>www.hotelmariani.com</t>
  </si>
  <si>
    <t>direzione@hotelmariani.com</t>
  </si>
  <si>
    <t>Via G. Mazzini 27</t>
  </si>
  <si>
    <t>backstagejesi@gmail.com</t>
  </si>
  <si>
    <t>Verziere</t>
  </si>
  <si>
    <t>Via Del Verziere 67/Bis</t>
  </si>
  <si>
    <t>www.verzierebb.com</t>
  </si>
  <si>
    <t>info@verzierebb.com</t>
  </si>
  <si>
    <t>Hotel Federico Ii</t>
  </si>
  <si>
    <t>Via Ancona 92/Bis</t>
  </si>
  <si>
    <t>www.hotelfederico2.it</t>
  </si>
  <si>
    <t>info@hotelfederico2.it</t>
  </si>
  <si>
    <t>Hotel Dei Nani</t>
  </si>
  <si>
    <t>Viale Del Lavoro 34</t>
  </si>
  <si>
    <t>www.hoteldeinani.it</t>
  </si>
  <si>
    <t>info@hoteldeinani.it</t>
  </si>
  <si>
    <t>Albergo Italia</t>
  </si>
  <si>
    <t>Viale Trieste 28</t>
  </si>
  <si>
    <t>B&amp;B Aesis - La Dolce Collina</t>
  </si>
  <si>
    <t>Via Maccarata 2</t>
  </si>
  <si>
    <t>www.marchenet.it/ladolcecollina</t>
  </si>
  <si>
    <t>luigpaol@mercurio.it</t>
  </si>
  <si>
    <t>Bed And Breakfast Le Conce</t>
  </si>
  <si>
    <t>Via Delle Conce  9</t>
  </si>
  <si>
    <t>www.bebleconce.it</t>
  </si>
  <si>
    <t>info@bebleconce.it</t>
  </si>
  <si>
    <t>Notti Sulle Mura</t>
  </si>
  <si>
    <t>Via Degli Spaldi 16</t>
  </si>
  <si>
    <t>www.nottisullemura.it</t>
  </si>
  <si>
    <t>info@nottisullemura.it</t>
  </si>
  <si>
    <t>Ripabianca</t>
  </si>
  <si>
    <t>Via Ripa Bianca 7</t>
  </si>
  <si>
    <t>www.ripabianca.com</t>
  </si>
  <si>
    <t>info@ripabianca.com</t>
  </si>
  <si>
    <t>B&amp;B Vicino... L'Arco</t>
  </si>
  <si>
    <t>Corso Matteotti 89</t>
  </si>
  <si>
    <t>www.vicinolarco.altervista.org</t>
  </si>
  <si>
    <t>vicinolarco@yahoo.it</t>
  </si>
  <si>
    <t>La Coccinella</t>
  </si>
  <si>
    <t>Via Spina 17</t>
  </si>
  <si>
    <t>www.lacoccinellajesi.com</t>
  </si>
  <si>
    <t>bblacoccinellajesi@gmail.com</t>
  </si>
  <si>
    <t>Dipendenza Hotel Federico Ii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</si>
  <si>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</si>
  <si>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</si>
  <si>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</si>
  <si>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</si>
  <si>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</si>
  <si>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</si>
  <si>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Santa Lucia</t>
  </si>
  <si>
    <t>Via Acquaticcio 14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</si>
  <si>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</si>
  <si>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</si>
  <si>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</si>
  <si>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</si>
  <si>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</si>
  <si>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</si>
  <si>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</si>
  <si>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</si>
  <si>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</si>
  <si>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</si>
  <si>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</si>
  <si>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</si>
  <si>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</si>
  <si>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</si>
  <si>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</si>
  <si>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B&amp;B Casacorno</t>
  </si>
  <si>
    <t>Via Venetica 6</t>
  </si>
  <si>
    <t>www.casacorno.it</t>
  </si>
  <si>
    <t>info@casacorno.it</t>
  </si>
  <si>
    <t>Il Frantoio</t>
  </si>
  <si>
    <t>Contrada Madonna Bruna 25</t>
  </si>
  <si>
    <t>www.ilfrantoioagriturismo.it</t>
  </si>
  <si>
    <t>tizianodecarolis@alice.it</t>
  </si>
  <si>
    <t>Il Terrazzo Delle Rondini</t>
  </si>
  <si>
    <t>C.Da Madonna Manu' 51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</si>
  <si>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</si>
  <si>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</si>
  <si>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</si>
  <si>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</si>
  <si>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</si>
  <si>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</si>
  <si>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</si>
  <si>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</si>
  <si>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</si>
  <si>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</si>
  <si>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</si>
  <si>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</si>
  <si>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</si>
  <si>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</si>
  <si>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</si>
  <si>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</si>
  <si>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</si>
  <si>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</si>
  <si>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</si>
  <si>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</si>
  <si>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</si>
  <si>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</si>
  <si>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</si>
  <si>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</si>
  <si>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</si>
  <si>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</si>
  <si>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</si>
  <si>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</si>
  <si>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</si>
  <si>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</si>
  <si>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</si>
  <si>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</si>
  <si>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</si>
  <si>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</si>
  <si>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</si>
  <si>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</si>
  <si>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</si>
  <si>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</si>
  <si>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</si>
  <si>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</si>
  <si>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</si>
  <si>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</si>
  <si>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</si>
  <si>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</si>
  <si>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</si>
  <si>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</si>
  <si>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</si>
  <si>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</si>
  <si>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</si>
  <si>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</si>
  <si>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</si>
  <si>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</si>
  <si>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</si>
  <si>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</si>
  <si>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</si>
  <si>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</si>
  <si>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</si>
  <si>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B&amp;B Il Nido Di Alice</t>
  </si>
  <si>
    <t>Contrada Monti Di Monterubbiano 4</t>
  </si>
  <si>
    <t>www.bbilnidodialice.it</t>
  </si>
  <si>
    <t>alelice@libero.it</t>
  </si>
  <si>
    <t>B&amp;B Saltareccio</t>
  </si>
  <si>
    <t>Contrada Saltareccio  8</t>
  </si>
  <si>
    <t>cornelia.stump@libero.it</t>
  </si>
  <si>
    <t>Casa Svezia</t>
  </si>
  <si>
    <t>Via Roma 4</t>
  </si>
  <si>
    <t>San Francesco Hotel</t>
  </si>
  <si>
    <t>Via San Francesco 15</t>
  </si>
  <si>
    <t>www.loretosanfrancescohotel.it</t>
  </si>
  <si>
    <t>info@loretosanfrancescohotel.it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</si>
  <si>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</si>
  <si>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</si>
  <si>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</si>
  <si>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</si>
  <si>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</si>
  <si>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</si>
  <si>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</si>
  <si>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</si>
  <si>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</si>
  <si>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</si>
  <si>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</si>
  <si>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Albergo Madonna Di Loreto - Casa Del Clero</t>
  </si>
  <si>
    <t>Via Francesco Asdrubali 104</t>
  </si>
  <si>
    <t>www.santuarioloreto.it</t>
  </si>
  <si>
    <t>madonnadiloreto@delegazioneloreto.it</t>
  </si>
  <si>
    <t>Delfino Azzurro</t>
  </si>
  <si>
    <t>Piazza Giovanni Xxiii 15</t>
  </si>
  <si>
    <t>www.hoteldelfinoazzurro.it</t>
  </si>
  <si>
    <t>delfazz@libero.it</t>
  </si>
  <si>
    <t>Hotel Giardinetto</t>
  </si>
  <si>
    <t>Corso Traiano Boccalini 10</t>
  </si>
  <si>
    <t>www.hotelgiardinetto.it</t>
  </si>
  <si>
    <t>booking@hotelgiardinetto.it</t>
  </si>
  <si>
    <t>La Collina</t>
  </si>
  <si>
    <t>Via San Girolamo  26</t>
  </si>
  <si>
    <t>hotelrist.lacollina@libero.it</t>
  </si>
  <si>
    <t>La Vecchia Fattoria</t>
  </si>
  <si>
    <t>Via A.Manzoni 19</t>
  </si>
  <si>
    <t>www.vecchiafattorialoreto.it</t>
  </si>
  <si>
    <t>lavecchiafattoriasrl@virgilio.it</t>
  </si>
  <si>
    <t>Hotel Pellegrino E Pace</t>
  </si>
  <si>
    <t>Piazza Della Madonna 51/52</t>
  </si>
  <si>
    <t>www.pellegrinoepace.com</t>
  </si>
  <si>
    <t>info@pellegrinoepace.com</t>
  </si>
  <si>
    <t>Hotel San Gabriele</t>
  </si>
  <si>
    <t>Via Guglielmo Marconi 22</t>
  </si>
  <si>
    <t>www.loretohotel.it</t>
  </si>
  <si>
    <t>hotel.sangabriele@libero.it</t>
  </si>
  <si>
    <t>Hotel Centrale Di Paolo E Cinzia Di Frontini Paolo</t>
  </si>
  <si>
    <t>Via Giannuario Solari 5</t>
  </si>
  <si>
    <t>www.hotelcentraleloreto.it</t>
  </si>
  <si>
    <t>info@hotelcentraleloreto.it</t>
  </si>
  <si>
    <t>C.So Boccalini 60</t>
  </si>
  <si>
    <t>hotelloreto@libero.it</t>
  </si>
  <si>
    <t>Green House Picchio</t>
  </si>
  <si>
    <t>Barca 44</t>
  </si>
  <si>
    <t>B&amp;B Agora'</t>
  </si>
  <si>
    <t>Via Montorso 57/A</t>
  </si>
  <si>
    <t>www.agora-bb.it</t>
  </si>
  <si>
    <t>infoagorabb@gmail.com</t>
  </si>
  <si>
    <t>Ceresa'</t>
  </si>
  <si>
    <t>Via Leonessa Snc</t>
  </si>
  <si>
    <t>info@bebceresa.it</t>
  </si>
  <si>
    <t>Pensione Piemonte</t>
  </si>
  <si>
    <t>Viale Asdrubali 70</t>
  </si>
  <si>
    <t>www.pensionepiemonte.it</t>
  </si>
  <si>
    <t>info@pensionepiemonte.it</t>
  </si>
  <si>
    <t>Centro Accoglienza Giovanni Paolo Ii</t>
  </si>
  <si>
    <t>Via Montorso 3</t>
  </si>
  <si>
    <t>www.giovaniloreto.it</t>
  </si>
  <si>
    <t>info@giovaniloreto.it</t>
  </si>
  <si>
    <t>B&amp;B Lavanda</t>
  </si>
  <si>
    <t>C.So Boccalini 30</t>
  </si>
  <si>
    <t>www.lavandabb.it</t>
  </si>
  <si>
    <t>raffaellagervasoni@icloud.it</t>
  </si>
  <si>
    <t>Via Asdrubali 42</t>
  </si>
  <si>
    <t>Www.Aduepassi.Loreto.It</t>
  </si>
  <si>
    <t>info@aduepassiloreto.it</t>
  </si>
  <si>
    <t>B&amp;B Holy House</t>
  </si>
  <si>
    <t>Via Verdi 21</t>
  </si>
  <si>
    <t>www.holyhouse.it</t>
  </si>
  <si>
    <t>info@holyhouse.it</t>
  </si>
  <si>
    <t>Giulio Fiori</t>
  </si>
  <si>
    <t>Via Pergolesi 6</t>
  </si>
  <si>
    <t>info@giuliofiori.it</t>
  </si>
  <si>
    <t>A Casa Di Nonna Di Croia Mauro</t>
  </si>
  <si>
    <t>Via Abruzzo 7</t>
  </si>
  <si>
    <t>maurocroia@alice.it</t>
  </si>
  <si>
    <t>Gli Alberetti</t>
  </si>
  <si>
    <t>Via Piane 49/A</t>
  </si>
  <si>
    <t>marcobruge@tiscali.it</t>
  </si>
  <si>
    <t>B&amp;B Isa</t>
  </si>
  <si>
    <t>Montorsetto 13</t>
  </si>
  <si>
    <t>http://www.bedandbreakfastisa.it/</t>
  </si>
  <si>
    <t>info@bedandbreakfastisa.it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</si>
  <si>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</si>
  <si>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</si>
  <si>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</si>
  <si>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</si>
  <si>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</si>
  <si>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</si>
  <si>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</si>
  <si>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</si>
  <si>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</si>
  <si>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</si>
  <si>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</si>
  <si>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</si>
  <si>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</si>
  <si>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</si>
  <si>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</si>
  <si>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</si>
  <si>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Via F.Asdrubali 24</t>
  </si>
  <si>
    <t>info@anticamaison.net</t>
  </si>
  <si>
    <t>Terra Dei Fioretti</t>
  </si>
  <si>
    <t>Via Aldo Moro 46</t>
  </si>
  <si>
    <t>alessandroangelisanti@alice.it</t>
  </si>
  <si>
    <t>B&amp;B La Locanda Del Picchio</t>
  </si>
  <si>
    <t>Via Rossini 9</t>
  </si>
  <si>
    <t>www.locandadelpicchio.it</t>
  </si>
  <si>
    <t>info@locandadelpicchio.it</t>
  </si>
  <si>
    <t>B&amp;B Profumodipane</t>
  </si>
  <si>
    <t>Via Buffolareccia 13</t>
  </si>
  <si>
    <t>bbprofumodipane@gmail.com</t>
  </si>
  <si>
    <t>Istituto Salesiano Madonna Di Loreto</t>
  </si>
  <si>
    <t>Via San Giovanni Bosco Burbera 7</t>
  </si>
  <si>
    <t>loreto-economosdb@donbosco.it</t>
  </si>
  <si>
    <t>B&amp;B Chiaraluce Elena</t>
  </si>
  <si>
    <t>Via Trieste 20 20</t>
  </si>
  <si>
    <t>elenachiara34@gmail.com</t>
  </si>
  <si>
    <t>Casa Accoglienza Sacra Famiglia Di Nazareth</t>
  </si>
  <si>
    <t>Via Cesare Maccari 7</t>
  </si>
  <si>
    <t>c.sfn@tiscali.it</t>
  </si>
  <si>
    <t>Affittacamere Simonetti</t>
  </si>
  <si>
    <t>Piazza Francesco Basili 4</t>
  </si>
  <si>
    <t>www.dormialoreto.it</t>
  </si>
  <si>
    <t>contact@affittacameresimonetti.it</t>
  </si>
  <si>
    <t>Agriturismo Case Al Sole</t>
  </si>
  <si>
    <t>Via Sciamannata 1</t>
  </si>
  <si>
    <t>www.casealsole.net</t>
  </si>
  <si>
    <t>info@casealsole.net</t>
  </si>
  <si>
    <t>Casa Di Accoglienza Domus Pacis</t>
  </si>
  <si>
    <t>Via Guglielmo Marconi 2</t>
  </si>
  <si>
    <t>Collemare Snc Villa Al Conero</t>
  </si>
  <si>
    <t>Via Cesare Maccari 33/A</t>
  </si>
  <si>
    <t>info@prolocoloreto.com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</si>
  <si>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</si>
  <si>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</si>
  <si>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</si>
  <si>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</si>
  <si>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</si>
  <si>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</si>
  <si>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</si>
  <si>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</si>
  <si>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B&amp;B Celeste Loreto Conero</t>
  </si>
  <si>
    <t>Piazza Leon Dehon 20</t>
  </si>
  <si>
    <t>Loc.Villa Musone</t>
  </si>
  <si>
    <t>celesteloretoconero@libero.it</t>
  </si>
  <si>
    <t>Villa Tetlameya E Zi' Nene</t>
  </si>
  <si>
    <t>Via Villa Costantina 187</t>
  </si>
  <si>
    <t>www.ristorantezinene.it</t>
  </si>
  <si>
    <t>ristorantezinene@gmail.com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</si>
  <si>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</si>
  <si>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</si>
  <si>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</si>
  <si>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</si>
  <si>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</si>
  <si>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Via Grotte 10</t>
  </si>
  <si>
    <t>B&amp;B I Tre Bassotti</t>
  </si>
  <si>
    <t>Via Bramante 1</t>
  </si>
  <si>
    <t>info@itrebassotti.it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</si>
  <si>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</si>
  <si>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</si>
  <si>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</si>
  <si>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</si>
  <si>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</si>
  <si>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</si>
  <si>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</si>
  <si>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</si>
  <si>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</si>
  <si>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</si>
  <si>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</si>
  <si>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</si>
  <si>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</si>
  <si>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</si>
  <si>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</si>
  <si>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Albergo Giovanni Xxiii</t>
  </si>
  <si>
    <t>Piazza Carlo Sertori 6</t>
  </si>
  <si>
    <t>m.alfieri95@gmail.com</t>
  </si>
  <si>
    <t>B&amp;B Casale Papa Di Renzetti Costanza</t>
  </si>
  <si>
    <t>Via Banderuola Snc</t>
  </si>
  <si>
    <t>casalepapa@gmail.com</t>
  </si>
  <si>
    <t>Casa Azzurra</t>
  </si>
  <si>
    <t>Contrada Grazie Fiastra 67 B</t>
  </si>
  <si>
    <t>www.casaazzurra.it</t>
  </si>
  <si>
    <t>info@casaazzurra.it</t>
  </si>
  <si>
    <t>Cardarelli Miryam</t>
  </si>
  <si>
    <t>Contrada Appezzana 24</t>
  </si>
  <si>
    <t>italianartandfood.it</t>
  </si>
  <si>
    <t>guidaartclub@gmail.com</t>
  </si>
  <si>
    <t>Agriturismo Campolargo Di Marchesini Attilio</t>
  </si>
  <si>
    <t>Strada Valentino 1</t>
  </si>
  <si>
    <t>www.agriturismocampolargo.it</t>
  </si>
  <si>
    <t>info@agriturismocampolargo.it</t>
  </si>
  <si>
    <t>B&amp;B Casa Pisani</t>
  </si>
  <si>
    <t>Via Cremone Gabbette 58A</t>
  </si>
  <si>
    <t>www.casapisani.it</t>
  </si>
  <si>
    <t>restpisani@libero.it</t>
  </si>
  <si>
    <t>B&amp;B Dell'Orso Giuseppe</t>
  </si>
  <si>
    <t>Via Regina Margherita 2</t>
  </si>
  <si>
    <t>peppecotto@tiscali.it</t>
  </si>
  <si>
    <t>Christopher Gerald Thorp</t>
  </si>
  <si>
    <t>Contrada Salsaro Ete 50</t>
  </si>
  <si>
    <t>Le Grazie</t>
  </si>
  <si>
    <t>Contrada Grazie Fiastra 1</t>
  </si>
  <si>
    <t>B&amp;B Al Casale</t>
  </si>
  <si>
    <t>Viale Vittoria 143</t>
  </si>
  <si>
    <t>www.alcasale.com</t>
  </si>
  <si>
    <t>barbara@borgosorbatti.it</t>
  </si>
  <si>
    <t>B&amp;B Luana</t>
  </si>
  <si>
    <t>Via Grazie Fiastra 43/F</t>
  </si>
  <si>
    <t>daluana@virgilio.it</t>
  </si>
  <si>
    <t>Acquaviva Di Cecchi Peppino</t>
  </si>
  <si>
    <t>Contrada Acquaviva San Paterniano 34</t>
  </si>
  <si>
    <t>www.countryhouseacquaviva.it</t>
  </si>
  <si>
    <t>p.cecchi@tiscali.it</t>
  </si>
  <si>
    <t>Agriturismo Villa Le Vigne Di Saputi Alvaro</t>
  </si>
  <si>
    <t>Contrada Appezzana 80</t>
  </si>
  <si>
    <t>www.agriturismovillalevigne.it</t>
  </si>
  <si>
    <t>info@saputi.it</t>
  </si>
  <si>
    <t>B&amp;B Varco</t>
  </si>
  <si>
    <t>Contrada San Valentino Campo Largo 2</t>
  </si>
  <si>
    <t>www.bbvarco.it</t>
  </si>
  <si>
    <t>info@bbvarco.it</t>
  </si>
  <si>
    <t>Il Feudo Dei Cipressi</t>
  </si>
  <si>
    <t>Contrada Grazie Fiastra 32</t>
  </si>
  <si>
    <t>www.feudodeicipressi.it</t>
  </si>
  <si>
    <t>guidopallotta@alice.it</t>
  </si>
  <si>
    <t>Azienda Mastrocola</t>
  </si>
  <si>
    <t>C.Da Salsaro Ete 37</t>
  </si>
  <si>
    <t>www.azienda-mastrocola.com</t>
  </si>
  <si>
    <t>info@azienda-mastrocola.com</t>
  </si>
  <si>
    <t>Casa Valentina Di Moody Barry</t>
  </si>
  <si>
    <t>Contrada San Valentino  39</t>
  </si>
  <si>
    <t>barry.moody@thomsonreuters.com</t>
  </si>
  <si>
    <t>Borgo Sorbatti</t>
  </si>
  <si>
    <t>Viale Vittoria 137</t>
  </si>
  <si>
    <t>www.borgosorbatti.it</t>
  </si>
  <si>
    <t>Silvetti Gianfranco E Gaetano</t>
  </si>
  <si>
    <t>C.Da Grazie Fiastra 65</t>
  </si>
  <si>
    <t>lasorgentedelbeato@gmail.com</t>
  </si>
  <si>
    <t>Christinus Adrianus</t>
  </si>
  <si>
    <t>Via Salsaro Ete Snc</t>
  </si>
  <si>
    <t>donall@donall.it</t>
  </si>
  <si>
    <t>Villa Anitori</t>
  </si>
  <si>
    <t>Contrada S. Valentino Campolargo 53</t>
  </si>
  <si>
    <t>info@villaanitori.it</t>
  </si>
  <si>
    <t>Hofsteede Sarah</t>
  </si>
  <si>
    <t>Via Salsaro Ete 37</t>
  </si>
  <si>
    <t>Il Clan Illuminato</t>
  </si>
  <si>
    <t>Localita' Convento Del Monte Illuminato</t>
  </si>
  <si>
    <t>anna.pierleoni@tin.it</t>
  </si>
  <si>
    <t>I Castagni Della Pianella</t>
  </si>
  <si>
    <t>Loc. Pianella Sn</t>
  </si>
  <si>
    <t>Loc. La Pianella</t>
  </si>
  <si>
    <t>manenti.stefano@tiscali.it</t>
  </si>
  <si>
    <t>Foresteria Opera Arte</t>
  </si>
  <si>
    <t>Piazza Lauro Rossi 4</t>
  </si>
  <si>
    <t>info@operaarte.it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</si>
  <si>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</si>
  <si>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</si>
  <si>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</si>
  <si>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</si>
  <si>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</si>
  <si>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</si>
  <si>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</si>
  <si>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</si>
  <si>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</si>
  <si>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</si>
  <si>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</si>
  <si>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</si>
  <si>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</si>
  <si>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</si>
  <si>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</si>
  <si>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</si>
  <si>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</si>
  <si>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</si>
  <si>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</si>
  <si>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</si>
  <si>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</si>
  <si>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</si>
  <si>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</si>
  <si>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</si>
  <si>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www.domusmacerata.it</t>
  </si>
  <si>
    <t>sangiuliano@domusmacerata.it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</si>
  <si>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</si>
  <si>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</si>
  <si>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</si>
  <si>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</si>
  <si>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</si>
  <si>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</si>
  <si>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</si>
  <si>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</si>
  <si>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</si>
  <si>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</si>
  <si>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</si>
  <si>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</si>
  <si>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</si>
  <si>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</si>
  <si>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</si>
  <si>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</si>
  <si>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</si>
  <si>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</si>
  <si>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</si>
  <si>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</si>
  <si>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</si>
  <si>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</si>
  <si>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</si>
  <si>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</si>
  <si>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</si>
  <si>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</si>
  <si>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</si>
  <si>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</si>
  <si>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</si>
  <si>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</si>
  <si>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</si>
  <si>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</si>
  <si>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</si>
  <si>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</si>
  <si>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</si>
  <si>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</si>
  <si>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Residence Madison Village</t>
  </si>
  <si>
    <t>Via Giovanni Verga 39</t>
  </si>
  <si>
    <t>www.madisonvillage.it</t>
  </si>
  <si>
    <t>info@madisonvillage.it</t>
  </si>
  <si>
    <t>Foresteria Roma 1 Interno 14</t>
  </si>
  <si>
    <t>Via Roma 152</t>
  </si>
  <si>
    <t>staffolani@ilfarosociale.it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</si>
  <si>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</si>
  <si>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</si>
  <si>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</si>
  <si>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</si>
  <si>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</si>
  <si>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</si>
  <si>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</si>
  <si>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</si>
  <si>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Belcuore</t>
  </si>
  <si>
    <t>Via Galasso Da Carpi 39</t>
  </si>
  <si>
    <t>www.belcuore.it</t>
  </si>
  <si>
    <t>info@belcuore.it</t>
  </si>
  <si>
    <t>B&amp;B  Belohorizonte</t>
  </si>
  <si>
    <t>Via 2 Agosto 1980 8</t>
  </si>
  <si>
    <t>B&amp;B La Cicala</t>
  </si>
  <si>
    <t>Via L. Cicalè 23</t>
  </si>
  <si>
    <t>www.bed-and-breakfast-macerata.it</t>
  </si>
  <si>
    <t>migliorelli.andrea@yahoo.it</t>
  </si>
  <si>
    <t>Contrada Botonto 7</t>
  </si>
  <si>
    <t>www.casailgirasole.it</t>
  </si>
  <si>
    <t>bedbreakfastilgirasole@gmail.com</t>
  </si>
  <si>
    <t>B&amp;B Macerata</t>
  </si>
  <si>
    <t>Via 2 Agosto 1980 15</t>
  </si>
  <si>
    <t>bbmacerata@gmail.com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</si>
  <si>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</si>
  <si>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</si>
  <si>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</si>
  <si>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</si>
  <si>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</si>
  <si>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</si>
  <si>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</si>
  <si>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</si>
  <si>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</si>
  <si>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</si>
  <si>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</si>
  <si>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</si>
  <si>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</si>
  <si>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</si>
  <si>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</si>
  <si>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</si>
  <si>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Bajocco Marco E Monia S.S.</t>
  </si>
  <si>
    <t>C.Da Fonte S.Giuliano 29</t>
  </si>
  <si>
    <t>Le Case</t>
  </si>
  <si>
    <t>Contrada Mozzavinci 16, 17</t>
  </si>
  <si>
    <t>www.countryhouselecase.it</t>
  </si>
  <si>
    <t>ristorantelecase@tin.it</t>
  </si>
  <si>
    <t>Country House  "I Gelsi"  Di Villani Francesca</t>
  </si>
  <si>
    <t>Contrada Acquesalate 24</t>
  </si>
  <si>
    <t>www.igelsi-countryhouse.it</t>
  </si>
  <si>
    <t>info@igelsi-countryhouse.it</t>
  </si>
  <si>
    <t>Da Rosa</t>
  </si>
  <si>
    <t>Via Leopoldo Armaroli 94</t>
  </si>
  <si>
    <t>Arena</t>
  </si>
  <si>
    <t>Vicolo Sferisterio 16</t>
  </si>
  <si>
    <t>www.albergoarena.com</t>
  </si>
  <si>
    <t>info@albergoarena.com</t>
  </si>
  <si>
    <t>Claudiani</t>
  </si>
  <si>
    <t>Vicolo Antonio Ulissi 8</t>
  </si>
  <si>
    <t>www.hotelclaudiani.it</t>
  </si>
  <si>
    <t>info@hotelclaudiani.it</t>
  </si>
  <si>
    <t>Hotel I Colli</t>
  </si>
  <si>
    <t>Via Roma 151</t>
  </si>
  <si>
    <t>www.hotelicolli.com</t>
  </si>
  <si>
    <t>info@hotelicolli.com</t>
  </si>
  <si>
    <t>Kristal</t>
  </si>
  <si>
    <t>Via Cluentina 49</t>
  </si>
  <si>
    <t>Ostello Asilo Ricci</t>
  </si>
  <si>
    <t>Via Dell' Asilo 36</t>
  </si>
  <si>
    <t>www.meridiana.mc.it</t>
  </si>
  <si>
    <t>ostelloasiloricci@meridiana.mc.it</t>
  </si>
  <si>
    <t>Lucangeli Virgilio</t>
  </si>
  <si>
    <t>Via Ventura 129</t>
  </si>
  <si>
    <t>virgiliolucangeli@libero.it</t>
  </si>
  <si>
    <t>Agriturismo Floriani</t>
  </si>
  <si>
    <t>Contrada Montanello 5</t>
  </si>
  <si>
    <t>Casa Corneto</t>
  </si>
  <si>
    <t>Via Massimo D'Azeglio 40</t>
  </si>
  <si>
    <t>elveziaalgi@gmail.com</t>
  </si>
  <si>
    <t>B&amp;B Casa Cettina</t>
  </si>
  <si>
    <t>Via Antonio Piani 46</t>
  </si>
  <si>
    <t>manzcon@libero.it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</si>
  <si>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</si>
  <si>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</si>
  <si>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</si>
  <si>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</si>
  <si>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</si>
  <si>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</si>
  <si>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</si>
  <si>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Le Logge</t>
  </si>
  <si>
    <t>Via Angelo Battelli 28</t>
  </si>
  <si>
    <t>cris.sper@alice.it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</si>
  <si>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</si>
  <si>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</si>
  <si>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</si>
  <si>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</si>
  <si>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</si>
  <si>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</si>
  <si>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</si>
  <si>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</si>
  <si>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Agriturismo La Cisterna</t>
  </si>
  <si>
    <t>Frazione Santa Lucia 12</t>
  </si>
  <si>
    <t>www.lacisterna.net</t>
  </si>
  <si>
    <t>info@lacisterna.net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</si>
  <si>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</si>
  <si>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</si>
  <si>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</si>
  <si>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</si>
  <si>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</si>
  <si>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</si>
  <si>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</si>
  <si>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</si>
  <si>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</si>
  <si>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</si>
  <si>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</si>
  <si>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</si>
  <si>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</si>
  <si>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</si>
  <si>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Agriturismo La Faggiola</t>
  </si>
  <si>
    <t>Casino Faggiola 3</t>
  </si>
  <si>
    <t>lafaggiola@gmail.com</t>
  </si>
  <si>
    <t>Mulino Delle Monache Srl</t>
  </si>
  <si>
    <t>Via Mulino Delle Marche 1</t>
  </si>
  <si>
    <t>studiogragnani@studiogragnani.it</t>
  </si>
  <si>
    <t>Il Veliero</t>
  </si>
  <si>
    <t>Viale America 1/A,B</t>
  </si>
  <si>
    <t>Viale America</t>
  </si>
  <si>
    <t>Lu Grillo Holiday</t>
  </si>
  <si>
    <t>Via Poggio San Gaetano 19</t>
  </si>
  <si>
    <t>lugrilloholiday.altervista.org</t>
  </si>
  <si>
    <t>barbaravita@hotmail.com</t>
  </si>
  <si>
    <t>B&amp;B Agricola Le Grazie</t>
  </si>
  <si>
    <t>Via Della Libertà 20</t>
  </si>
  <si>
    <t>agricolalegrazie@gmail.com</t>
  </si>
  <si>
    <t>B&amp;B La Moja</t>
  </si>
  <si>
    <t>Via Trieste 15</t>
  </si>
  <si>
    <t>carlinoferri@libero.it</t>
  </si>
  <si>
    <t>Hotel La Torre</t>
  </si>
  <si>
    <t>Via Montecarottese 4</t>
  </si>
  <si>
    <t>www.hotelristorantelatorre.com</t>
  </si>
  <si>
    <t>info@hotelristorantelatorre.com</t>
  </si>
  <si>
    <t>Casa Paolo Vi</t>
  </si>
  <si>
    <t>Via Dei Castelli 7</t>
  </si>
  <si>
    <t>Spontini</t>
  </si>
  <si>
    <t>Via Gaspare Spontini 33</t>
  </si>
  <si>
    <t>L'Ulivo</t>
  </si>
  <si>
    <t>Via Tufi 14</t>
  </si>
  <si>
    <t>www.agriturismolulivo.com</t>
  </si>
  <si>
    <t>info@agriturismolulivo.com</t>
  </si>
  <si>
    <t>La Nicchia Ecologica</t>
  </si>
  <si>
    <t>Via Roncone 11</t>
  </si>
  <si>
    <t>www.lanicchiaecologica.it</t>
  </si>
  <si>
    <t>la_nicchia_ecologica@libero.it</t>
  </si>
  <si>
    <t>Il Melograno</t>
  </si>
  <si>
    <t>Via Vallati 21</t>
  </si>
  <si>
    <t>www.ilmelograno.de</t>
  </si>
  <si>
    <t>information@ilmelograno.de</t>
  </si>
  <si>
    <t>B&amp;B La Nicchia Di Mercato</t>
  </si>
  <si>
    <t>Via Gaspare Spontini 7</t>
  </si>
  <si>
    <t>www.beb.lanicchiadimercato.com/</t>
  </si>
  <si>
    <t>lanicchiadimercato@gmail.com</t>
  </si>
  <si>
    <t>Via Santa Liberata 41</t>
  </si>
  <si>
    <t>www.lacollinadegliolivi.eu</t>
  </si>
  <si>
    <t>info@lacollinadegliolivi.eu</t>
  </si>
  <si>
    <t>B&amp;B Il Quadrifoglio La Siesta</t>
  </si>
  <si>
    <t>Via Risorgimento 167</t>
  </si>
  <si>
    <t>marco.pigliapoco@confartigianato.an.it</t>
  </si>
  <si>
    <t>info@lasiestamoie.it</t>
  </si>
  <si>
    <t>Al Vecchio Rotone</t>
  </si>
  <si>
    <t>Via Della Chiusa 3</t>
  </si>
  <si>
    <t>www.alvecchiorotone.it</t>
  </si>
  <si>
    <t>info@alvecchiorotone.it</t>
  </si>
  <si>
    <t>B&amp;B L'Antico E La Quercia</t>
  </si>
  <si>
    <t>Via Colle Cervinara 8</t>
  </si>
  <si>
    <t>www.bbdormire.com; www.lanticoelaquercia.it</t>
  </si>
  <si>
    <t>emidiolegno@libero.it</t>
  </si>
  <si>
    <t>Hotel Ristorante Villa Fanini</t>
  </si>
  <si>
    <t>Via G. Sacconi 52</t>
  </si>
  <si>
    <t>info@villafanini.it</t>
  </si>
  <si>
    <t>B&amp;B La Casa Del Viaggiatore Di Belotti Francesca</t>
  </si>
  <si>
    <t>Contrada San Lorenzo 1</t>
  </si>
  <si>
    <t>info@lacasadelviaggiatorebb.com</t>
  </si>
  <si>
    <t>Country House Chiaraluce</t>
  </si>
  <si>
    <t>Contrada Fonte Trufo 34</t>
  </si>
  <si>
    <t>www.countryhouseonline.it</t>
  </si>
  <si>
    <t>info@countryhouseonline.it</t>
  </si>
  <si>
    <t>C.Da Montecantino 83</t>
  </si>
  <si>
    <t>www.residenceclubazzurro.it</t>
  </si>
  <si>
    <t>info@residenceclubazzurro.it</t>
  </si>
  <si>
    <t>Agriturismo Da Fioro' La Collina Dei Sapori</t>
  </si>
  <si>
    <t>C/Da S. Pietro 36</t>
  </si>
  <si>
    <t>agriturismo.fioro@alice.it</t>
  </si>
  <si>
    <t>B&amp;B Il Melograno</t>
  </si>
  <si>
    <t>Contrada Fonte Trufo 13</t>
  </si>
  <si>
    <t>www.ilmelogranobb.it</t>
  </si>
  <si>
    <t>atochry@gmail.com</t>
  </si>
  <si>
    <t>Contrada San Pietro 61</t>
  </si>
  <si>
    <t>hotel.lepalme@libero.it</t>
  </si>
  <si>
    <t>Lotto N.2</t>
  </si>
  <si>
    <t>Marina Di Massignano</t>
  </si>
  <si>
    <t>Lotto N.4</t>
  </si>
  <si>
    <t>Villa Aniana</t>
  </si>
  <si>
    <t>Contrada San Pietro 23</t>
  </si>
  <si>
    <t>www.hotelvillaniana.it</t>
  </si>
  <si>
    <t>info@hotelvillaniana.it</t>
  </si>
  <si>
    <t>Il Contadino</t>
  </si>
  <si>
    <t>Via Montecatino 72 72</t>
  </si>
  <si>
    <t>ristcontadino@libero.it</t>
  </si>
  <si>
    <t>www.hotelilcontadino.it</t>
  </si>
  <si>
    <t>Residence L'Agave</t>
  </si>
  <si>
    <t>C.Da Fonte Trufo 12</t>
  </si>
  <si>
    <t>Loc.Massignano</t>
  </si>
  <si>
    <t>info@agave-residence.it</t>
  </si>
  <si>
    <t>Agriturismo Bonu' Gabriele</t>
  </si>
  <si>
    <t>Contrada Santa Giuliana 12/A</t>
  </si>
  <si>
    <t>bonugabriele@hotmail.it</t>
  </si>
  <si>
    <t>Agriturismo Collelago</t>
  </si>
  <si>
    <t>Contrada Montecantino 3</t>
  </si>
  <si>
    <t>www.collelago.it</t>
  </si>
  <si>
    <t>info@collelago.it</t>
  </si>
  <si>
    <t>B&amp;B Norma</t>
  </si>
  <si>
    <t>Contrada Piana Santi 89</t>
  </si>
  <si>
    <t>norma.steca@alice.it</t>
  </si>
  <si>
    <t>Casa Di Gino</t>
  </si>
  <si>
    <t>Contrada San Pietro 101</t>
  </si>
  <si>
    <t>www.casadigino.it</t>
  </si>
  <si>
    <t>info@casadigino.it</t>
  </si>
  <si>
    <t>B&amp;B La Casa Di Clelia</t>
  </si>
  <si>
    <t>Via Montebello 10</t>
  </si>
  <si>
    <t>dimoraclelia@gmail.com</t>
  </si>
  <si>
    <t>Country House Il Girasole</t>
  </si>
  <si>
    <t>Contrada S. Pietro 38</t>
  </si>
  <si>
    <t>countryhouseilgirasole@gmail.com</t>
  </si>
  <si>
    <t>Il Giardino Aromatico</t>
  </si>
  <si>
    <t>Via Piane Santi 75</t>
  </si>
  <si>
    <t>lampa611@gmail.com</t>
  </si>
  <si>
    <t>Lotto N.3</t>
  </si>
  <si>
    <t>Rivamare</t>
  </si>
  <si>
    <t>Via Montecatino - Statale 16 Adriatica Km 373 59</t>
  </si>
  <si>
    <t>www.rivamare.it</t>
  </si>
  <si>
    <t>hotel@rivamare.it - info@rivamare.it</t>
  </si>
  <si>
    <t>Via Montecantino 66</t>
  </si>
  <si>
    <t>Agriturismo Oasi</t>
  </si>
  <si>
    <t>Contrada San Pietro 3</t>
  </si>
  <si>
    <t>www.oasi.weebly.it</t>
  </si>
  <si>
    <t>adriana.dalboni@alice.it</t>
  </si>
  <si>
    <t>La Sorgente</t>
  </si>
  <si>
    <t>Contrada Marezi 16/A</t>
  </si>
  <si>
    <t>www.lasorgente-massignano.it</t>
  </si>
  <si>
    <t>giorgia.pelliccioni@yahoo.it</t>
  </si>
  <si>
    <t>Casa Grimaldi</t>
  </si>
  <si>
    <t>Loc. Vocabolo Grimaldi  20</t>
  </si>
  <si>
    <t>Vocabolo Grimaldi</t>
  </si>
  <si>
    <t>www.casagrimaldi.it</t>
  </si>
  <si>
    <t>casagrimaldimatelica@gmail.com</t>
  </si>
  <si>
    <t>B&amp;B I Tre Ciliegi</t>
  </si>
  <si>
    <t>Vocabolo Felette Basse 571</t>
  </si>
  <si>
    <t>Casa Deimar</t>
  </si>
  <si>
    <t>Vocabolo Cecca 248</t>
  </si>
  <si>
    <t>www.casadeimar.it</t>
  </si>
  <si>
    <t>info@casadeimar.it</t>
  </si>
  <si>
    <t>Vecchia Porta</t>
  </si>
  <si>
    <t>Via Circonvallazione 105</t>
  </si>
  <si>
    <t>www.vecchiaporta.it</t>
  </si>
  <si>
    <t>info@vecchiaporta.it</t>
  </si>
  <si>
    <t>Residenza San Francesco</t>
  </si>
  <si>
    <t>Via San  Francesco Snc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</si>
  <si>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</si>
  <si>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</si>
  <si>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</si>
  <si>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</si>
  <si>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</si>
  <si>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</si>
  <si>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Country House Salomone</t>
  </si>
  <si>
    <t>Vocabolo Salomone 437</t>
  </si>
  <si>
    <t>www.salomone-matelica.it</t>
  </si>
  <si>
    <t>info@salomone-matelica.it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</si>
  <si>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</si>
  <si>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</si>
  <si>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</si>
  <si>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</si>
  <si>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</si>
  <si>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</si>
  <si>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Cavaliere Errante</t>
  </si>
  <si>
    <t>Via Labbrano 125</t>
  </si>
  <si>
    <t>Labbrano</t>
  </si>
  <si>
    <t>francesco2683@gmail.com</t>
  </si>
  <si>
    <t>Il Colle Del Sole</t>
  </si>
  <si>
    <t>Colle Tenuto</t>
  </si>
  <si>
    <t>www.ilcolledelsole.it</t>
  </si>
  <si>
    <t>info@ilcolledelsole.it</t>
  </si>
  <si>
    <t>Villa Collepere</t>
  </si>
  <si>
    <t>Vocabolo Collepere 1</t>
  </si>
  <si>
    <t>www.villacollepere.it</t>
  </si>
  <si>
    <t>info@villacollepere.it</t>
  </si>
  <si>
    <t>B&amp;B Toscano Rinaldo Antonio</t>
  </si>
  <si>
    <t>Vocabolo Serre Alte 1</t>
  </si>
  <si>
    <t>toscano.cinzia@gmail.com</t>
  </si>
  <si>
    <t>La Casa Dei Fiori</t>
  </si>
  <si>
    <t>Località Serra Delle Piane 123</t>
  </si>
  <si>
    <t>Serra Delle Piane</t>
  </si>
  <si>
    <t>www.lacasadeifiori.eu</t>
  </si>
  <si>
    <t>info@lacasadeifiori.eu</t>
  </si>
  <si>
    <t>Azienda Agrituristica Casa Rastia</t>
  </si>
  <si>
    <t>Vocabolo Rastia 1</t>
  </si>
  <si>
    <t>www.casarastia.it</t>
  </si>
  <si>
    <t>info@casarastia.it</t>
  </si>
  <si>
    <t>Hotel Massi</t>
  </si>
  <si>
    <t>Via Aristide Merloni 8</t>
  </si>
  <si>
    <t>Hotel Della Loggia</t>
  </si>
  <si>
    <t>Via Santa Maria 3</t>
  </si>
  <si>
    <t>www.hoteldellaloggia.it</t>
  </si>
  <si>
    <t>info@hoteldellaloggia.it</t>
  </si>
  <si>
    <t>B&amp;B Lara Gaggini</t>
  </si>
  <si>
    <t>Via Vocabolo Serre Alte 308</t>
  </si>
  <si>
    <t>www.serre-alte.com</t>
  </si>
  <si>
    <t>lara.gaggini@alice.it</t>
  </si>
  <si>
    <t>Da Foschetta</t>
  </si>
  <si>
    <t>C.Da Acquaviva 569</t>
  </si>
  <si>
    <t>agriturismo.dafoschetta@gmail.com</t>
  </si>
  <si>
    <t>Agriturismo San Biagio</t>
  </si>
  <si>
    <t>Via Vocabolo Pescheria 24</t>
  </si>
  <si>
    <t>valerpietro@libero.it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</si>
  <si>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</si>
  <si>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</si>
  <si>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</si>
  <si>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</si>
  <si>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</si>
  <si>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</si>
  <si>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</si>
  <si>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Le Voci Del Silenzio</t>
  </si>
  <si>
    <t>Loc.Cal Bianchino</t>
  </si>
  <si>
    <t>levocidelsilenzio@libero.it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</si>
  <si>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</si>
  <si>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</si>
  <si>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</si>
  <si>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</si>
  <si>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</si>
  <si>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</si>
  <si>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Localita' Castello Della Pieve 1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</si>
  <si>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</si>
  <si>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</si>
  <si>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</si>
  <si>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</si>
  <si>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</si>
  <si>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</si>
  <si>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</si>
  <si>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</si>
  <si>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</si>
  <si>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</si>
  <si>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</si>
  <si>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</si>
  <si>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</si>
  <si>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</si>
  <si>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</si>
  <si>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</si>
  <si>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</si>
  <si>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</si>
  <si>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</si>
  <si>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</si>
  <si>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</si>
  <si>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</si>
  <si>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</si>
  <si>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</si>
  <si>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</si>
  <si>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</si>
  <si>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</si>
  <si>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</si>
  <si>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</si>
  <si>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</si>
  <si>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</si>
  <si>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</si>
  <si>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</si>
  <si>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</si>
  <si>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La Torre</t>
  </si>
  <si>
    <t>Agriturismo La Grotta Dei Folletti</t>
  </si>
  <si>
    <t>Localita' Bruciata 29/A</t>
  </si>
  <si>
    <t>www.lagrottadeifolletti.it</t>
  </si>
  <si>
    <t>info@lagrottadeifolletti.it</t>
  </si>
  <si>
    <t>Le Caselle</t>
  </si>
  <si>
    <t>Localita' Caselle 1</t>
  </si>
  <si>
    <t>Loc.Caselle Di Metola</t>
  </si>
  <si>
    <t>cabaronco@libero.it</t>
  </si>
  <si>
    <t>B&amp;B Il Soccorso</t>
  </si>
  <si>
    <t>Via Soccorso 2</t>
  </si>
  <si>
    <t>www.bbilsoccorso.it</t>
  </si>
  <si>
    <t>info@bbilsoccorso.it</t>
  </si>
  <si>
    <t>B&amp;B Dini Carlo</t>
  </si>
  <si>
    <t>Via Voc. Santa Lucia  Sn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</si>
  <si>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</si>
  <si>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</si>
  <si>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</si>
  <si>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</si>
  <si>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</si>
  <si>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</si>
  <si>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</si>
  <si>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</si>
  <si>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</si>
  <si>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</si>
  <si>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Corso Bencivenni 29</t>
  </si>
  <si>
    <t>www.palazzodonati.com</t>
  </si>
  <si>
    <t>eventi@montestigliano.it</t>
  </si>
  <si>
    <t>Castello Della Pieve</t>
  </si>
  <si>
    <t>www.castellodellapieve.it</t>
  </si>
  <si>
    <t>info@castellodellapieve.it</t>
  </si>
  <si>
    <t>Via Del Borgo 12</t>
  </si>
  <si>
    <t>Piandicastello</t>
  </si>
  <si>
    <t>Agriturismo La Possione</t>
  </si>
  <si>
    <t>Via Villa Bassa 1</t>
  </si>
  <si>
    <t>Il Tiglio</t>
  </si>
  <si>
    <t>Via Fontisa 2</t>
  </si>
  <si>
    <t>www.countryhouseiltiglio.it</t>
  </si>
  <si>
    <t>info@countryhouseiltiglio.it</t>
  </si>
  <si>
    <t>Lidia</t>
  </si>
  <si>
    <t>Via Giacomo Matteotti 7</t>
  </si>
  <si>
    <t>www.hotellidia.it</t>
  </si>
  <si>
    <t>info@hotellidia.it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</si>
  <si>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</si>
  <si>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</si>
  <si>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</si>
  <si>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</si>
  <si>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</si>
  <si>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</si>
  <si>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</si>
  <si>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</si>
  <si>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</si>
  <si>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</si>
  <si>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</si>
  <si>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</si>
  <si>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</si>
  <si>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</si>
  <si>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</si>
  <si>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</si>
  <si>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</si>
  <si>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</si>
  <si>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</si>
  <si>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</si>
  <si>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</si>
  <si>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</si>
  <si>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</si>
  <si>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</si>
  <si>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</si>
  <si>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</si>
  <si>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</si>
  <si>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</si>
  <si>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</si>
  <si>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</si>
  <si>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</si>
  <si>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</si>
  <si>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</si>
  <si>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</si>
  <si>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</si>
  <si>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</si>
  <si>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B&amp;B Casa Fontana</t>
  </si>
  <si>
    <t>Via Panocchia 6</t>
  </si>
  <si>
    <t>www.casafontana.com</t>
  </si>
  <si>
    <t>info@casafontana.com</t>
  </si>
  <si>
    <t>Caserma Carina</t>
  </si>
  <si>
    <t>Contrada Mossa 16</t>
  </si>
  <si>
    <t>www.caserma-carina.co.uk</t>
  </si>
  <si>
    <t>info@caserma-carina.co.uk</t>
  </si>
  <si>
    <t>B&amp;B Fabiani Andrea</t>
  </si>
  <si>
    <t>Contrada Bagliano 25</t>
  </si>
  <si>
    <t>www.thecountryhouse.it</t>
  </si>
  <si>
    <t>info@thecountryhouse.it</t>
  </si>
  <si>
    <t>B&amp;B Montechiaro Di Lenti Rita</t>
  </si>
  <si>
    <t>Via Valdivico Snc</t>
  </si>
  <si>
    <t>www.trattoriamontechiaro.it</t>
  </si>
  <si>
    <t>info@trattoriamontechiaro.it</t>
  </si>
  <si>
    <t>Casa Rondini Di David John Wilkinson</t>
  </si>
  <si>
    <t>Contrada San Martino Snc</t>
  </si>
  <si>
    <t>wilkinsondavid234@gmail.com</t>
  </si>
  <si>
    <t>Casa Santa Lucia Di Simon Andrew Pilkington</t>
  </si>
  <si>
    <t>Contrada Ventracciano 2</t>
  </si>
  <si>
    <t>simon_pilkington_1@yahoo.com</t>
  </si>
  <si>
    <t>Il Vigneto</t>
  </si>
  <si>
    <t>C.Da Santa Croce 11</t>
  </si>
  <si>
    <t>ilvignetocasale@gmail.com</t>
  </si>
  <si>
    <t>Tamsin Anne Hickson</t>
  </si>
  <si>
    <t>Via Volturelle 21</t>
  </si>
  <si>
    <t>tamsin.hickson@postacertificata.gov.it</t>
  </si>
  <si>
    <t>Villa Palma Di Edward Anna Beatrice</t>
  </si>
  <si>
    <t>C.Da Santa Croce 26</t>
  </si>
  <si>
    <t>annabeatriceedward@gmail.com</t>
  </si>
  <si>
    <t>Patrick Toriglioni Del Cassero Nisbett</t>
  </si>
  <si>
    <t>C.Da Sant'Antonio 13</t>
  </si>
  <si>
    <t>patricktdelcnisbett@outlook.com</t>
  </si>
  <si>
    <t>Castricini Onorato</t>
  </si>
  <si>
    <t>C.Da Prati 8</t>
  </si>
  <si>
    <t>jogabonitocastro@alice.it</t>
  </si>
  <si>
    <t>Casa Lucciola Di Zoe Anderson</t>
  </si>
  <si>
    <t>Fonte Fanarda 8</t>
  </si>
  <si>
    <t>zoea@bluebottle.com</t>
  </si>
  <si>
    <t>Villa Jolanda</t>
  </si>
  <si>
    <t>Sant' Antonio 12A 1</t>
  </si>
  <si>
    <t>www.villa-jolanda.com</t>
  </si>
  <si>
    <t>info@villa-jolanda.com</t>
  </si>
  <si>
    <t>Luchetti Emilio</t>
  </si>
  <si>
    <t>Grilli Cicilioni Luciana</t>
  </si>
  <si>
    <t>Via San Pietro 10</t>
  </si>
  <si>
    <t>lucigrilli@yahoo.it</t>
  </si>
  <si>
    <t>Villa Castellani</t>
  </si>
  <si>
    <t>Contrada Acquevive 16</t>
  </si>
  <si>
    <t>www.villacastellani.it</t>
  </si>
  <si>
    <t>info@villacastellani.it</t>
  </si>
  <si>
    <t>B&amp;B Luchetti Giampiero</t>
  </si>
  <si>
    <t>Via Della Repubblica 5</t>
  </si>
  <si>
    <t>luchettigiampiero@virgilio.it</t>
  </si>
  <si>
    <t>La Casa Delle Lune</t>
  </si>
  <si>
    <t>Via Turlo  23</t>
  </si>
  <si>
    <t>elenarugiada@yahoo.it</t>
  </si>
  <si>
    <t>B&amp;B Il Casale</t>
  </si>
  <si>
    <t>Via Montemarino 11</t>
  </si>
  <si>
    <t>Montemarino</t>
  </si>
  <si>
    <t>www.ilcasalespadoni.it</t>
  </si>
  <si>
    <t>ilcasale.spadoni@libero.it</t>
  </si>
  <si>
    <t>L'Infinito</t>
  </si>
  <si>
    <t>Via Marte 3</t>
  </si>
  <si>
    <t>www.lavandainfinito.com</t>
  </si>
  <si>
    <t>info@lavandainfinito.com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</si>
  <si>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</si>
  <si>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</si>
  <si>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</si>
  <si>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</si>
  <si>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</si>
  <si>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</si>
  <si>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</si>
  <si>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</si>
  <si>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</si>
  <si>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</si>
  <si>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</si>
  <si>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</si>
  <si>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</si>
  <si>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</si>
  <si>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</si>
  <si>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</si>
  <si>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</si>
  <si>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</si>
  <si>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</si>
  <si>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</si>
  <si>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</si>
  <si>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</si>
  <si>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</si>
  <si>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</si>
  <si>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</si>
  <si>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</si>
  <si>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</si>
  <si>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</si>
  <si>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</si>
  <si>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</si>
  <si>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</si>
  <si>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Il Bosco Dei Ciclamini</t>
  </si>
  <si>
    <t>Via Passo 26</t>
  </si>
  <si>
    <t>ilboscodeiciclamini@gmail.com</t>
  </si>
  <si>
    <t>B&amp;B Casa Cairo</t>
  </si>
  <si>
    <t>Via Cairo 18</t>
  </si>
  <si>
    <t>http://www.bbcasacairo.it</t>
  </si>
  <si>
    <t>casacairo@bbcasacairo.it</t>
  </si>
  <si>
    <t>La Casina Di Mondavio</t>
  </si>
  <si>
    <t>Via Bramante 5</t>
  </si>
  <si>
    <t>info@lacasinadimondavio.it</t>
  </si>
  <si>
    <t>Casa Per Vacanze La Rocca</t>
  </si>
  <si>
    <t>Via Bramante 7</t>
  </si>
  <si>
    <t>www.casavacanzelarocca.it</t>
  </si>
  <si>
    <t>marymoro@hotmail.it</t>
  </si>
  <si>
    <t>Agriturismo Maria Fabrizi</t>
  </si>
  <si>
    <t>Cavallara  3</t>
  </si>
  <si>
    <t>rist_maria_cavallara@libero.it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</si>
  <si>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</si>
  <si>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</si>
  <si>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</si>
  <si>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</si>
  <si>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</si>
  <si>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</si>
  <si>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</si>
  <si>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</si>
  <si>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</si>
  <si>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</si>
  <si>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</si>
  <si>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</si>
  <si>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</si>
  <si>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</si>
  <si>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</si>
  <si>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</si>
  <si>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Albergo La Palomba</t>
  </si>
  <si>
    <t>Borgo Gramsci 13</t>
  </si>
  <si>
    <t>www.lapalomba.it</t>
  </si>
  <si>
    <t>info@lapalomba.it</t>
  </si>
  <si>
    <t>Agriturismo Borgo La Rovere</t>
  </si>
  <si>
    <t>Contrada Merlaro 9</t>
  </si>
  <si>
    <t>borgolarovere@gmail.com</t>
  </si>
  <si>
    <t>Affittacamere La Palomba</t>
  </si>
  <si>
    <t>Borgo Gramsci 10</t>
  </si>
  <si>
    <t>Casa Merlaro</t>
  </si>
  <si>
    <t>Strada Merlaro 3,/3A</t>
  </si>
  <si>
    <t>www.casamerlaro.it</t>
  </si>
  <si>
    <t>info@casamerlaro.it</t>
  </si>
  <si>
    <t>Agriturismo La Limonaia</t>
  </si>
  <si>
    <t>Via Mondaviese 150</t>
  </si>
  <si>
    <t>pacipiergiorgio@libero.it</t>
  </si>
  <si>
    <t>Via Faa' Di Bruno 43</t>
  </si>
  <si>
    <t>www.hotelsanmarcomarotta.com</t>
  </si>
  <si>
    <t>info@hotelsanmarcomarotta.com</t>
  </si>
  <si>
    <t>Niagara</t>
  </si>
  <si>
    <t>Via Damiano Chiesa 22</t>
  </si>
  <si>
    <t>www.hotelniagaramarotta.com</t>
  </si>
  <si>
    <t>hotelniagaramarotta@gmail.com</t>
  </si>
  <si>
    <t>Trieste</t>
  </si>
  <si>
    <t>Via Esino 15</t>
  </si>
  <si>
    <t>www.htrieste.net</t>
  </si>
  <si>
    <t>info@htrieste.net</t>
  </si>
  <si>
    <t>Via Damiano Chiesa 15</t>
  </si>
  <si>
    <t>www.hotel-miramare.com</t>
  </si>
  <si>
    <t>info@hotel-miramare.com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</si>
  <si>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</si>
  <si>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</si>
  <si>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</si>
  <si>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</si>
  <si>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</si>
  <si>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</si>
  <si>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</si>
  <si>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Toscana</t>
  </si>
  <si>
    <t>Via Faa' Di Bruno 19</t>
  </si>
  <si>
    <t>www.hoteltoscanamarotta.com</t>
  </si>
  <si>
    <t>info@hoteltoscanamarotta.com</t>
  </si>
  <si>
    <t>Hotel Florence</t>
  </si>
  <si>
    <t>Via Faa' Di Bruno 15</t>
  </si>
  <si>
    <t>www.hotelflorencemarotta.it</t>
  </si>
  <si>
    <t>info@hotelflorencemarotta.it</t>
  </si>
  <si>
    <t>Butirroni Donatella</t>
  </si>
  <si>
    <t>Via Colombo 171</t>
  </si>
  <si>
    <t>biuty@libero.it</t>
  </si>
  <si>
    <t>Miramare Inn</t>
  </si>
  <si>
    <t>Via Faa' Di Bruno 48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</si>
  <si>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</si>
  <si>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</si>
  <si>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</si>
  <si>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</si>
  <si>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</si>
  <si>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</si>
  <si>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</si>
  <si>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</si>
  <si>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</si>
  <si>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</si>
  <si>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</si>
  <si>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</si>
  <si>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</si>
  <si>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</si>
  <si>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</si>
  <si>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</si>
  <si>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</si>
  <si>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</si>
  <si>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</si>
  <si>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</si>
  <si>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</si>
  <si>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</si>
  <si>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</si>
  <si>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</si>
  <si>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</si>
  <si>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Hotel Spiaggia D'Oro</t>
  </si>
  <si>
    <t>hotelspiaggiadoromarotta.jimdo.com</t>
  </si>
  <si>
    <t>spiaggiadoromarotta@libero.it</t>
  </si>
  <si>
    <t>Antonucci Ombretta</t>
  </si>
  <si>
    <t>Via G.Carducci 108/A</t>
  </si>
  <si>
    <t>ombrez@libero.it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</si>
  <si>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</si>
  <si>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</si>
  <si>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</si>
  <si>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</si>
  <si>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</si>
  <si>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</si>
  <si>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</si>
  <si>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</si>
  <si>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Patrignanelli Lauretta</t>
  </si>
  <si>
    <t>Viale C. Colombo 131</t>
  </si>
  <si>
    <t>patrignanellig@gmail.com</t>
  </si>
  <si>
    <t>Perini Catiuscia</t>
  </si>
  <si>
    <t>Via C. Colombo 134</t>
  </si>
  <si>
    <t>Cecchini Sandrina</t>
  </si>
  <si>
    <t>Patrignanelli Gianni</t>
  </si>
  <si>
    <t>Viale C. Colombo 133</t>
  </si>
  <si>
    <t>Mugianesi David</t>
  </si>
  <si>
    <t>Via Di Vittorio 77</t>
  </si>
  <si>
    <t>Del Gabbiano</t>
  </si>
  <si>
    <t>Via Faa' Di Bruno 95</t>
  </si>
  <si>
    <t>www.campingdelgabbiano.it</t>
  </si>
  <si>
    <t>info@campingdelgabbiano.it</t>
  </si>
  <si>
    <t>Fiordaliso,Giglio,Girasole,Iris,Margherita,Orchidea,Violetta</t>
  </si>
  <si>
    <t>Via Sterpettine 20/22</t>
  </si>
  <si>
    <t>rondinaveruska@gmail.com</t>
  </si>
  <si>
    <t>Biancaneve</t>
  </si>
  <si>
    <t>Via Damiano Chiesa 53</t>
  </si>
  <si>
    <t>www.albergobiancaneve.it</t>
  </si>
  <si>
    <t>info@albergobiancaneve.it</t>
  </si>
  <si>
    <t>B&amp;B Casita Blanca</t>
  </si>
  <si>
    <t>Via O. Respighi 9</t>
  </si>
  <si>
    <t>casitablanca@libero.it</t>
  </si>
  <si>
    <t>Montanari Franco</t>
  </si>
  <si>
    <t>Via Panzini 28/E</t>
  </si>
  <si>
    <t>Viale Cristoforo Colombo 2</t>
  </si>
  <si>
    <t>www.hotelambassadormarotta.it</t>
  </si>
  <si>
    <t>info@hotelambassadormarotta.it</t>
  </si>
  <si>
    <t>Lilly</t>
  </si>
  <si>
    <t>Via Faa' Di Bruno 22</t>
  </si>
  <si>
    <t>La Meridiana</t>
  </si>
  <si>
    <t>Viale Cristoforo Colombo 1</t>
  </si>
  <si>
    <t>Paolinelli Michele</t>
  </si>
  <si>
    <t>B&amp;B La Dimora Del Gambero</t>
  </si>
  <si>
    <t>Via Michelangelo Buonarroti 25</t>
  </si>
  <si>
    <t>www.dimoradelgambero.eu</t>
  </si>
  <si>
    <t>info@dimoradelgambero.eu</t>
  </si>
  <si>
    <t>Pierpaoli Giuseppa</t>
  </si>
  <si>
    <t>Via Pergolese 172</t>
  </si>
  <si>
    <t>Lungomare C.Colombo 158</t>
  </si>
  <si>
    <t>alruff@tin.it</t>
  </si>
  <si>
    <t>Altra Marea Di Corsaletti Davide E Guidi Gianluca</t>
  </si>
  <si>
    <t>Residenza La Signora</t>
  </si>
  <si>
    <t>Piazza John Fitzgerald Kennedy 1</t>
  </si>
  <si>
    <t>fabriziagibiino@gmail.com</t>
  </si>
  <si>
    <t>Abbazia Club Hotel</t>
  </si>
  <si>
    <t>Viale Cristoforo Colombo 107</t>
  </si>
  <si>
    <t>www.clubhotel-marotta.com</t>
  </si>
  <si>
    <t>info@clubhotel-marotta.com</t>
  </si>
  <si>
    <t>Giorgia Sorci Simoni</t>
  </si>
  <si>
    <t>Via Marconi 32</t>
  </si>
  <si>
    <t>giorgiasorci@hotmail.com</t>
  </si>
  <si>
    <t>Emili Silvana</t>
  </si>
  <si>
    <t>Via Rossini 8</t>
  </si>
  <si>
    <t>semili@libero.it</t>
  </si>
  <si>
    <t>Cesare Sora</t>
  </si>
  <si>
    <t>Via Mazzini 87</t>
  </si>
  <si>
    <t>consuele78@hotmail.com</t>
  </si>
  <si>
    <t>Orazi Milena</t>
  </si>
  <si>
    <t>Viale Carducci 129/A</t>
  </si>
  <si>
    <t>milena.orazi@libero.it</t>
  </si>
  <si>
    <t>Elisabetta Gabrielli Rivosecchi</t>
  </si>
  <si>
    <t>Viale Carducci 178</t>
  </si>
  <si>
    <t>Via San Martino 5</t>
  </si>
  <si>
    <t>Santinelli Pietro</t>
  </si>
  <si>
    <t>Viale Carducci 65</t>
  </si>
  <si>
    <t>Tinti Alessandro</t>
  </si>
  <si>
    <t>Via 28 Settembre 20/L</t>
  </si>
  <si>
    <t>alessandropes@libero.it</t>
  </si>
  <si>
    <t>Battistelli Bernard</t>
  </si>
  <si>
    <t>Via Litoranea 294</t>
  </si>
  <si>
    <t>bernyb@gmail.com</t>
  </si>
  <si>
    <t>Caronti Emanuela</t>
  </si>
  <si>
    <t>Via Andrea Costa 31</t>
  </si>
  <si>
    <t>info.casavacanzebc@gmail.com</t>
  </si>
  <si>
    <t>Vergari Gaetano</t>
  </si>
  <si>
    <t>Via G. Verdi 14/A</t>
  </si>
  <si>
    <t>g.vergari@comune.pesaro.pu.it</t>
  </si>
  <si>
    <t>Carobi Paola</t>
  </si>
  <si>
    <t>Viale Carducci 252/C</t>
  </si>
  <si>
    <t>Via Litoranea 137</t>
  </si>
  <si>
    <t>pietrolucaelena@alice.it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</si>
  <si>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</si>
  <si>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</si>
  <si>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</si>
  <si>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</si>
  <si>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</si>
  <si>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</si>
  <si>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</si>
  <si>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Il Punto</t>
  </si>
  <si>
    <t>Via Litoranea 220</t>
  </si>
  <si>
    <t>info@albergoilpunto.com</t>
  </si>
  <si>
    <t>Nettuno</t>
  </si>
  <si>
    <t>www.bardeitritonispiaggianettuno.com</t>
  </si>
  <si>
    <t>cesaretonelli86@gmail.com</t>
  </si>
  <si>
    <t>Villa Mauro</t>
  </si>
  <si>
    <t>info@villasanmartino.it</t>
  </si>
  <si>
    <t>La Palma</t>
  </si>
  <si>
    <t>Via A. De Gasperi  9</t>
  </si>
  <si>
    <t>studio.petroni@libero.it</t>
  </si>
  <si>
    <t>Baronciani Filippo App.To Piano 1</t>
  </si>
  <si>
    <t>Via Damiano Chiesa 84</t>
  </si>
  <si>
    <t>Baronciani Filippo App.To Piano 2</t>
  </si>
  <si>
    <t>B&amp;B La Casetta</t>
  </si>
  <si>
    <t>Largo Neviera  8</t>
  </si>
  <si>
    <t>francyprio@inwind.it</t>
  </si>
  <si>
    <t>Il Gabbiano</t>
  </si>
  <si>
    <t>Strada Nazionale Adriatica Sud 396</t>
  </si>
  <si>
    <t>www.ilgabbianomarotta.it</t>
  </si>
  <si>
    <t>Francesconi Carla</t>
  </si>
  <si>
    <t>Via Damiano Chiesa 34</t>
  </si>
  <si>
    <t>Papini Papi Ornella</t>
  </si>
  <si>
    <t>Via Cristoforo Colombo 62</t>
  </si>
  <si>
    <t>Bagno N° 2 - Oasi Beach</t>
  </si>
  <si>
    <t>Viale Cristoforo Colombo 132</t>
  </si>
  <si>
    <t>www.campingmarotta.it</t>
  </si>
  <si>
    <t>info@campingmarotta.it</t>
  </si>
  <si>
    <t>Camping Del Gabbiano</t>
  </si>
  <si>
    <t>Via Faa' Di Bruno 95 95</t>
  </si>
  <si>
    <t>Bagni Monasco Di Montoni Monasco</t>
  </si>
  <si>
    <t>monasco.montoni@libero.it</t>
  </si>
  <si>
    <t>Per Bacco</t>
  </si>
  <si>
    <t>Viale Dell' Artigianato 26</t>
  </si>
  <si>
    <t>www.countryhouseperbacco.it</t>
  </si>
  <si>
    <t>info@countryhouseperbacco.it</t>
  </si>
  <si>
    <t>Bagni Solindo</t>
  </si>
  <si>
    <t>francy-12@libero.it</t>
  </si>
  <si>
    <t>Bagni Franco Di Portavia Luca(Conc. Integrativa N° 1)</t>
  </si>
  <si>
    <t>Bagni Alberto &amp; Cesare</t>
  </si>
  <si>
    <t>Bagni Miriam</t>
  </si>
  <si>
    <t>Bagni Carlo Di Scrosta Carlo ( Conc. N° 131)</t>
  </si>
  <si>
    <t>Via Faa' Di Bruno 131 131</t>
  </si>
  <si>
    <t>Bagni Riccardo</t>
  </si>
  <si>
    <t>Bagni Claudio</t>
  </si>
  <si>
    <t>Stone Beach</t>
  </si>
  <si>
    <t>larivadafranco@libero.it</t>
  </si>
  <si>
    <t>raffaeletinti@freemail.it</t>
  </si>
  <si>
    <t>Happy Days Beach</t>
  </si>
  <si>
    <t>Viale Cristoforo Colombo 100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</si>
  <si>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</si>
  <si>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</si>
  <si>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</si>
  <si>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</si>
  <si>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</si>
  <si>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</si>
  <si>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</si>
  <si>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L'Antico Pozzo</t>
  </si>
  <si>
    <t>Via Ete 70</t>
  </si>
  <si>
    <t>gianna.squarcia@gmail.com</t>
  </si>
  <si>
    <t>B&amp;B Villa Bussola</t>
  </si>
  <si>
    <t>Contrada Pagliare 17</t>
  </si>
  <si>
    <t>info@villabussola.com</t>
  </si>
  <si>
    <t>Agriturismo Villa Bussola</t>
  </si>
  <si>
    <t>B&amp;B A Casa Di Meg</t>
  </si>
  <si>
    <t>Contrada Piane Di Trocco 1</t>
  </si>
  <si>
    <t>acasadimeg@ymail.com ok</t>
  </si>
  <si>
    <t>mariana_gereda@yahoo.com</t>
  </si>
  <si>
    <t>Agriturismo Tenuta Solalto</t>
  </si>
  <si>
    <t>Contrada Vallone  17</t>
  </si>
  <si>
    <t>www.tenutasolalto.com</t>
  </si>
  <si>
    <t>info@tenutasolalto.com</t>
  </si>
  <si>
    <t>Fior Di Loto</t>
  </si>
  <si>
    <t>C.Da Comunanza 7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</si>
  <si>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</si>
  <si>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</si>
  <si>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</si>
  <si>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</si>
  <si>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</si>
  <si>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</si>
  <si>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</si>
  <si>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</si>
  <si>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Il Giardino Erboso</t>
  </si>
  <si>
    <t>Contrada Collelungo 6</t>
  </si>
  <si>
    <t>www.ilgiardinoerboso.it</t>
  </si>
  <si>
    <t>info@ilgiardinoerboso.it</t>
  </si>
  <si>
    <t>B&amp;B Villa Dei Priori</t>
  </si>
  <si>
    <t>Via Salaria 4</t>
  </si>
  <si>
    <t>www.villadeipriori.it</t>
  </si>
  <si>
    <t>info@villadeipriori.com</t>
  </si>
  <si>
    <t>Lemon B&amp;B</t>
  </si>
  <si>
    <t>Contrada Monte Carrello 1</t>
  </si>
  <si>
    <t>amadio.carlini@gmail.com</t>
  </si>
  <si>
    <t>B&amp;B Da Cristina</t>
  </si>
  <si>
    <t>Via Pretarolo 14</t>
  </si>
  <si>
    <t>www.dacristina.it</t>
  </si>
  <si>
    <t>info@dacristina.it</t>
  </si>
  <si>
    <t>Hotel Philosophy</t>
  </si>
  <si>
    <t>www.albergophilosophy.com</t>
  </si>
  <si>
    <t>hotelphilosophy@gmail.com</t>
  </si>
  <si>
    <t>Stella Gemella S.R.L.</t>
  </si>
  <si>
    <t>Via Salaria 11</t>
  </si>
  <si>
    <t>Le Stanze Di Rosa</t>
  </si>
  <si>
    <t>Via Lombardia 42</t>
  </si>
  <si>
    <t>claudiacocciarini@outlook.it</t>
  </si>
  <si>
    <t>Pineta</t>
  </si>
  <si>
    <t>Via Cassolo 6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</si>
  <si>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</si>
  <si>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</si>
  <si>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</si>
  <si>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</si>
  <si>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</si>
  <si>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</si>
  <si>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</si>
  <si>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</si>
  <si>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</si>
  <si>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</si>
  <si>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</si>
  <si>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</si>
  <si>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La Curtis</t>
  </si>
  <si>
    <t>C.Da Lago 120</t>
  </si>
  <si>
    <t>Contrada Lago</t>
  </si>
  <si>
    <t>vincecurti@gmail.com</t>
  </si>
  <si>
    <t>Villa Geminiani</t>
  </si>
  <si>
    <t>Contrada Moglie 31</t>
  </si>
  <si>
    <t>www.villa-geminiani.com</t>
  </si>
  <si>
    <t>liliana@villa-geminiani.com</t>
  </si>
  <si>
    <t>Di Silvestro Rosanna</t>
  </si>
  <si>
    <t>Contrada Maliscia 7</t>
  </si>
  <si>
    <t>rosannadisilvestro1961@gmail.com</t>
  </si>
  <si>
    <t>Villa Cerqueto Di Caucci Maria Pia</t>
  </si>
  <si>
    <t>Contrada Cerqueto 18/A</t>
  </si>
  <si>
    <t>Porchia</t>
  </si>
  <si>
    <t>stefania.agostini79@gmail.com</t>
  </si>
  <si>
    <t>B&amp;B Casannunziata</t>
  </si>
  <si>
    <t>Vicolo Del Gufo 1</t>
  </si>
  <si>
    <t>www.casannunziata.com</t>
  </si>
  <si>
    <t>casannunziata@gmail.com</t>
  </si>
  <si>
    <t>B&amp;B Fonte D'Ercole</t>
  </si>
  <si>
    <t>Via Fonte D'Ercole 9</t>
  </si>
  <si>
    <t>tassotti.raffaele@libero.it</t>
  </si>
  <si>
    <t>B&amp;B San Francesco</t>
  </si>
  <si>
    <t>C.Da Monti 11</t>
  </si>
  <si>
    <t>Montalto Marche</t>
  </si>
  <si>
    <t>www.agriturismosanfrancesco.it</t>
  </si>
  <si>
    <t>informazioni@agriturismosanfrancesco.it</t>
  </si>
  <si>
    <t>Il Sentiero</t>
  </si>
  <si>
    <t>C.Da Fonte D' Ercole 11</t>
  </si>
  <si>
    <t>www.bbilsentiero.it</t>
  </si>
  <si>
    <t>info@bbilsentiero.it</t>
  </si>
  <si>
    <t>Agriturismo Coppo 1873</t>
  </si>
  <si>
    <t>C.Da Maliscia 50/1</t>
  </si>
  <si>
    <t>Loc.Porchia</t>
  </si>
  <si>
    <t>www.fattoriamarchetti.it</t>
  </si>
  <si>
    <t>info@fattoriamarchetti.it</t>
  </si>
  <si>
    <t>San Francesco</t>
  </si>
  <si>
    <t>Le Pratole</t>
  </si>
  <si>
    <t>C.Da Ss Annunziata 1</t>
  </si>
  <si>
    <t>Ss. Annunziata</t>
  </si>
  <si>
    <t>www.lepratole.it</t>
  </si>
  <si>
    <t>info@lepratole.it</t>
  </si>
  <si>
    <t>B&amp;B Casa Montalto</t>
  </si>
  <si>
    <t>Contrada Fonte Arrigo 31</t>
  </si>
  <si>
    <t>www.casamontalto.com</t>
  </si>
  <si>
    <t>info@casamontalto.com</t>
  </si>
  <si>
    <t>Agriturismo Il Vecchio Acero</t>
  </si>
  <si>
    <t>Contrada Ss. Annunziata 7</t>
  </si>
  <si>
    <t>www.ilvecchioacero.it</t>
  </si>
  <si>
    <t>info.ilvecchioacero@gmail.com</t>
  </si>
  <si>
    <t>La Via Sistina</t>
  </si>
  <si>
    <t>http://www.tenutarecchifranceschini.it/</t>
  </si>
  <si>
    <t>info@tenutarecchifranceschini.it</t>
  </si>
  <si>
    <t>Villa Geminiani Dependance</t>
  </si>
  <si>
    <t>Appartamento Dei Fiori</t>
  </si>
  <si>
    <t>C.Da Valle 11</t>
  </si>
  <si>
    <t>Dolci Marche</t>
  </si>
  <si>
    <t>Contrada Moglie 32</t>
  </si>
  <si>
    <t>www.agriturismo-dolci-marche.it</t>
  </si>
  <si>
    <t>gem.agostino@yahoo.it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</si>
  <si>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</si>
  <si>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</si>
  <si>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</si>
  <si>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</si>
  <si>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</si>
  <si>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</si>
  <si>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</si>
  <si>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</si>
  <si>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</si>
  <si>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Agriturismo Dolium</t>
  </si>
  <si>
    <t>Contrada Valle 2</t>
  </si>
  <si>
    <t>Il Palombaccio</t>
  </si>
  <si>
    <t>Via Valle 7</t>
  </si>
  <si>
    <t>Contrada Valle</t>
  </si>
  <si>
    <t>www.ilpalombaccio.it</t>
  </si>
  <si>
    <t>infotiscali@ilpalombaccio.it</t>
  </si>
  <si>
    <t>Terre Vineate</t>
  </si>
  <si>
    <t>C.Da Sant'Alberto 8/9</t>
  </si>
  <si>
    <t>www.terrevineate.it</t>
  </si>
  <si>
    <t>info@terrevineate.it</t>
  </si>
  <si>
    <t>Via Borgo Xx Settembre 37</t>
  </si>
  <si>
    <t>ristorante.s.giorgio@virgilio.it</t>
  </si>
  <si>
    <t>Palazzo Riccucci</t>
  </si>
  <si>
    <t>Via Palazzo Snc</t>
  </si>
  <si>
    <t>www.palazzoriccucci.com</t>
  </si>
  <si>
    <t>info@palazzoriccucci.com</t>
  </si>
  <si>
    <t>B&amp;B Villa Sole</t>
  </si>
  <si>
    <t>Via Brodolini 28</t>
  </si>
  <si>
    <t>bellabarbamarco@gmail.com</t>
  </si>
  <si>
    <t>Valle San Benedetto</t>
  </si>
  <si>
    <t>comune@montecavallo.sinp.net</t>
  </si>
  <si>
    <t>Il Castello</t>
  </si>
  <si>
    <t>Via Valle Di Teva 5</t>
  </si>
  <si>
    <t>www.vallediteva.it</t>
  </si>
  <si>
    <t>ilcastello@vallediteva.it</t>
  </si>
  <si>
    <t>B&amp;B San Donato</t>
  </si>
  <si>
    <t>San Donato 57</t>
  </si>
  <si>
    <t>katia.03@libero.it</t>
  </si>
  <si>
    <t>Parco Comunale</t>
  </si>
  <si>
    <t>B&amp;B Salto Nel Cuore Di Penserini Manuel</t>
  </si>
  <si>
    <t>Via Del Poggio 1</t>
  </si>
  <si>
    <t>B&amp;B Nonna Linda</t>
  </si>
  <si>
    <t>Via Angelo Battelli 29</t>
  </si>
  <si>
    <t>Valle Magnone Di Giorgini Davide Giorgio</t>
  </si>
  <si>
    <t>Via San Donato 35</t>
  </si>
  <si>
    <t>valle.magnone@email.it</t>
  </si>
  <si>
    <t>B&amp;B Casa  Vittoria</t>
  </si>
  <si>
    <t>Piazza Cesare Battisti 3</t>
  </si>
  <si>
    <t>B&amp;B Casa Millevolte Di Marina Millevolte</t>
  </si>
  <si>
    <t>Via Roma 25</t>
  </si>
  <si>
    <t>www.casamillevolte.it</t>
  </si>
  <si>
    <t>casamillevolte@gmail.com</t>
  </si>
  <si>
    <t>B&amp;B Mille Una Notte</t>
  </si>
  <si>
    <t>Contrada San Michele 12</t>
  </si>
  <si>
    <t>roberta.evandri@virgilio.it</t>
  </si>
  <si>
    <t>Mille Querce Srl</t>
  </si>
  <si>
    <t>Contrada San Martino 21</t>
  </si>
  <si>
    <t>http://millequerce.it/</t>
  </si>
  <si>
    <t>bosio.fulvia@gmail.com</t>
  </si>
  <si>
    <t>Colle S.Giovanni  5</t>
  </si>
  <si>
    <t>b.magnan@yahoo.it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</si>
  <si>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</si>
  <si>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</si>
  <si>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</si>
  <si>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</si>
  <si>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</si>
  <si>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</si>
  <si>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</si>
  <si>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</si>
  <si>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</si>
  <si>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</si>
  <si>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Casa Millevolte Di Alessandra Millevolte</t>
  </si>
  <si>
    <t>Il Vecchio Podere</t>
  </si>
  <si>
    <t>Via Bore Di Fiano 4</t>
  </si>
  <si>
    <t>B&amp;B Il Poggio</t>
  </si>
  <si>
    <t>Via Poggio 13</t>
  </si>
  <si>
    <t>Montelicciano</t>
  </si>
  <si>
    <t>tala_m@hotmail.it</t>
  </si>
  <si>
    <t>Thermal Residence</t>
  </si>
  <si>
    <t>Viale Martiri Della Resistenza  2</t>
  </si>
  <si>
    <t>www.villadicarlo.it</t>
  </si>
  <si>
    <t>info@villadicarlo.it</t>
  </si>
  <si>
    <t>B&amp;B Il Sentiero Dei Goti</t>
  </si>
  <si>
    <t>Via Carponeto 6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</si>
  <si>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</si>
  <si>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</si>
  <si>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</si>
  <si>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</si>
  <si>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</si>
  <si>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</si>
  <si>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B&amp;B Marina Spadini</t>
  </si>
  <si>
    <t>A. Battelli 10</t>
  </si>
  <si>
    <t>www.bbmontegrimanoterme.it</t>
  </si>
  <si>
    <t>spadini@bbmontegrimanoterme.it</t>
  </si>
  <si>
    <t>Hotel Centro Benessere Villa Di Carlo</t>
  </si>
  <si>
    <t>Viale Martiri Della Resistenza 1</t>
  </si>
  <si>
    <t>Nord Ovest</t>
  </si>
  <si>
    <t>Via Rimini 1</t>
  </si>
  <si>
    <t>www.hotelnordovest.it</t>
  </si>
  <si>
    <t>info@hotelnordovest.it</t>
  </si>
  <si>
    <t>Della Salute</t>
  </si>
  <si>
    <t>Via Dante Alighieri 20</t>
  </si>
  <si>
    <t>hoteldellasalute@gmail.com</t>
  </si>
  <si>
    <t>B&amp;B Santinelli Luca</t>
  </si>
  <si>
    <t>Via Cesanense  160/E</t>
  </si>
  <si>
    <t>Loc.Ponte Rio</t>
  </si>
  <si>
    <t>Villa Palombara Country House</t>
  </si>
  <si>
    <t>Via Fusarola 2</t>
  </si>
  <si>
    <t>Loc.Castelvecchio</t>
  </si>
  <si>
    <t>www.villapalombara.it</t>
  </si>
  <si>
    <t>contatti@villapalombara.it</t>
  </si>
  <si>
    <t>Azienda Agricola Bellagamba Filippo</t>
  </si>
  <si>
    <t>Via Montebello 13,14</t>
  </si>
  <si>
    <t>Loc. Castelvecchio</t>
  </si>
  <si>
    <t>gambarai@libero.it</t>
  </si>
  <si>
    <t>Ausonia</t>
  </si>
  <si>
    <t>Viale Cante Di Montevecchio 43</t>
  </si>
  <si>
    <t>www.hotelristoranteausonia.it</t>
  </si>
  <si>
    <t>info@hotelristoranteausonia.it</t>
  </si>
  <si>
    <t>Agriturismo Regina Di Fiori</t>
  </si>
  <si>
    <t>Via Cesanense 10</t>
  </si>
  <si>
    <t>laura.carboni7@gmail.com</t>
  </si>
  <si>
    <t>B&amp;B Casa Cante La Garbatina</t>
  </si>
  <si>
    <t>Strada Montecucco 1</t>
  </si>
  <si>
    <t>Loc. Monte Cucco</t>
  </si>
  <si>
    <t>www.lagarbatina.eu</t>
  </si>
  <si>
    <t>info@lagarbatina.eu</t>
  </si>
  <si>
    <t>Cascina Ottalevi</t>
  </si>
  <si>
    <t>Via Monte 3</t>
  </si>
  <si>
    <t>cascinaottalevi@gmail.com</t>
  </si>
  <si>
    <t>alarott@alice.it</t>
  </si>
  <si>
    <t>Santinelli Elena</t>
  </si>
  <si>
    <t>Via Cesanense 160/F</t>
  </si>
  <si>
    <t>Piccolo Hotel San Cristoforo</t>
  </si>
  <si>
    <t>Via Cesanense 132</t>
  </si>
  <si>
    <t>www.piccolohotelsancristoforo.com</t>
  </si>
  <si>
    <t>info@piccolohotelsancristoforo.com</t>
  </si>
  <si>
    <t>Country House Villa Liliana</t>
  </si>
  <si>
    <t>Via Bucchiano Snc</t>
  </si>
  <si>
    <t>La Cuma</t>
  </si>
  <si>
    <t>Via Aso 12</t>
  </si>
  <si>
    <t>liviopizzingrilli@gmail.com</t>
  </si>
  <si>
    <t>Casale Indaco</t>
  </si>
  <si>
    <t>Via Crocifisso 14</t>
  </si>
  <si>
    <t>corradomiola@yahoo.it</t>
  </si>
  <si>
    <t>Cantina Dei Monti "Casa Sacciofa"</t>
  </si>
  <si>
    <t>Via Sant'Anna 3</t>
  </si>
  <si>
    <t>www.deimonti.com</t>
  </si>
  <si>
    <t>cantina@deimonti.com</t>
  </si>
  <si>
    <t>Agriturismo Montorso</t>
  </si>
  <si>
    <t>Contrada Bucchiano 14</t>
  </si>
  <si>
    <t>www.agriturismomontorso.it</t>
  </si>
  <si>
    <t>info@agriturismomontorso.it</t>
  </si>
  <si>
    <t>Il Tempio Di Novana</t>
  </si>
  <si>
    <t>Contrada Aso 44</t>
  </si>
  <si>
    <t>danieletom83@libero.it</t>
  </si>
  <si>
    <t>info@tempiodinovana.eu</t>
  </si>
  <si>
    <t>B&amp;B Villa Elisabeth</t>
  </si>
  <si>
    <t>Via Aso 49</t>
  </si>
  <si>
    <t>www.villaelisabeth.it</t>
  </si>
  <si>
    <t>giovanni.cantelmo49@gmail.com</t>
  </si>
  <si>
    <t>B&amp;B La Collinetta Di Bruschini Vittoria</t>
  </si>
  <si>
    <t>Via Ponte Magno 5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</si>
  <si>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</si>
  <si>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</si>
  <si>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</si>
  <si>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</si>
  <si>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</si>
  <si>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</si>
  <si>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</si>
  <si>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</si>
  <si>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</si>
  <si>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</si>
  <si>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Hotel La Rosa Dei Venti</t>
  </si>
  <si>
    <t>Via Macerata 77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</si>
  <si>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</si>
  <si>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</si>
  <si>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</si>
  <si>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</si>
  <si>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</si>
  <si>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</si>
  <si>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</si>
  <si>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</si>
  <si>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</si>
  <si>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</si>
  <si>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</si>
  <si>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</si>
  <si>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</si>
  <si>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</si>
  <si>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Contrada Molino 69</t>
  </si>
  <si>
    <t>www.agriturismosanmartino.com</t>
  </si>
  <si>
    <t>agriturismosanmartino@email.it</t>
  </si>
  <si>
    <t>Agriturismo Bellavista Di Psenner Peter Erich</t>
  </si>
  <si>
    <t>Contrada Santo Stefano 36</t>
  </si>
  <si>
    <t>bellavistaagriturismo.wordpress.com</t>
  </si>
  <si>
    <t>agritur.bellavista@libero.it</t>
  </si>
  <si>
    <t>Contrada Santo Stefano 1</t>
  </si>
  <si>
    <t>Azienda Agrituristica Roeta</t>
  </si>
  <si>
    <t>Contrada Barchetta 1</t>
  </si>
  <si>
    <t>magacirce@cheapnet.it</t>
  </si>
  <si>
    <t>Osteria Del Lago</t>
  </si>
  <si>
    <t>Contrada Santo Stefano 13</t>
  </si>
  <si>
    <t>www.dimensionenatura.org</t>
  </si>
  <si>
    <t>Carducci Giuseppe</t>
  </si>
  <si>
    <t>B&amp;B Diletti Daniele</t>
  </si>
  <si>
    <t>Contrada Molino 93</t>
  </si>
  <si>
    <t>www.ilnidodelfalco.com</t>
  </si>
  <si>
    <t>info@ilnidodelfalco.com</t>
  </si>
  <si>
    <t>Agriturismo De Santis Celesta</t>
  </si>
  <si>
    <t>Contrada Santo Stefano 8</t>
  </si>
  <si>
    <t>Il Nido Del Falco Di Daniele Diletti</t>
  </si>
  <si>
    <t>Pina</t>
  </si>
  <si>
    <t>hotelpinasas@virgilio.it</t>
  </si>
  <si>
    <t>Agriturismo Fonte Carella</t>
  </si>
  <si>
    <t>Contrada Carella 4</t>
  </si>
  <si>
    <t>fontecarella@tin.it</t>
  </si>
  <si>
    <t>Via Rivo 24</t>
  </si>
  <si>
    <t>Tesei Delia</t>
  </si>
  <si>
    <t>Via San Giovanni 32</t>
  </si>
  <si>
    <t>Area Di Sosta Camper - Montesanpietrangeli</t>
  </si>
  <si>
    <t>Contrada Malvasia 1</t>
  </si>
  <si>
    <t>www.isolachenonce.eu</t>
  </si>
  <si>
    <t>info@isolachenonce.eu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</si>
  <si>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</si>
  <si>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</si>
  <si>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</si>
  <si>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</si>
  <si>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</si>
  <si>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</si>
  <si>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</si>
  <si>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</si>
  <si>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</si>
  <si>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</si>
  <si>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</si>
  <si>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</si>
  <si>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</si>
  <si>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</si>
  <si>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Le Terre Di Maluk</t>
  </si>
  <si>
    <t>Via Piana Di Cardinale 37</t>
  </si>
  <si>
    <t>Loc.Cozze Di Monte San Vito</t>
  </si>
  <si>
    <t>www.leterredimaluk.it</t>
  </si>
  <si>
    <t>info@leterredimaluk.it</t>
  </si>
  <si>
    <t>Malviano Resort</t>
  </si>
  <si>
    <t>Via Malviano B 5</t>
  </si>
  <si>
    <t>www.malviano.com</t>
  </si>
  <si>
    <t>info@malviano.com</t>
  </si>
  <si>
    <t>La Casa Sull'Albero</t>
  </si>
  <si>
    <t>Via Fonte Delle Cannelle 2</t>
  </si>
  <si>
    <t>www.agriturismomarcheok.it</t>
  </si>
  <si>
    <t>distilleria.bio@gmail.com</t>
  </si>
  <si>
    <t>Albergo La Vecchia Fornace</t>
  </si>
  <si>
    <t>Piazza Salvo D'Acquisto 5</t>
  </si>
  <si>
    <t>www.lavecchiafornace.net</t>
  </si>
  <si>
    <t>allavecchiafornace@hotmail.it</t>
  </si>
  <si>
    <t>Il Giardino Di Mavi</t>
  </si>
  <si>
    <t>Contrada Tenna 6/A</t>
  </si>
  <si>
    <t>pallottamariavittoria@gmail.com</t>
  </si>
  <si>
    <t>B&amp;B Ai Quattro Ulivi</t>
  </si>
  <si>
    <t>Via Grecia 2 51</t>
  </si>
  <si>
    <t>www.aiquattroulivi.it</t>
  </si>
  <si>
    <t>lu.iacovelli@hotmail.it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</si>
  <si>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</si>
  <si>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</si>
  <si>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</si>
  <si>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</si>
  <si>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</si>
  <si>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</si>
  <si>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</si>
  <si>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</si>
  <si>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Camping San Procolo</t>
  </si>
  <si>
    <t>Contrada Selve 3</t>
  </si>
  <si>
    <t>pim@sanprocolo.com</t>
  </si>
  <si>
    <t>Contrada Madonna Degli Angeli 10</t>
  </si>
  <si>
    <t>www.ilfrutteto.biz</t>
  </si>
  <si>
    <t>il.frutteto@tiscali.it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</si>
  <si>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</si>
  <si>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</si>
  <si>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</si>
  <si>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</si>
  <si>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</si>
  <si>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</si>
  <si>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B&amp;B Severini Elisa</t>
  </si>
  <si>
    <t>Via A.Moro 5</t>
  </si>
  <si>
    <t>elisa.sev@libero.it; ma812000@yahoo.it</t>
  </si>
  <si>
    <t>Agriturismo Ca' Brandano</t>
  </si>
  <si>
    <t>Strada Provinciale Per Borgo Massano 9</t>
  </si>
  <si>
    <t>info@cabrandano.com</t>
  </si>
  <si>
    <t>B&amp;B Antonia Cofano</t>
  </si>
  <si>
    <t>Via Michelangelo Buonarroti 68</t>
  </si>
  <si>
    <t>Cà Gallo</t>
  </si>
  <si>
    <t>ristoranteilcrinale@alice.it</t>
  </si>
  <si>
    <t>Ca' Virginia Country House Wellness</t>
  </si>
  <si>
    <t>Loc Foglia Secca Sn</t>
  </si>
  <si>
    <t>www.cavirginia.it</t>
  </si>
  <si>
    <t>info@cavirginia.it</t>
  </si>
  <si>
    <t>I Calanchi Agriturismo</t>
  </si>
  <si>
    <t>Strada Provinciale Per Borgo Massano 5</t>
  </si>
  <si>
    <t>www.icalanchiagriturismo.com</t>
  </si>
  <si>
    <t>info@icalanchiagriturismo.com</t>
  </si>
  <si>
    <t>La Vecchia Cantina</t>
  </si>
  <si>
    <t>Localita' Cal Medico 17</t>
  </si>
  <si>
    <t>info@vecchiacantina.it</t>
  </si>
  <si>
    <t>Agriturismo La Badia</t>
  </si>
  <si>
    <t>Loc Badia 18 -Ca' Gallo- 18</t>
  </si>
  <si>
    <t>www.agriturismolabadia.it</t>
  </si>
  <si>
    <t>info@agriturismolabadia.it</t>
  </si>
  <si>
    <t>Agriturismo Parva Domus</t>
  </si>
  <si>
    <t>Borgo Fornaci 13</t>
  </si>
  <si>
    <t>www.agriturismoparvadomus.it</t>
  </si>
  <si>
    <t>info@agriturismoparvadomus.it</t>
  </si>
  <si>
    <t>B&amp;B Jesa</t>
  </si>
  <si>
    <t>Via Xx Settembre 60</t>
  </si>
  <si>
    <t>bbjesa.oneminutesite.it</t>
  </si>
  <si>
    <t>bbjesa@libero.it</t>
  </si>
  <si>
    <t>Il Sicomoro</t>
  </si>
  <si>
    <t>Via Xxx Luglio 4</t>
  </si>
  <si>
    <t>r.chiappetti@alice.it</t>
  </si>
  <si>
    <t>Locanda Nemorosa</t>
  </si>
  <si>
    <t>www.locandanemorosa.it</t>
  </si>
  <si>
    <t>info@locandanemorosa.it</t>
  </si>
  <si>
    <t>Piagge Del Sole</t>
  </si>
  <si>
    <t>Contrada Costa 4</t>
  </si>
  <si>
    <t>www.piaggedelsole.it</t>
  </si>
  <si>
    <t>info@piaggedelsole.it</t>
  </si>
  <si>
    <t>Bacucco</t>
  </si>
  <si>
    <t>Contrada Bacucco 11</t>
  </si>
  <si>
    <t>www.bacucco.com</t>
  </si>
  <si>
    <t>info@bacucco.com</t>
  </si>
  <si>
    <t>Azienda Agrituristica Canapina</t>
  </si>
  <si>
    <t>Contrada Bagnolo 2</t>
  </si>
  <si>
    <t>www.agriturismocanapina.it</t>
  </si>
  <si>
    <t>info@agriturismocanapina.it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</si>
  <si>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</si>
  <si>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</si>
  <si>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</si>
  <si>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</si>
  <si>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Reillys B&amp;B</t>
  </si>
  <si>
    <t>Via Nicolo 14</t>
  </si>
  <si>
    <t>reillysinitaly@yahoo.ie</t>
  </si>
  <si>
    <t>Agriturismo Cadabo' S.S.A.</t>
  </si>
  <si>
    <t>Contrada Sant' Angelo 4</t>
  </si>
  <si>
    <t>www.cadabo.com</t>
  </si>
  <si>
    <t>info@cadabo.com</t>
  </si>
  <si>
    <t>B&amp;B Parva Domus</t>
  </si>
  <si>
    <t>Sobborgo Fornaci 15</t>
  </si>
  <si>
    <t>Letto E Riletto</t>
  </si>
  <si>
    <t>Via V. Bachelet 33</t>
  </si>
  <si>
    <t>www.lettoeriletto.com</t>
  </si>
  <si>
    <t>info@lettoeriletto.com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</si>
  <si>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</si>
  <si>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</si>
  <si>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</si>
  <si>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</si>
  <si>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</si>
  <si>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</si>
  <si>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</si>
  <si>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</si>
  <si>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</si>
  <si>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</si>
  <si>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</si>
  <si>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</si>
  <si>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</si>
  <si>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</si>
  <si>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</si>
  <si>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</si>
  <si>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</si>
  <si>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</si>
  <si>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</si>
  <si>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</si>
  <si>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</si>
  <si>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Hotel Villa Quiete</t>
  </si>
  <si>
    <t>Localita' Valle Cascia 6</t>
  </si>
  <si>
    <t>www.villaquiete.it</t>
  </si>
  <si>
    <t>info@villaquiete.it</t>
  </si>
  <si>
    <t>Liola'</t>
  </si>
  <si>
    <t>Localita' Piane Potenza 9</t>
  </si>
  <si>
    <t>g.chiacchiera@sincomas.it</t>
  </si>
  <si>
    <t>B&amp;B Il Giardino Dei Limoni</t>
  </si>
  <si>
    <t>Localita' Rinaldi 16</t>
  </si>
  <si>
    <t>www.bbilgiardinodeilimoni.it</t>
  </si>
  <si>
    <t>info@bbilgiardinodeilimoni.it</t>
  </si>
  <si>
    <t>Vendrosella</t>
  </si>
  <si>
    <t>Via Mombaroccio 11</t>
  </si>
  <si>
    <t>info@giommisystem.it</t>
  </si>
  <si>
    <t>Ca' Dell'Olmo</t>
  </si>
  <si>
    <t>Via Montecipollino 16</t>
  </si>
  <si>
    <t>www.cadellolmo.altervista.org</t>
  </si>
  <si>
    <t>cadellolmo@altervista.org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</si>
  <si>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</si>
  <si>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</si>
  <si>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</si>
  <si>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</si>
  <si>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</si>
  <si>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</si>
  <si>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</si>
  <si>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</si>
  <si>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</si>
  <si>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</si>
  <si>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</si>
  <si>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</si>
  <si>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</si>
  <si>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</si>
  <si>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</si>
  <si>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</si>
  <si>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Il Carrubo</t>
  </si>
  <si>
    <t>Via Petricci 25</t>
  </si>
  <si>
    <t>Monte Santa Maria</t>
  </si>
  <si>
    <t>paolino.a63@tiscali.it; amadoripaolo@libero.it</t>
  </si>
  <si>
    <t>Albergo Casetta</t>
  </si>
  <si>
    <t>Localita' Rancaliccio 82</t>
  </si>
  <si>
    <t>www.albergocasetta.it</t>
  </si>
  <si>
    <t>info@albergocasetta.it</t>
  </si>
  <si>
    <t>Albergo Ristorante Scibar La Baita</t>
  </si>
  <si>
    <t>Via Circonvallazione 2</t>
  </si>
  <si>
    <t>www.scibarlabaita.it</t>
  </si>
  <si>
    <t>info@scibarlabaita.it</t>
  </si>
  <si>
    <t>B&amp;B Cangiari Mauro</t>
  </si>
  <si>
    <t>Via Calvillano 15</t>
  </si>
  <si>
    <t>maurocangiari@tiscali.it</t>
  </si>
  <si>
    <t>B&amp;B Pisani Renzo</t>
  </si>
  <si>
    <t>Via Montefeltresca 80/1</t>
  </si>
  <si>
    <t>losgana@yahoo.it</t>
  </si>
  <si>
    <t>Parco Del Lago</t>
  </si>
  <si>
    <t>Via San Francesco 1</t>
  </si>
  <si>
    <t>www.parco-del-lago.com</t>
  </si>
  <si>
    <t>parcodellago@inwind.it</t>
  </si>
  <si>
    <t>Via Cà Moneta 17</t>
  </si>
  <si>
    <t>Ca'Moneta</t>
  </si>
  <si>
    <t>dgabrielli@libero.it</t>
  </si>
  <si>
    <t>Via Casina 103</t>
  </si>
  <si>
    <t>Loc. Madonna Di Pugliano</t>
  </si>
  <si>
    <t>lequercemontecopiolo@gmail.com</t>
  </si>
  <si>
    <t>Parco Del Lago Dipendenza</t>
  </si>
  <si>
    <t>Villa Labor</t>
  </si>
  <si>
    <t>Localita' Villa Battelli 44</t>
  </si>
  <si>
    <t>www.villalabor.it</t>
  </si>
  <si>
    <t>info@villalabor.it</t>
  </si>
  <si>
    <t>Cea Calvillano</t>
  </si>
  <si>
    <t>Localita' Calvillano Snc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</si>
  <si>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</si>
  <si>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</si>
  <si>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</si>
  <si>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</si>
  <si>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</si>
  <si>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</si>
  <si>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</si>
  <si>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</si>
  <si>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B&amp;B Montecosaro</t>
  </si>
  <si>
    <t>Via Monte San Michele  3</t>
  </si>
  <si>
    <t>Montecosaro Alto</t>
  </si>
  <si>
    <t>www.bbmontecosaro.it</t>
  </si>
  <si>
    <t>andrea-quattrini@libero.it</t>
  </si>
  <si>
    <t>Angeli Innamorati</t>
  </si>
  <si>
    <t>Via Tiziano 1</t>
  </si>
  <si>
    <t>tsara76@gmail.com</t>
  </si>
  <si>
    <t>B&amp;B Calu'</t>
  </si>
  <si>
    <t>Località Cavallino  17</t>
  </si>
  <si>
    <t>www.bandbcalù.com</t>
  </si>
  <si>
    <t>info@bandbcalu.com</t>
  </si>
  <si>
    <t>B&amp;B Camilla</t>
  </si>
  <si>
    <t>Via Mazzini 6</t>
  </si>
  <si>
    <t>www.beb-camilla.it</t>
  </si>
  <si>
    <t>bebcamillamontecosaro@gmail.com</t>
  </si>
  <si>
    <t>B&amp;B Il Piccolo Melograno</t>
  </si>
  <si>
    <t>Via Cavallino  66 T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</si>
  <si>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</si>
  <si>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</si>
  <si>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</si>
  <si>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</si>
  <si>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</si>
  <si>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</si>
  <si>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Casa Di Chiara</t>
  </si>
  <si>
    <t>Contrada Crocette 10</t>
  </si>
  <si>
    <t>Appartamento Uso Turistico Di Giuliano Piselli</t>
  </si>
  <si>
    <t>C.Da Castellano 20</t>
  </si>
  <si>
    <t>giuliano.piselli@tiscali.it</t>
  </si>
  <si>
    <t>B&amp;B Il Viale</t>
  </si>
  <si>
    <t>Via Roma  60</t>
  </si>
  <si>
    <t>Montecosaro Scalo</t>
  </si>
  <si>
    <t>carla.rapagnani@libero.it</t>
  </si>
  <si>
    <t>Dolce Far Niente</t>
  </si>
  <si>
    <t>Asola</t>
  </si>
  <si>
    <t>www.aldolcefarniente.com</t>
  </si>
  <si>
    <t>info@aldolcefarniente.com</t>
  </si>
  <si>
    <t>La Quercia Di Checco</t>
  </si>
  <si>
    <t>Via Lapedosa 8</t>
  </si>
  <si>
    <t>www.laquerciadichecco.it</t>
  </si>
  <si>
    <t>info@laquerciadichecco.it</t>
  </si>
  <si>
    <t>Borgo San Tommaso</t>
  </si>
  <si>
    <t>comune.montedinove@gmail.com</t>
  </si>
  <si>
    <t>La Casetta Al Sole</t>
  </si>
  <si>
    <t>Via Franile  Snc</t>
  </si>
  <si>
    <t>studioadrianomecozzi@libero.it</t>
  </si>
  <si>
    <t>La Collina Degli Ulivi</t>
  </si>
  <si>
    <t>Contrada Franile 9</t>
  </si>
  <si>
    <t>collina.degli.ulivi@gmail.com</t>
  </si>
  <si>
    <t>B&amp;B Il Campanile</t>
  </si>
  <si>
    <t>B&amp;B Anna Maria Pallottini</t>
  </si>
  <si>
    <t>Corso Umberto I 55</t>
  </si>
  <si>
    <t>gialima@tiscali.it</t>
  </si>
  <si>
    <t>B&amp;B Le Grotte</t>
  </si>
  <si>
    <t>C.Da.S.Maria 1</t>
  </si>
  <si>
    <t>www.legrotte.net</t>
  </si>
  <si>
    <t>legrotte.montedinove@libero.it</t>
  </si>
  <si>
    <t>Il Fienile</t>
  </si>
  <si>
    <t>il.fienile@tiscali.it</t>
  </si>
  <si>
    <t>La Valle Dei Piceni</t>
  </si>
  <si>
    <t>Agriturismo La Priora Di Vallorani Maria Luigina</t>
  </si>
  <si>
    <t>Contrada Dragone 26</t>
  </si>
  <si>
    <t>www.agriturismopriora.com</t>
  </si>
  <si>
    <t>Hotel Del Duca</t>
  </si>
  <si>
    <t>Piazza Del Duca 102</t>
  </si>
  <si>
    <t>www.hoteldelduca.com</t>
  </si>
  <si>
    <t>info@hoteldelduca.com</t>
  </si>
  <si>
    <t>Oasi Biologica</t>
  </si>
  <si>
    <t>Contrada Del Pignotto 1</t>
  </si>
  <si>
    <t>www.oasibiologica.it</t>
  </si>
  <si>
    <t>info@oasibiologica.it</t>
  </si>
  <si>
    <t>Country House Faveto</t>
  </si>
  <si>
    <t>C.Da Faveto 88</t>
  </si>
  <si>
    <t>sabri14@alice.it</t>
  </si>
  <si>
    <t>Agriturismo Marulla</t>
  </si>
  <si>
    <t>Contrada Marulla 1</t>
  </si>
  <si>
    <t>www.agriturismomarulla.it</t>
  </si>
  <si>
    <t>agriturismomarulla@libero.it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</si>
  <si>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</si>
  <si>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</si>
  <si>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</si>
  <si>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</si>
  <si>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</si>
  <si>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</si>
  <si>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</si>
  <si>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L'Incontro</t>
  </si>
  <si>
    <t>Contrada San Lorenzo 63</t>
  </si>
  <si>
    <t>Contrada Cese 1</t>
  </si>
  <si>
    <t>B&amp;B Villa Marconi</t>
  </si>
  <si>
    <t>milani.isa@libero.it</t>
  </si>
  <si>
    <t>B&amp;B Nonna Luisa</t>
  </si>
  <si>
    <t>Via Roma 6</t>
  </si>
  <si>
    <t>www.bbnonnaluisa.it</t>
  </si>
  <si>
    <t>bbnonnaluisa@libero.it</t>
  </si>
  <si>
    <t>La Vecchia Scuola</t>
  </si>
  <si>
    <t>Contrada Monocchia 13</t>
  </si>
  <si>
    <t>info@lemarchebedandbreakfast.com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</si>
  <si>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</si>
  <si>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</si>
  <si>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</si>
  <si>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</si>
  <si>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</si>
  <si>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</si>
  <si>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</si>
  <si>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</si>
  <si>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</si>
  <si>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</si>
  <si>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</si>
  <si>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Il Casale Dell' Acquabona</t>
  </si>
  <si>
    <t>Via Intriglione 6</t>
  </si>
  <si>
    <t>www.ilcasaledellacquabona.it</t>
  </si>
  <si>
    <t>marcocapodacqua@hotmail.it</t>
  </si>
  <si>
    <t>Palazzo Carradori</t>
  </si>
  <si>
    <t>Via Della Vittoria 7</t>
  </si>
  <si>
    <t>www.palazzocarradori.com</t>
  </si>
  <si>
    <t>info@palazzocarradori.com</t>
  </si>
  <si>
    <t>B&amp;B Le Rose</t>
  </si>
  <si>
    <t>Via Petritoli 11</t>
  </si>
  <si>
    <t>federica.belluccini@alice.it</t>
  </si>
  <si>
    <t>Casale Di Cristina</t>
  </si>
  <si>
    <t>Via Intriglione 43</t>
  </si>
  <si>
    <t>gianfrigianfri@libero.it</t>
  </si>
  <si>
    <t>Centro Studi Biblici</t>
  </si>
  <si>
    <t>Via Servi Di Maria 1</t>
  </si>
  <si>
    <t>centro.bib@tin.it</t>
  </si>
  <si>
    <t>Cornio Delle Fronde</t>
  </si>
  <si>
    <t>Via Costa Della Figura  24</t>
  </si>
  <si>
    <t>Fontecorniale</t>
  </si>
  <si>
    <t>www.corniodellefronde.it</t>
  </si>
  <si>
    <t>info@corniodellefronde.it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</si>
  <si>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</si>
  <si>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</si>
  <si>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</si>
  <si>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</si>
  <si>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</si>
  <si>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</si>
  <si>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</si>
  <si>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Via Rossini 28</t>
  </si>
  <si>
    <t>Loc. Ponte Degli Alberi</t>
  </si>
  <si>
    <t>lupini.elisabetta@gmail.com</t>
  </si>
  <si>
    <t>Furiassi Luiza</t>
  </si>
  <si>
    <t>Costa Della Figura 20</t>
  </si>
  <si>
    <t>Costa Della Figura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</si>
  <si>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</si>
  <si>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</si>
  <si>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</si>
  <si>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</si>
  <si>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</si>
  <si>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</si>
  <si>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San Severo</t>
  </si>
  <si>
    <t>Via San Severo 3</t>
  </si>
  <si>
    <t>www.agritursansevero.it</t>
  </si>
  <si>
    <t>Agriturismo La Casetta Delle Marche</t>
  </si>
  <si>
    <t>Contrada Menocchia 190</t>
  </si>
  <si>
    <t>Montefiore Dell' Aso</t>
  </si>
  <si>
    <t>www.lacasettadellemarche.it</t>
  </si>
  <si>
    <t>postmaster@lacasettadellemarche.it</t>
  </si>
  <si>
    <t>Country House Sole E Luna</t>
  </si>
  <si>
    <t>C.Da San Giovanni 54</t>
  </si>
  <si>
    <t>www.countryhousesoleeluna.com</t>
  </si>
  <si>
    <t>info@countryhousesoleeluna.com</t>
  </si>
  <si>
    <t>B&amp;B Casa Delle Sorgenti Di Lesley Dorin</t>
  </si>
  <si>
    <t>Contrada  San Giovanni 57/58</t>
  </si>
  <si>
    <t>www.casadellesorgenti.com</t>
  </si>
  <si>
    <t>lesleydorin@gmail.com</t>
  </si>
  <si>
    <t>Angeli Di Montefiore</t>
  </si>
  <si>
    <t>Contrada Aso 108</t>
  </si>
  <si>
    <t>www.angeli-di-montefiore.de</t>
  </si>
  <si>
    <t>info@angeli-di-montefiore.de</t>
  </si>
  <si>
    <t>Il Casale Del Gallo</t>
  </si>
  <si>
    <t>B&amp;B Villa Rosa Bianca</t>
  </si>
  <si>
    <t>C.Da Aso  68</t>
  </si>
  <si>
    <t>www.villarosabianca.com</t>
  </si>
  <si>
    <t>info@villarosabianca.com</t>
  </si>
  <si>
    <t>B&amp;B Dai Ragazzi Pazzi</t>
  </si>
  <si>
    <t>C.Da Menocchia 98</t>
  </si>
  <si>
    <t>www.dairagazzipazzi.com</t>
  </si>
  <si>
    <t>info@dairagazzipazzi.com</t>
  </si>
  <si>
    <t>B&amp;B Casa Malavolta</t>
  </si>
  <si>
    <t>Via Ghibellina 17</t>
  </si>
  <si>
    <t>info@studiomalavolta.com</t>
  </si>
  <si>
    <t>Casale Magnolia</t>
  </si>
  <si>
    <t>Contrada Menocchia 212</t>
  </si>
  <si>
    <t>info@boutiquehotelmagnolia.com</t>
  </si>
  <si>
    <t>Dea Flora</t>
  </si>
  <si>
    <t>C.Da San Giovanni 48/A</t>
  </si>
  <si>
    <t>www.deaflora.it</t>
  </si>
  <si>
    <t>info@deaflora.it</t>
  </si>
  <si>
    <t>Via Mazzini 9</t>
  </si>
  <si>
    <t>ilcastello.montefiore@gmail.com</t>
  </si>
  <si>
    <t>Casa Centanni</t>
  </si>
  <si>
    <t>Contrada Aso 146</t>
  </si>
  <si>
    <t>www.casacentanni.it</t>
  </si>
  <si>
    <t>info@vinicentanni.it</t>
  </si>
  <si>
    <t>I Cigni</t>
  </si>
  <si>
    <t>C.Da San Giovanni 1</t>
  </si>
  <si>
    <t>www.agriturismoicigni.it</t>
  </si>
  <si>
    <t>info@agriturismoicigni.it</t>
  </si>
  <si>
    <t>La Campana</t>
  </si>
  <si>
    <t>Contrada Menocchia 39</t>
  </si>
  <si>
    <t>www.lacampana.it</t>
  </si>
  <si>
    <t>info@lacampana.it</t>
  </si>
  <si>
    <t>La Favella</t>
  </si>
  <si>
    <t>Contrada Menocchia 54</t>
  </si>
  <si>
    <t>www.biomarche.com/lafavella</t>
  </si>
  <si>
    <t>favelagr@tin.it</t>
  </si>
  <si>
    <t>Hotel Del Parco</t>
  </si>
  <si>
    <t>Via Molino 48</t>
  </si>
  <si>
    <t>www.hoteldelparco.info</t>
  </si>
  <si>
    <t>hotel_delparco@libero.it</t>
  </si>
  <si>
    <t>Golf Club - Country House I Lauri</t>
  </si>
  <si>
    <t>C.Da San Giovanni 2</t>
  </si>
  <si>
    <t>www.countryhouseilauri.it</t>
  </si>
  <si>
    <t>info@countryhouseilauri.it</t>
  </si>
  <si>
    <t>B&amp;B Casa Nolly</t>
  </si>
  <si>
    <t>Via San Giovanni 54</t>
  </si>
  <si>
    <t>info@casanolly.it</t>
  </si>
  <si>
    <t>Corso Xx Settembre 10</t>
  </si>
  <si>
    <t>Il Poderino Della Nonna</t>
  </si>
  <si>
    <t>Contrada San Giovanni 30</t>
  </si>
  <si>
    <t>www.ilpoderinodellanonna.it</t>
  </si>
  <si>
    <t>info@ilpoderinodellanonna.it</t>
  </si>
  <si>
    <t>B&amp;B Casale Del Levriero</t>
  </si>
  <si>
    <t>Contrada Menocchia 23</t>
  </si>
  <si>
    <t>www.casaledellevriero.com</t>
  </si>
  <si>
    <t>casaledellevriero@gmail.com</t>
  </si>
  <si>
    <t>Agriturismo Il Rocchetto</t>
  </si>
  <si>
    <t>Contrada Aso 63</t>
  </si>
  <si>
    <t>www.ilrocchetto.it</t>
  </si>
  <si>
    <t>ilrocchetto@libero.it</t>
  </si>
  <si>
    <t>Camping Sibilla</t>
  </si>
  <si>
    <t>Localita' Tenna Snc</t>
  </si>
  <si>
    <t>Tenna Di Montefortino</t>
  </si>
  <si>
    <t>anticomulino@virgilio.it</t>
  </si>
  <si>
    <t>La Moretta Di Evangelista Edoardo</t>
  </si>
  <si>
    <t>Localita' Pretattoni 11</t>
  </si>
  <si>
    <t>info@lamoretta.eu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</si>
  <si>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</si>
  <si>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</si>
  <si>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</si>
  <si>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</si>
  <si>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</si>
  <si>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</si>
  <si>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</si>
  <si>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</si>
  <si>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</si>
  <si>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</si>
  <si>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</si>
  <si>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</si>
  <si>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</si>
  <si>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</si>
  <si>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</si>
  <si>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</si>
  <si>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</si>
  <si>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</si>
  <si>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</si>
  <si>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</si>
  <si>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</si>
  <si>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</si>
  <si>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</si>
  <si>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</si>
  <si>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</si>
  <si>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</si>
  <si>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Casa Di Pietra</t>
  </si>
  <si>
    <t>casadipietra.eu@gmail.com</t>
  </si>
  <si>
    <t>Azienda Agrituristica La Terra Del Vento</t>
  </si>
  <si>
    <t>Via Roma 21</t>
  </si>
  <si>
    <t>agritursibillini.com</t>
  </si>
  <si>
    <t>laterradelvento@libero.it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</si>
  <si>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</si>
  <si>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</si>
  <si>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</si>
  <si>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</si>
  <si>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</si>
  <si>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</si>
  <si>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</si>
  <si>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</si>
  <si>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</si>
  <si>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</si>
  <si>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</si>
  <si>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</si>
  <si>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</si>
  <si>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</si>
  <si>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</si>
  <si>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</si>
  <si>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</si>
  <si>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</si>
  <si>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</si>
  <si>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</si>
  <si>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</si>
  <si>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Antico Mulino</t>
  </si>
  <si>
    <t>Loc.Tenna 2</t>
  </si>
  <si>
    <t>www.anticomulino.it</t>
  </si>
  <si>
    <t>La Filomena</t>
  </si>
  <si>
    <t>C.Da Collina 11</t>
  </si>
  <si>
    <t>info@agriturismolafilomena.it</t>
  </si>
  <si>
    <t>B&amp;B Astolfi Marco</t>
  </si>
  <si>
    <t>Frazione Castro 70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</si>
  <si>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</si>
  <si>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</si>
  <si>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</si>
  <si>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</si>
  <si>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</si>
  <si>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</si>
  <si>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</si>
  <si>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</si>
  <si>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B&amp;B Casa Vacanze Lo Spuntino</t>
  </si>
  <si>
    <t>Via Roma 13</t>
  </si>
  <si>
    <t>www.casavacanzelospuntino.it</t>
  </si>
  <si>
    <t>info@casavacanzelospuntino.it</t>
  </si>
  <si>
    <t>Ostello Santa Maria In Lapide</t>
  </si>
  <si>
    <t>Frazione Santa Maria In Lapide 4</t>
  </si>
  <si>
    <t>Country House Sotto Vento</t>
  </si>
  <si>
    <t>Frazione Colle 14</t>
  </si>
  <si>
    <t>www.rifugiocollesibillini.it</t>
  </si>
  <si>
    <t>sibillini.colle@libero.it</t>
  </si>
  <si>
    <t>B&amp;B Guerrieri Alessandro</t>
  </si>
  <si>
    <t>Frazione Abetito 111</t>
  </si>
  <si>
    <t>annabastiani@outlook.com</t>
  </si>
  <si>
    <t>Rifugio Escursionistico Sotto Vento</t>
  </si>
  <si>
    <t>Frazione Colle 12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</si>
  <si>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</si>
  <si>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</si>
  <si>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</si>
  <si>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</si>
  <si>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</si>
  <si>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B&amp;B House San Nicolo'</t>
  </si>
  <si>
    <t>Via Solferino 20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</si>
  <si>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</si>
  <si>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</si>
  <si>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</si>
  <si>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</si>
  <si>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</si>
  <si>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</si>
  <si>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</si>
  <si>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</si>
  <si>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</si>
  <si>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</si>
  <si>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</si>
  <si>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</si>
  <si>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</si>
  <si>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</si>
  <si>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</si>
  <si>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</si>
  <si>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</si>
  <si>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</si>
  <si>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</si>
  <si>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</si>
  <si>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</si>
  <si>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</si>
  <si>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</si>
  <si>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</si>
  <si>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</si>
  <si>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</si>
  <si>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</si>
  <si>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</si>
  <si>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</si>
  <si>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</si>
  <si>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</si>
  <si>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B&amp;B Liciotti Giancarlo</t>
  </si>
  <si>
    <t>Via Garibaldi 15</t>
  </si>
  <si>
    <t>g.liciotti@live.it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</si>
  <si>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</si>
  <si>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</si>
  <si>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</si>
  <si>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</si>
  <si>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</si>
  <si>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</si>
  <si>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</si>
  <si>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</si>
  <si>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</si>
  <si>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Terra &amp; Sole S.R.L.</t>
  </si>
  <si>
    <t>Contrada Santa Maria 534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</si>
  <si>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</si>
  <si>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</si>
  <si>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</si>
  <si>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</si>
  <si>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</si>
  <si>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</si>
  <si>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</si>
  <si>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</si>
  <si>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</si>
  <si>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</si>
  <si>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</si>
  <si>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</si>
  <si>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</si>
  <si>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</si>
  <si>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</si>
  <si>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</si>
  <si>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Villa Alessandra</t>
  </si>
  <si>
    <t>Via Vecchia Boncore 2</t>
  </si>
  <si>
    <t>ale.pagliarini67@gmail.com</t>
  </si>
  <si>
    <t>Casa De Campo</t>
  </si>
  <si>
    <t>Via Dei Monti 208 1</t>
  </si>
  <si>
    <t>acasadecampo1@gmail.com</t>
  </si>
  <si>
    <t>B&amp;B Casa Ciarpella</t>
  </si>
  <si>
    <t>C.Da Santa Leandra  329/C</t>
  </si>
  <si>
    <t>casaciarpella@gmail.com</t>
  </si>
  <si>
    <t>B&amp;B Villa Casula</t>
  </si>
  <si>
    <t>Via Ripe  108/1</t>
  </si>
  <si>
    <t>Ripe</t>
  </si>
  <si>
    <t>info@villacasula.com</t>
  </si>
  <si>
    <t>Casa Del Sole</t>
  </si>
  <si>
    <t>Via Abbadia 20</t>
  </si>
  <si>
    <t>www.agriturismocasadelsole.it</t>
  </si>
  <si>
    <t>info@agriturismocasadelsole.it</t>
  </si>
  <si>
    <t>Casa Marcucci</t>
  </si>
  <si>
    <t>Del Castello</t>
  </si>
  <si>
    <t>Via Montali 17</t>
  </si>
  <si>
    <t>www.ristorantedelcastello.it</t>
  </si>
  <si>
    <t>info@ristorantedelcastello.it</t>
  </si>
  <si>
    <t>Il Montale Country Resort</t>
  </si>
  <si>
    <t>Via Calamone 12</t>
  </si>
  <si>
    <t>www.ilmontale.it</t>
  </si>
  <si>
    <t>info@ilmontale.it</t>
  </si>
  <si>
    <t>B&amp;B Casula</t>
  </si>
  <si>
    <t>Via Ripe  108/3</t>
  </si>
  <si>
    <t>casulapiero@yahoo.com</t>
  </si>
  <si>
    <t>La Casa Dei Nonni</t>
  </si>
  <si>
    <t>Contrada Madonna Di Loreto 21</t>
  </si>
  <si>
    <t>www.lacasadeinonni.org</t>
  </si>
  <si>
    <t>info@lacasadeinonni.org</t>
  </si>
  <si>
    <t>Country House Casa Rossa</t>
  </si>
  <si>
    <t>Via Madonna Di Loreto 4</t>
  </si>
  <si>
    <t>www.countryhousecasarossa.it</t>
  </si>
  <si>
    <t>info@countryhousecasarossa.it</t>
  </si>
  <si>
    <t>Fonte Di S. Andrea</t>
  </si>
  <si>
    <t>www.fontedisantandrea.it</t>
  </si>
  <si>
    <t>info@fontedisantandrea.it</t>
  </si>
  <si>
    <t>La Ginestra Hotel</t>
  </si>
  <si>
    <t>Contrada Coste 2</t>
  </si>
  <si>
    <t>www.laginestra.it</t>
  </si>
  <si>
    <t>info@laginestra.it</t>
  </si>
  <si>
    <t>Casale Monastero Sul Colle</t>
  </si>
  <si>
    <t>C.Da Coste 18</t>
  </si>
  <si>
    <t>www.casalemonasteromarche.com</t>
  </si>
  <si>
    <t>annessi@studioannessi.it</t>
  </si>
  <si>
    <t>B&amp;B Villa Cristina</t>
  </si>
  <si>
    <t>Via Case E Pozzo 10</t>
  </si>
  <si>
    <t>B&amp;B L'Aurora</t>
  </si>
  <si>
    <t>Via Risorgimento  25</t>
  </si>
  <si>
    <t>C.Da Coste</t>
  </si>
  <si>
    <t>www.bb-laurora.com</t>
  </si>
  <si>
    <t>info@bb-laurora.com</t>
  </si>
  <si>
    <t>Agriturismo Monteverde</t>
  </si>
  <si>
    <t>Contrada Coste</t>
  </si>
  <si>
    <t>salvatoregasperini@alice.it</t>
  </si>
  <si>
    <t>B&amp;B La Casa In Collina</t>
  </si>
  <si>
    <t>Via Santa Maria 32</t>
  </si>
  <si>
    <t>B&amp;B Wendy Richardson</t>
  </si>
  <si>
    <t>Via Celestiale 16</t>
  </si>
  <si>
    <t>wendy@villainthevineyard.com</t>
  </si>
  <si>
    <t>T'Asteria</t>
  </si>
  <si>
    <t>Colle Carbone  9</t>
  </si>
  <si>
    <t>www.tasteria.it</t>
  </si>
  <si>
    <t>info@tasteria.it; isaak.tsorakidis@hotmail.it</t>
  </si>
  <si>
    <t>Foresteria Del Viandante</t>
  </si>
  <si>
    <t>Via Lrgo Marconi 3</t>
  </si>
  <si>
    <t>scendoni52@gmail.com</t>
  </si>
  <si>
    <t>Sopra E Sotto</t>
  </si>
  <si>
    <t>Contrada Serrone 3</t>
  </si>
  <si>
    <t>www.sopraesotto.com</t>
  </si>
  <si>
    <t>info@sopraesotto.com</t>
  </si>
  <si>
    <t>Agricamp Picobello</t>
  </si>
  <si>
    <t>www.agricamppicobello.com</t>
  </si>
  <si>
    <t>info@agricamppicobello.com</t>
  </si>
  <si>
    <t>Agriturismo Residence Sinfonie Del Bosco</t>
  </si>
  <si>
    <t>Contrada Santa Maria 45</t>
  </si>
  <si>
    <t>www.residencesinfoniedelbosco.it</t>
  </si>
  <si>
    <t>info@residencesinfoniedelbosco.it</t>
  </si>
  <si>
    <t>Le Coste</t>
  </si>
  <si>
    <t>Contrada Coste 34</t>
  </si>
  <si>
    <t>Hotel Leone</t>
  </si>
  <si>
    <t>Via Vittorio Emanuelel Ii  60</t>
  </si>
  <si>
    <t>www.hotelleonemarche.com</t>
  </si>
  <si>
    <t>info@hotelleone.it</t>
  </si>
  <si>
    <t>B&amp;B Curi Maurizio</t>
  </si>
  <si>
    <t>Contrada Coste 24</t>
  </si>
  <si>
    <t>info@lagolosacm.it</t>
  </si>
  <si>
    <t>Agriturismo Cynara</t>
  </si>
  <si>
    <t>Loc. Cervare 15</t>
  </si>
  <si>
    <t>Cervare</t>
  </si>
  <si>
    <t>cippitellipaolo@aliceposta.it</t>
  </si>
  <si>
    <t>Andreani Carla App.To</t>
  </si>
  <si>
    <t>Via Castelfidardo  1</t>
  </si>
  <si>
    <t>carlaandreani@virgilio.it</t>
  </si>
  <si>
    <t>Agriturismo Le Tate</t>
  </si>
  <si>
    <t>Loc. Cervare 6</t>
  </si>
  <si>
    <t>giovanni.florentino@virgilio.it</t>
  </si>
  <si>
    <t>B&amp;B Montelupone Di Antonio Bedini</t>
  </si>
  <si>
    <t>Via Regina Margherita 8</t>
  </si>
  <si>
    <t>www.bedandbreakfast.it</t>
  </si>
  <si>
    <t>mister.bedini@libero.it</t>
  </si>
  <si>
    <t>Bed &amp; Breakfast San Firmano</t>
  </si>
  <si>
    <t>San Firmano 1</t>
  </si>
  <si>
    <t>www.sanfirmano.it</t>
  </si>
  <si>
    <t>info@sanfirmano.it</t>
  </si>
  <si>
    <t>Hotel Ristorante Moretti Dante</t>
  </si>
  <si>
    <t>Via Fermi 4</t>
  </si>
  <si>
    <t>www.hotelmoretti.it</t>
  </si>
  <si>
    <t>info@hotelmoretti.it</t>
  </si>
  <si>
    <t>Parco Eleuteri</t>
  </si>
  <si>
    <t>Mura Del Centro Storico</t>
  </si>
  <si>
    <t>B&amp;B Cervare 21 Di Roberto De Duro</t>
  </si>
  <si>
    <t>C.Da Cervare 21</t>
  </si>
  <si>
    <t>www.cervare21.it</t>
  </si>
  <si>
    <t>r.deduro@hotmail.it</t>
  </si>
  <si>
    <t>Agriturismo L'Alternativa</t>
  </si>
  <si>
    <t>Contrada Caccialupo 2</t>
  </si>
  <si>
    <t>laalternativa@live.it</t>
  </si>
  <si>
    <t>B&amp;B L'Albero Verde</t>
  </si>
  <si>
    <t>Vicolo San Francesco 2/A</t>
  </si>
  <si>
    <t>info@lalberoverde.com</t>
  </si>
  <si>
    <t>B&amp;B Antico Giaciglio Di Daniela Benigni</t>
  </si>
  <si>
    <t>B&amp;B Dedicato A Te</t>
  </si>
  <si>
    <t>B&amp;B Il Casone</t>
  </si>
  <si>
    <t>Via Casone  3</t>
  </si>
  <si>
    <t>www.bbilcasone.it</t>
  </si>
  <si>
    <t>giusbu@libero.it</t>
  </si>
  <si>
    <t>Fraticelli Massimo</t>
  </si>
  <si>
    <t>Via Borghetto 9</t>
  </si>
  <si>
    <t>massimo@fraticelli.eu</t>
  </si>
  <si>
    <t>B&amp;B Il Nido Delle Rose Di Mandolini Nazario</t>
  </si>
  <si>
    <t>Via Salvamaggio 19 L</t>
  </si>
  <si>
    <t>nzr@libero.it; alessandratappezzeria@gmail.com</t>
  </si>
  <si>
    <t>Via Piagge 19</t>
  </si>
  <si>
    <t>www.nonnamarietta.com</t>
  </si>
  <si>
    <t>raffyrp@libero.it</t>
  </si>
  <si>
    <t>Villa Tombolina</t>
  </si>
  <si>
    <t>Via Tombolina Sn</t>
  </si>
  <si>
    <t>www.villatombolina.it</t>
  </si>
  <si>
    <t>info@villatombolina.it</t>
  </si>
  <si>
    <t>Casa Roncaglia</t>
  </si>
  <si>
    <t>Via Roncaglia 9</t>
  </si>
  <si>
    <t>www.casaroncaglia.it</t>
  </si>
  <si>
    <t>info@casaroncaglia.it</t>
  </si>
  <si>
    <t>Ristorante Albergo Borgo Montemaggiore</t>
  </si>
  <si>
    <t>Piazza Bramante  8</t>
  </si>
  <si>
    <t>www.borgomontemaggiore.it</t>
  </si>
  <si>
    <t>info@borgomontemaggiore.it</t>
  </si>
  <si>
    <t>Valle Del Metauro Country House</t>
  </si>
  <si>
    <t>www.valledelmetaurocountryhouse.it</t>
  </si>
  <si>
    <t>info@valledelmetaurocountryhouse.it</t>
  </si>
  <si>
    <t>Casa Fiorenzuola</t>
  </si>
  <si>
    <t>Via Tombolina 3,7</t>
  </si>
  <si>
    <t>Casa Vacanze Elsa</t>
  </si>
  <si>
    <t>Via Canaletta 3</t>
  </si>
  <si>
    <t>www.casavacanze-elsa.it</t>
  </si>
  <si>
    <t>casavacanze.elsa@gmail.com</t>
  </si>
  <si>
    <t>Mons Major Relais</t>
  </si>
  <si>
    <t>Via Delle Mura 16 31</t>
  </si>
  <si>
    <t>www.monsmajor.it</t>
  </si>
  <si>
    <t>info@monsmajor.it</t>
  </si>
  <si>
    <t>B&amp;B Tra Ulivi E Ginestre</t>
  </si>
  <si>
    <t>Via Bellaguardia 4</t>
  </si>
  <si>
    <t>adelchi.biagioli@gmail.com</t>
  </si>
  <si>
    <t>Bagni Paolo</t>
  </si>
  <si>
    <t>Marina Di Montemarciano</t>
  </si>
  <si>
    <t>B&amp;B Il Sentiero</t>
  </si>
  <si>
    <t>Via Media 11</t>
  </si>
  <si>
    <t>paolo571957@libero.it</t>
  </si>
  <si>
    <t>La Casa Sull' Albero</t>
  </si>
  <si>
    <t>Via Marina Alta 4</t>
  </si>
  <si>
    <t>B&amp;B Brezza Da Mare</t>
  </si>
  <si>
    <t>Via Portonovo 3</t>
  </si>
  <si>
    <t>www.brezzadamare.com</t>
  </si>
  <si>
    <t>brezzadamare@hotmail.com</t>
  </si>
  <si>
    <t>B&amp;B Fontebella</t>
  </si>
  <si>
    <t>Via Fontebella 17/B</t>
  </si>
  <si>
    <t>bbfontebella@libero.it</t>
  </si>
  <si>
    <t>B&amp;B Via Marina 56</t>
  </si>
  <si>
    <t>Via Marina 56</t>
  </si>
  <si>
    <t>www.viamarina56.it</t>
  </si>
  <si>
    <t>info@viamarina56.it; enzortu@gmail.com</t>
  </si>
  <si>
    <t>Agriturismo La Palombara</t>
  </si>
  <si>
    <t>Via Palombara 2</t>
  </si>
  <si>
    <t>La Nocicchia</t>
  </si>
  <si>
    <t>Via Nocicchia 6</t>
  </si>
  <si>
    <t>lanocicchia@gmail.com</t>
  </si>
  <si>
    <t>Brezza</t>
  </si>
  <si>
    <t>Agriturismo Bio Verde Armonia</t>
  </si>
  <si>
    <t>Via Gualdo  16/A</t>
  </si>
  <si>
    <t>vono.ricci@libero.it</t>
  </si>
  <si>
    <t>Via Marina 36</t>
  </si>
  <si>
    <t>Waikiki</t>
  </si>
  <si>
    <t>Lungomare  1/A 1/A</t>
  </si>
  <si>
    <t>Bagni Heidi</t>
  </si>
  <si>
    <t>Via Lungomare 69/D</t>
  </si>
  <si>
    <t>mengucci.marco@alice.it</t>
  </si>
  <si>
    <t>Via Marina 116 116/A</t>
  </si>
  <si>
    <t>easyhelp@email.it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</si>
  <si>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</si>
  <si>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</si>
  <si>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</si>
  <si>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</si>
  <si>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</si>
  <si>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</si>
  <si>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</si>
  <si>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</si>
  <si>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</si>
  <si>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</si>
  <si>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</si>
  <si>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</si>
  <si>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</si>
  <si>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</si>
  <si>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</si>
  <si>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</si>
  <si>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</si>
  <si>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</si>
  <si>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</si>
  <si>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</si>
  <si>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</si>
  <si>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</si>
  <si>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</si>
  <si>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</si>
  <si>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</si>
  <si>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</si>
  <si>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</si>
  <si>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Naomi</t>
  </si>
  <si>
    <t>Via Lungomare 1 1</t>
  </si>
  <si>
    <t>Eden Park Hotel</t>
  </si>
  <si>
    <t>Via Piave 2</t>
  </si>
  <si>
    <t>info@edenpark-hotel.it</t>
  </si>
  <si>
    <t>B&amp;B A Casa Di Ciuciu'</t>
  </si>
  <si>
    <t>Via Santa Veneranda 3</t>
  </si>
  <si>
    <t>www.acasadiciuciu.com</t>
  </si>
  <si>
    <t>acasadiciuciu@gmail.com</t>
  </si>
  <si>
    <t>Madame</t>
  </si>
  <si>
    <t>Via Lungomare 61/D 61/D</t>
  </si>
  <si>
    <t>Il Bertoldo Di Milletti &amp; Di Mattia Sas</t>
  </si>
  <si>
    <t>Via Lungomare 127/A</t>
  </si>
  <si>
    <t>La Cabana Di Pellegrini Ivan</t>
  </si>
  <si>
    <t>Lungomare 142 142</t>
  </si>
  <si>
    <t>Il Lanternino</t>
  </si>
  <si>
    <t>Via Ronco 5</t>
  </si>
  <si>
    <t>www.illanternino.it</t>
  </si>
  <si>
    <t>info@illanternino.net</t>
  </si>
  <si>
    <t>B&amp;B Piccolo Borgo</t>
  </si>
  <si>
    <t>Via San Pietro 17</t>
  </si>
  <si>
    <t>dorianadegliemili@gmail.com</t>
  </si>
  <si>
    <t>Novello Guido</t>
  </si>
  <si>
    <t>Via Lungomare 65</t>
  </si>
  <si>
    <t>Bagni Bananas</t>
  </si>
  <si>
    <t>Via Lungomare  139</t>
  </si>
  <si>
    <t>paolod.d@virgilio.it</t>
  </si>
  <si>
    <t>Il Tiglio Di Mazzaroni Enrico</t>
  </si>
  <si>
    <t>Frazione Isola San Biagio 1</t>
  </si>
  <si>
    <t>ristoranteiltiglio@yahoo.it</t>
  </si>
  <si>
    <t>Il Castagno</t>
  </si>
  <si>
    <t>Hotel Monti Azzurri</t>
  </si>
  <si>
    <t>www.hotelmontiazzurri.com</t>
  </si>
  <si>
    <t>info@hotelmontiazzurri.com</t>
  </si>
  <si>
    <t>Guerrin Meschino</t>
  </si>
  <si>
    <t>Frazione Rocca 1</t>
  </si>
  <si>
    <t>www.guerrinmeschino.com</t>
  </si>
  <si>
    <t>infoguerrinmeschino@libero.it</t>
  </si>
  <si>
    <t>Taverna Della Montagna</t>
  </si>
  <si>
    <t>Frazione Foce 33</t>
  </si>
  <si>
    <t>www.tavernadellamontagna.net</t>
  </si>
  <si>
    <t>tavernadellamontagna@gmail.com</t>
  </si>
  <si>
    <t>La Colombella</t>
  </si>
  <si>
    <t>Viale Stradone 86</t>
  </si>
  <si>
    <t>lacolombella@sibillini.com</t>
  </si>
  <si>
    <t>La Cittadella</t>
  </si>
  <si>
    <t>Cittadella</t>
  </si>
  <si>
    <t>www.cittadelladeisibillini.it</t>
  </si>
  <si>
    <t>informa@cittadelladeisibillini.it</t>
  </si>
  <si>
    <t>La Fattoria</t>
  </si>
  <si>
    <t>Via Colleregnone 6</t>
  </si>
  <si>
    <t>Colleregnone</t>
  </si>
  <si>
    <t>www.fattoriadeisibillini.com</t>
  </si>
  <si>
    <t>info@fattoriadeisibillini.com</t>
  </si>
  <si>
    <t>La Primula</t>
  </si>
  <si>
    <t>Frazione Ariconi</t>
  </si>
  <si>
    <t>www.laprimula.it</t>
  </si>
  <si>
    <t>laprimula.lago@libero.it</t>
  </si>
  <si>
    <t>Casa Per Ferie San Giorgio All' Isola</t>
  </si>
  <si>
    <t>S. Giorgio All'Isola</t>
  </si>
  <si>
    <t>idscsbt@virgilio.it</t>
  </si>
  <si>
    <t>Le Oreadi</t>
  </si>
  <si>
    <t>Frazione Isola San Biagio 52</t>
  </si>
  <si>
    <t>www.leoreadi.com</t>
  </si>
  <si>
    <t>info@leoreadi.com</t>
  </si>
  <si>
    <t>Alfonso Vetri Buratti</t>
  </si>
  <si>
    <t>Frazione Altino</t>
  </si>
  <si>
    <t>alfonsovetriburatti@gmail.com</t>
  </si>
  <si>
    <t>Casa Per Ferie Altino</t>
  </si>
  <si>
    <t>Frazione Altino 1</t>
  </si>
  <si>
    <t>www.rifugioaltino.it</t>
  </si>
  <si>
    <t>info@studiocensori.it</t>
  </si>
  <si>
    <t>Rifugio Altino</t>
  </si>
  <si>
    <t>La Fonte Di Corbelli Carolina Rita</t>
  </si>
  <si>
    <t>Frazione Rascio  21</t>
  </si>
  <si>
    <t>Agriturismo Villa Vittoria</t>
  </si>
  <si>
    <t>Loc. Colleregnone  8</t>
  </si>
  <si>
    <t>Le Tofe</t>
  </si>
  <si>
    <t>Frazione Tofe 1</t>
  </si>
  <si>
    <t>La Baita Di Pilato S.A.S.</t>
  </si>
  <si>
    <t>Localita' Pignotti 8</t>
  </si>
  <si>
    <t>www.labaitadipilato.it</t>
  </si>
  <si>
    <t>info@labaitadipilato.it</t>
  </si>
  <si>
    <t>La Locanda Di Ulisse</t>
  </si>
  <si>
    <t>Fraz. Vallefiume</t>
  </si>
  <si>
    <t>www.lalocandadiulisse.it</t>
  </si>
  <si>
    <t>info@lalocandadiulisse.it</t>
  </si>
  <si>
    <t>Isola San Biagio</t>
  </si>
  <si>
    <t>Stella Alpina</t>
  </si>
  <si>
    <t>Frazione Vallegrascia 106</t>
  </si>
  <si>
    <t>www.stellaalpinabb.it</t>
  </si>
  <si>
    <t>info@stellaalpinabb.it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</si>
  <si>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</si>
  <si>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</si>
  <si>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</si>
  <si>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</si>
  <si>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</si>
  <si>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</si>
  <si>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</si>
  <si>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</si>
  <si>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</si>
  <si>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</si>
  <si>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</si>
  <si>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</si>
  <si>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</si>
  <si>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</si>
  <si>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</si>
  <si>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</si>
  <si>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Rivorosso</t>
  </si>
  <si>
    <t>Vallegrascia</t>
  </si>
  <si>
    <t>Residence Borgo Da Mare</t>
  </si>
  <si>
    <t>Via Allegretti 13</t>
  </si>
  <si>
    <t>www.borgodamare.it</t>
  </si>
  <si>
    <t>info@borgodamare.it</t>
  </si>
  <si>
    <t>Il Sapore Della Luna</t>
  </si>
  <si>
    <t>Contrada Spiagge 23</t>
  </si>
  <si>
    <t>www.ilsaporedellaluna.it</t>
  </si>
  <si>
    <t>info@ilsaporedellaluna.it</t>
  </si>
  <si>
    <t>Hotel Belvedere</t>
  </si>
  <si>
    <t>Via Indipendenza 26</t>
  </si>
  <si>
    <t>http://www.hrbelvedere.it</t>
  </si>
  <si>
    <t>info@hrbelvedere.it</t>
  </si>
  <si>
    <t>San Giacomo</t>
  </si>
  <si>
    <t>Via Giacomo Leopardi 7</t>
  </si>
  <si>
    <t>info@hotel-sangiacomo.it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</si>
  <si>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</si>
  <si>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</si>
  <si>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</si>
  <si>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</si>
  <si>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</si>
  <si>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</si>
  <si>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Gli Orti Di San Giacomo</t>
  </si>
  <si>
    <t>Via Monterone 33</t>
  </si>
  <si>
    <t>www.bbgliortidisangiacomo.it</t>
  </si>
  <si>
    <t>ortidisangiacomo@gmail.com</t>
  </si>
  <si>
    <t>Il Giardino Di San Giacomo</t>
  </si>
  <si>
    <t>persianicristian1965@gmail.com</t>
  </si>
  <si>
    <t>Villa Cicchi</t>
  </si>
  <si>
    <t>Contrada Colle S. Angelo 18</t>
  </si>
  <si>
    <t>info@bedandbreakfastvillacicchi.it</t>
  </si>
  <si>
    <t>ilaria_28@live.it;</t>
  </si>
  <si>
    <t>Casa Adriatica</t>
  </si>
  <si>
    <t>Contrada Fonte Vecchia 22</t>
  </si>
  <si>
    <t>casaadriatica.nl</t>
  </si>
  <si>
    <t>casaadriatica@gmail.com</t>
  </si>
  <si>
    <t>Sole Luna</t>
  </si>
  <si>
    <t>Via Bitossi 43</t>
  </si>
  <si>
    <t>laura.cardinali@gmail.com</t>
  </si>
  <si>
    <t>Hostaria Del Cavaliere</t>
  </si>
  <si>
    <t>Via Antonio Gramsci 7</t>
  </si>
  <si>
    <t>www.hoteldelcavaliere.it</t>
  </si>
  <si>
    <t>info@hoteldelcavaliere.it</t>
  </si>
  <si>
    <t>Xxv Aprile 1</t>
  </si>
  <si>
    <t>Montotto</t>
  </si>
  <si>
    <t>rsquercia@libero.it</t>
  </si>
  <si>
    <t>B&amp;B Il Grottino Di David Ciuti</t>
  </si>
  <si>
    <t>Piazza Del Mercato 11</t>
  </si>
  <si>
    <t>davidciuti@virgilio.it</t>
  </si>
  <si>
    <t>La Rosa Scarlatta</t>
  </si>
  <si>
    <t>Largo V. Giovannetti 4</t>
  </si>
  <si>
    <t>www.rosascarlatta.it</t>
  </si>
  <si>
    <t>info@rosascarlatta.it</t>
  </si>
  <si>
    <t>Villa Montotto</t>
  </si>
  <si>
    <t>Frazione Montotto 20</t>
  </si>
  <si>
    <t>www.villamontotto.it</t>
  </si>
  <si>
    <t>info@villamontotto.it</t>
  </si>
  <si>
    <t>Agriturismo Montesicuro</t>
  </si>
  <si>
    <t>C.Da Montesicuro 9</t>
  </si>
  <si>
    <t>www.agriturismomontesicuro.it</t>
  </si>
  <si>
    <t>gaetanomonaldi@alice.it</t>
  </si>
  <si>
    <t>Via Posenzano  11</t>
  </si>
  <si>
    <t>www.laquercia-agriturismo.com</t>
  </si>
  <si>
    <t>Agriturismo Crosta</t>
  </si>
  <si>
    <t>Pozzetto 2/B</t>
  </si>
  <si>
    <t>Valdaso Di Monterubbiano</t>
  </si>
  <si>
    <t>www.agriturismo-crosta.it</t>
  </si>
  <si>
    <t>info@agriturismo-crosta.it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</si>
  <si>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</si>
  <si>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</si>
  <si>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</si>
  <si>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</si>
  <si>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</si>
  <si>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</si>
  <si>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</si>
  <si>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B&amp;B Il Giogo</t>
  </si>
  <si>
    <t>Contrada Fonterrante 10</t>
  </si>
  <si>
    <t>www.ilgiogo.com</t>
  </si>
  <si>
    <t>info@ilgiogo.com; prenotazioni@ilgiogo.com</t>
  </si>
  <si>
    <t>Callara' Alessandra</t>
  </si>
  <si>
    <t>Via Chiesanuova 33</t>
  </si>
  <si>
    <t>alessandra.callara@gmail.com</t>
  </si>
  <si>
    <t>Pensione Ristorante Da Checco</t>
  </si>
  <si>
    <t>Via Porta Marina 5</t>
  </si>
  <si>
    <t>Albergo Ristorante Pazzi</t>
  </si>
  <si>
    <t>Via Laurenzi 10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</si>
  <si>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</si>
  <si>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</si>
  <si>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</si>
  <si>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</si>
  <si>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</si>
  <si>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</si>
  <si>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</si>
  <si>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</si>
  <si>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</si>
  <si>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</si>
  <si>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</si>
  <si>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</si>
  <si>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</si>
  <si>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</si>
  <si>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</si>
  <si>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</si>
  <si>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Braghin Annie</t>
  </si>
  <si>
    <t>Via Polveriggia 1</t>
  </si>
  <si>
    <t>Eschito</t>
  </si>
  <si>
    <t>Via Molino 27</t>
  </si>
  <si>
    <t>Dal Priore</t>
  </si>
  <si>
    <t>Via Mistichelli 8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</si>
  <si>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</si>
  <si>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</si>
  <si>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</si>
  <si>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</si>
  <si>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</si>
  <si>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</si>
  <si>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</si>
  <si>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</si>
  <si>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Le Civette</t>
  </si>
  <si>
    <t>Via Morganti 59</t>
  </si>
  <si>
    <t>www.casavacanzalecivette.it</t>
  </si>
  <si>
    <t>info@casavacanzalecivette.it</t>
  </si>
  <si>
    <t>B&amp;B San Felice</t>
  </si>
  <si>
    <t>Via Sanguineti 24</t>
  </si>
  <si>
    <t>gillian.arger@gmail.com</t>
  </si>
  <si>
    <t>B&amp;B Casa Del Gelso</t>
  </si>
  <si>
    <t>Via Sanguineti 18</t>
  </si>
  <si>
    <t>fabiotruck@alice.it</t>
  </si>
  <si>
    <t>La Vita Nuova Srl</t>
  </si>
  <si>
    <t>Via Sant'Amico 52</t>
  </si>
  <si>
    <t>peter.vigenon@lavitanuova.it</t>
  </si>
  <si>
    <t>Saro' Casolare</t>
  </si>
  <si>
    <t>Via Sant'Amico 64</t>
  </si>
  <si>
    <t>www.lacrimasaro.it</t>
  </si>
  <si>
    <t>lacrimasaro@lacrimasaro.it</t>
  </si>
  <si>
    <t>Vigna S. Amico Country House</t>
  </si>
  <si>
    <t>Via S. Amico 70</t>
  </si>
  <si>
    <t>Morro D' Alba</t>
  </si>
  <si>
    <t>www.vignasantamico.it</t>
  </si>
  <si>
    <t>info@vignasantamico.it</t>
  </si>
  <si>
    <t>Albergo Shanti House Dal Mago</t>
  </si>
  <si>
    <t>Fosso Roberti 1</t>
  </si>
  <si>
    <t>www.shantihousedalmago.com</t>
  </si>
  <si>
    <t>info@shantihousedalmago.com</t>
  </si>
  <si>
    <t>Via Del Mare 4-6</t>
  </si>
  <si>
    <t>moniapacenti73@gmail.com</t>
  </si>
  <si>
    <t>Sole Bello Residence Di Camponi Enrico</t>
  </si>
  <si>
    <t>Via Del Mare 64</t>
  </si>
  <si>
    <t>www.solebelloitaly.com</t>
  </si>
  <si>
    <t>enricocathy@solebelloitaly.com</t>
  </si>
  <si>
    <t>Il Granaio Dei Pretini</t>
  </si>
  <si>
    <t>Via S.Amico 71</t>
  </si>
  <si>
    <t>ilgranaio.piera@libero.it</t>
  </si>
  <si>
    <t>La Gemma Di Sant'Elena</t>
  </si>
  <si>
    <t>Contrada Fosso Roberti 4</t>
  </si>
  <si>
    <t>info@villasantelena.com</t>
  </si>
  <si>
    <t>Agriturismo Severini</t>
  </si>
  <si>
    <t>Via Portone San Francesco 13</t>
  </si>
  <si>
    <t>www.agriturismoseverini.it</t>
  </si>
  <si>
    <t>info@agriturismoseverini.it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</si>
  <si>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</si>
  <si>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</si>
  <si>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</si>
  <si>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</si>
  <si>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</si>
  <si>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</si>
  <si>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</si>
  <si>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</si>
  <si>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</si>
  <si>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</si>
  <si>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</si>
  <si>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</si>
  <si>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</si>
  <si>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</si>
  <si>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</si>
  <si>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</si>
  <si>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</si>
  <si>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</si>
  <si>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</si>
  <si>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</si>
  <si>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</si>
  <si>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</si>
  <si>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</si>
  <si>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</si>
  <si>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</si>
  <si>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</si>
  <si>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</si>
  <si>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</si>
  <si>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</si>
  <si>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</si>
  <si>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</si>
  <si>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</si>
  <si>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</si>
  <si>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</si>
  <si>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Al Casale Di Morro</t>
  </si>
  <si>
    <t>Contrada Lamaticci 25</t>
  </si>
  <si>
    <t>www.alcasaledimorro.it</t>
  </si>
  <si>
    <t>info@alcasaledimorro.it</t>
  </si>
  <si>
    <t>Hotel San Crispino</t>
  </si>
  <si>
    <t>Via Dante Alighieri 222</t>
  </si>
  <si>
    <t>www.hotelsancrispino.it</t>
  </si>
  <si>
    <t>info@hotelsancrispino.it</t>
  </si>
  <si>
    <t>B&amp;B Villa San Nicolino</t>
  </si>
  <si>
    <t>Contrada Fonte Murata 1</t>
  </si>
  <si>
    <t>www.sannicolino.com</t>
  </si>
  <si>
    <t>info@sannicolino.com</t>
  </si>
  <si>
    <t>B&amp;B Carpe Diem</t>
  </si>
  <si>
    <t>Via Giacomo Puccini 14</t>
  </si>
  <si>
    <t>www.bbcarpediem.it</t>
  </si>
  <si>
    <t>info@bbcarpediem.it</t>
  </si>
  <si>
    <t>Contrada Campomaggio 125</t>
  </si>
  <si>
    <t>www.ilcasale.org</t>
  </si>
  <si>
    <t>info@ilcasale.org</t>
  </si>
  <si>
    <t>Santomaro Country-Loft</t>
  </si>
  <si>
    <t>Contrada Colli Asola 13</t>
  </si>
  <si>
    <t>B&amp;B Il Sambuco</t>
  </si>
  <si>
    <t>Contrada Montanari 7</t>
  </si>
  <si>
    <t>www.sambucomarche.it</t>
  </si>
  <si>
    <t>info@sambucomarche.it</t>
  </si>
  <si>
    <t>La Castellina</t>
  </si>
  <si>
    <t>Frazione Costafiore 29</t>
  </si>
  <si>
    <t>Agriturismo Col Di Giove</t>
  </si>
  <si>
    <t>Frazione Col Di Giove 8</t>
  </si>
  <si>
    <t>http://www.coldigiove.it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</si>
  <si>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</si>
  <si>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</si>
  <si>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</si>
  <si>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</si>
  <si>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</si>
  <si>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</si>
  <si>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</si>
  <si>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</si>
  <si>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</si>
  <si>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</si>
  <si>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</si>
  <si>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I Girasoli</t>
  </si>
  <si>
    <t>Frazione Giove 12</t>
  </si>
  <si>
    <t>Carnevali</t>
  </si>
  <si>
    <t>Frazione Maddalena 28</t>
  </si>
  <si>
    <t>www.motelristorantecarnevali.com</t>
  </si>
  <si>
    <t>info@motelristorantecarnevali.com</t>
  </si>
  <si>
    <t>Corallo Summer Village</t>
  </si>
  <si>
    <t>Via Litoranea 1 1</t>
  </si>
  <si>
    <t>info@corallovillage.it</t>
  </si>
  <si>
    <t>www.corallovillage.it</t>
  </si>
  <si>
    <t>30 Nodi</t>
  </si>
  <si>
    <t>Via Del Golfo  25</t>
  </si>
  <si>
    <t>alexpanocchi@hotmail.com</t>
  </si>
  <si>
    <t>Casa Vacanze Giulia</t>
  </si>
  <si>
    <t>Via Castelfidardo 31</t>
  </si>
  <si>
    <t>www.ilcasaledigiulia.it</t>
  </si>
  <si>
    <t>info@casavacanzegiulia.it</t>
  </si>
  <si>
    <t>Affittacamere  La Piazzetta 2</t>
  </si>
  <si>
    <t>Piazzale Delle Tremiti  5</t>
  </si>
  <si>
    <t>info@camerenumana.it</t>
  </si>
  <si>
    <t>Affittacamere Velia Mare Elite</t>
  </si>
  <si>
    <t>Via Della Sirena 3</t>
  </si>
  <si>
    <t>www.veliamarenumana.it</t>
  </si>
  <si>
    <t>veliamarecamere@libero.it</t>
  </si>
  <si>
    <t>Affittacamere Acqua Salata</t>
  </si>
  <si>
    <t>Via Augusto Elia 1</t>
  </si>
  <si>
    <t>www.affittacamerenumana.it</t>
  </si>
  <si>
    <t>info@affittacamerenumana.it</t>
  </si>
  <si>
    <t>Conero B&amp;B</t>
  </si>
  <si>
    <t>Via Amalfi 73</t>
  </si>
  <si>
    <t>Marcelli</t>
  </si>
  <si>
    <t>www.conerobb.it</t>
  </si>
  <si>
    <t>conerobb@gmail.com</t>
  </si>
  <si>
    <t>La Piccola Spiaggia</t>
  </si>
  <si>
    <t>Via Litoranea  191</t>
  </si>
  <si>
    <t>Conero Mare Verde 1</t>
  </si>
  <si>
    <t>Via Mare Verde 85</t>
  </si>
  <si>
    <t>info@coneromareverde.it</t>
  </si>
  <si>
    <t>Affittacamere La Piazzetta</t>
  </si>
  <si>
    <t>Via Venezia 29</t>
  </si>
  <si>
    <t>Casa Montironi</t>
  </si>
  <si>
    <t>Via Costa Verde 4</t>
  </si>
  <si>
    <t>www.casamontironi.it</t>
  </si>
  <si>
    <t>info@casamontironi.it</t>
  </si>
  <si>
    <t>Hotel Centro Vacanze De Angelis</t>
  </si>
  <si>
    <t>Via Castelfidardo 1</t>
  </si>
  <si>
    <t>www.villaggiocentrovacanzedeangelis.it</t>
  </si>
  <si>
    <t>info@villaggiocentrovacanzedeangelis.it</t>
  </si>
  <si>
    <t>B&amp;B A Due Passi Dal Mare</t>
  </si>
  <si>
    <t>Via Colle Piceno 6</t>
  </si>
  <si>
    <t>www.aduepassidalmare.info</t>
  </si>
  <si>
    <t>info@aduepassidalmare.info</t>
  </si>
  <si>
    <t>B&amp;B Arbuatti Antonio</t>
  </si>
  <si>
    <t>Via Ischia 62</t>
  </si>
  <si>
    <t>Aparthotel Il Conero 2</t>
  </si>
  <si>
    <t>Via Del Conero 29</t>
  </si>
  <si>
    <t>www.hotelresidenceilconero.it</t>
  </si>
  <si>
    <t>info@hotelresidenceilconero.it</t>
  </si>
  <si>
    <t>Hotel Giardino Dipendenza</t>
  </si>
  <si>
    <t>www.hotelgiardino.com</t>
  </si>
  <si>
    <t>info@hotelgiardino.com</t>
  </si>
  <si>
    <t>Il Giglio Del Conero 1</t>
  </si>
  <si>
    <t>info@gigliodelconero.it</t>
  </si>
  <si>
    <t>Le Fiabe</t>
  </si>
  <si>
    <t>Via Lauretana 19</t>
  </si>
  <si>
    <t>www.giglihotels.com</t>
  </si>
  <si>
    <t>lefiabe@giglihotels.com</t>
  </si>
  <si>
    <t>B&amp;B Isabella</t>
  </si>
  <si>
    <t>Via Litoranea 187</t>
  </si>
  <si>
    <t>www.bebisa.it</t>
  </si>
  <si>
    <t>beb05isa@virgilio.it</t>
  </si>
  <si>
    <t>Oasi Mare</t>
  </si>
  <si>
    <t>Via Recanati 11</t>
  </si>
  <si>
    <t>www.oasimare.com</t>
  </si>
  <si>
    <t>oasimare@alice.it</t>
  </si>
  <si>
    <t>L'Agave</t>
  </si>
  <si>
    <t>Via Ascoli Piceno 6</t>
  </si>
  <si>
    <t>info@appartamenti-vacanze-mare-agave.com</t>
  </si>
  <si>
    <t>I Gabbiani</t>
  </si>
  <si>
    <t>Via Sorrento 32</t>
  </si>
  <si>
    <t>La Torre Camere</t>
  </si>
  <si>
    <t>Via Della Torre 42</t>
  </si>
  <si>
    <t>latorrecamere.com</t>
  </si>
  <si>
    <t>alessandrabaldoni@hotmail.it</t>
  </si>
  <si>
    <t>Via Ischia  68/72A</t>
  </si>
  <si>
    <t>www.residencelepalme.com</t>
  </si>
  <si>
    <t>info@residencelepalme.com</t>
  </si>
  <si>
    <t>Agriturismo Casa Rossi</t>
  </si>
  <si>
    <t>Via Marina Seconda 2</t>
  </si>
  <si>
    <t>agriturismocasarossi@gmail.com</t>
  </si>
  <si>
    <t>Affittacamere I Vicoli</t>
  </si>
  <si>
    <t>Via Roma 120</t>
  </si>
  <si>
    <t>www.ivicoli.it</t>
  </si>
  <si>
    <t>info@ivicoli.it</t>
  </si>
  <si>
    <t>Camping Riviera Village</t>
  </si>
  <si>
    <t>Via Montalbano 20</t>
  </si>
  <si>
    <t>www.campingriviera.it</t>
  </si>
  <si>
    <t>info@campingriviera.it</t>
  </si>
  <si>
    <t>B&amp;B Le Margherite Di Mariella Svergola</t>
  </si>
  <si>
    <t>Via Circonvallazione Conero 31</t>
  </si>
  <si>
    <t>info@lemargheritenumana.com</t>
  </si>
  <si>
    <t>B&amp;B Poggio Del Sole</t>
  </si>
  <si>
    <t>Via Poggio Del Sole 42/44</t>
  </si>
  <si>
    <t>info@poggiodelsole.it</t>
  </si>
  <si>
    <t>Casaconero.It</t>
  </si>
  <si>
    <t>Via Litoranea 167</t>
  </si>
  <si>
    <t>www.casaconero.it</t>
  </si>
  <si>
    <t>info@casaconero.it</t>
  </si>
  <si>
    <t>B&amp;B Roberta</t>
  </si>
  <si>
    <t>Via Litoranea 76</t>
  </si>
  <si>
    <t>www.bebroberta.com</t>
  </si>
  <si>
    <t>b.end.b.roberta@gmail.com</t>
  </si>
  <si>
    <t>La Citta' Ideale</t>
  </si>
  <si>
    <t>Loc. Marcelli</t>
  </si>
  <si>
    <t>Il Giglio Del Conero 2</t>
  </si>
  <si>
    <t>Montalbano 27</t>
  </si>
  <si>
    <t>Affittacamere Angela'S Room</t>
  </si>
  <si>
    <t>Via Milano 4</t>
  </si>
  <si>
    <t>www.numanarooms.com</t>
  </si>
  <si>
    <t>info@numanarooms.com</t>
  </si>
  <si>
    <t>Marchetti Giulia</t>
  </si>
  <si>
    <t>Via Milano 8</t>
  </si>
  <si>
    <t>B&amp;B I Colori Del Conero</t>
  </si>
  <si>
    <t>Via Colle Piceno 42</t>
  </si>
  <si>
    <t>www.icoloridelconero.it</t>
  </si>
  <si>
    <t>info@icoloridelconero.it</t>
  </si>
  <si>
    <t>Conero Mare Verde 2</t>
  </si>
  <si>
    <t>info@coneromareverde.it; frapi72@me.com</t>
  </si>
  <si>
    <t>B&amp;B In Riva Al Mare</t>
  </si>
  <si>
    <t>liduinovolatili@libero.it</t>
  </si>
  <si>
    <t>Hotel Kon Tiki</t>
  </si>
  <si>
    <t>Via Ischia 17</t>
  </si>
  <si>
    <t>www.hotelkontiki.it</t>
  </si>
  <si>
    <t>info@hotelkontiki.it</t>
  </si>
  <si>
    <t>Hotel Marcelli</t>
  </si>
  <si>
    <t>Via Litoranea 65</t>
  </si>
  <si>
    <t>info@hotelmarcelli.it</t>
  </si>
  <si>
    <t>Hotel Numana Palace</t>
  </si>
  <si>
    <t>Via Litoranea 10</t>
  </si>
  <si>
    <t>www.hotelnumanapalace.com</t>
  </si>
  <si>
    <t>hotelnumanapalace@fastnet.it</t>
  </si>
  <si>
    <t>Hotel Scogliera</t>
  </si>
  <si>
    <t>Via Del Golfo 21</t>
  </si>
  <si>
    <t>www.hotelscogliera.com</t>
  </si>
  <si>
    <t>info@hotelscogliera.it</t>
  </si>
  <si>
    <t>Hotel Sorriso</t>
  </si>
  <si>
    <t>Via Flaminia 109</t>
  </si>
  <si>
    <t>www.hotelsorrisonumana.it</t>
  </si>
  <si>
    <t>info@hotelsorrisonumana.it</t>
  </si>
  <si>
    <t>Hotel K2</t>
  </si>
  <si>
    <t>Via Ischia 31</t>
  </si>
  <si>
    <t>www.hotelk2.com</t>
  </si>
  <si>
    <t>info@hotelk2.com</t>
  </si>
  <si>
    <t>Hotel Galassi</t>
  </si>
  <si>
    <t>Via Rimini 11</t>
  </si>
  <si>
    <t>www.hotelgalassi.it</t>
  </si>
  <si>
    <t>info@hotelgalassi.it</t>
  </si>
  <si>
    <t>Hotel Bellavista</t>
  </si>
  <si>
    <t>Via Cristoforo Colombo 5</t>
  </si>
  <si>
    <t>www.bellavistahotel.org</t>
  </si>
  <si>
    <t>informazioni@bellavistahotel.org</t>
  </si>
  <si>
    <t>Affittacamere Bellelli Alberto</t>
  </si>
  <si>
    <t>Via Cristoforo Colombo 6</t>
  </si>
  <si>
    <t>alberto.bellelli@libero.it</t>
  </si>
  <si>
    <t>Agriturismo Hornos</t>
  </si>
  <si>
    <t>Via Marina Seconda 16</t>
  </si>
  <si>
    <t>www.agriturismohornos.it</t>
  </si>
  <si>
    <t>info@agriturismohornos.it</t>
  </si>
  <si>
    <t>B&amp;B Vivere Il Mare</t>
  </si>
  <si>
    <t>Via Flaminia  162</t>
  </si>
  <si>
    <t>www.bbvivereilmare.it</t>
  </si>
  <si>
    <t>info@bbvivereilmare.it</t>
  </si>
  <si>
    <t>B&amp;B Sabbatini Isolina</t>
  </si>
  <si>
    <t>Via Capri 4</t>
  </si>
  <si>
    <t>info@ristorantemariolino.it</t>
  </si>
  <si>
    <t>B&amp;B Vento Del Mare</t>
  </si>
  <si>
    <t>Via Amalfi  63</t>
  </si>
  <si>
    <t>www.ventodelmare.it</t>
  </si>
  <si>
    <t>info@ventodelmare.it</t>
  </si>
  <si>
    <t>Centro Vacanze On The Beach</t>
  </si>
  <si>
    <t>Via Litoranea 211 211</t>
  </si>
  <si>
    <t>info@centrovacanzeonthebeach.it</t>
  </si>
  <si>
    <t>www.centrovacanzeonthebeach.it</t>
  </si>
  <si>
    <t>Residence Il Conero 2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</si>
  <si>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</si>
  <si>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</si>
  <si>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</si>
  <si>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</si>
  <si>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</si>
  <si>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</si>
  <si>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</si>
  <si>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</si>
  <si>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</si>
  <si>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</si>
  <si>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</si>
  <si>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</si>
  <si>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Hotel Alexander</t>
  </si>
  <si>
    <t>Via Litoranea 232</t>
  </si>
  <si>
    <t>www.ha-alexander.it</t>
  </si>
  <si>
    <t>info@ha-alexander.it</t>
  </si>
  <si>
    <t>Affittacamere Morelli</t>
  </si>
  <si>
    <t>Via Flaminia 5</t>
  </si>
  <si>
    <t>www.morellicamerenumana.it</t>
  </si>
  <si>
    <t>info@morellicamerenumana.it</t>
  </si>
  <si>
    <t>Country House La Martina</t>
  </si>
  <si>
    <t>Via Marina Ii 8</t>
  </si>
  <si>
    <t>Les Parasols</t>
  </si>
  <si>
    <t>Via Litoranea 23 23</t>
  </si>
  <si>
    <t>superroberto67@hotmail.com</t>
  </si>
  <si>
    <t>B&amp;B Da Bianchina</t>
  </si>
  <si>
    <t>Via Leopardi 12</t>
  </si>
  <si>
    <t>dabianchina@libero.it</t>
  </si>
  <si>
    <t>Tempocasa</t>
  </si>
  <si>
    <t>Via Roma 17</t>
  </si>
  <si>
    <t>www.tempocasa.it</t>
  </si>
  <si>
    <t>numana@tempocasa.it</t>
  </si>
  <si>
    <t>B&amp;B Verde Sul Mare</t>
  </si>
  <si>
    <t>Via Poggio Del Sole 69</t>
  </si>
  <si>
    <t>www.verdesulmare.it</t>
  </si>
  <si>
    <t>info@verdesulmare.it</t>
  </si>
  <si>
    <t>Meri Cantori</t>
  </si>
  <si>
    <t>Via Colle Piceno 24</t>
  </si>
  <si>
    <t>antonello.baldini@gmail.com</t>
  </si>
  <si>
    <t>B&amp;B Dormo Al Mare</t>
  </si>
  <si>
    <t>Via Capri 5</t>
  </si>
  <si>
    <t>www.dormoalmare.com</t>
  </si>
  <si>
    <t>eleonora@dormoalmare.com</t>
  </si>
  <si>
    <t>Residence Le Ali Del Conero</t>
  </si>
  <si>
    <t>Via Ischia 36</t>
  </si>
  <si>
    <t>Loc. Marcelli Di Numana</t>
  </si>
  <si>
    <t>www.lealidelconero.com</t>
  </si>
  <si>
    <t>info@lealidelconero.com</t>
  </si>
  <si>
    <t>B&amp;B La Perla Del Conero</t>
  </si>
  <si>
    <t>Via Amalfi  71</t>
  </si>
  <si>
    <t>www.laperladelconerobb.it</t>
  </si>
  <si>
    <t>info@laperladelconerobb.it</t>
  </si>
  <si>
    <t>B&amp;B Da Rita</t>
  </si>
  <si>
    <t>Via Amalfi  69</t>
  </si>
  <si>
    <t>Baia Del Conero</t>
  </si>
  <si>
    <t>Via Rimini 6</t>
  </si>
  <si>
    <t>Info@Baiadelconero.It</t>
  </si>
  <si>
    <t>Crystal 37</t>
  </si>
  <si>
    <t>Via Litoranea 207</t>
  </si>
  <si>
    <t>balneare.crystal37@yahoo.it</t>
  </si>
  <si>
    <t>Via Litoranea 131 131</t>
  </si>
  <si>
    <t>alessandro.nobis85@yahoo.it</t>
  </si>
  <si>
    <t>Residence Gigli</t>
  </si>
  <si>
    <t>Via Ischia 40</t>
  </si>
  <si>
    <t>info@giglihotels.com</t>
  </si>
  <si>
    <t>Amare Numana</t>
  </si>
  <si>
    <t>Via Colle Piceno 3</t>
  </si>
  <si>
    <t>Numana - Riviera Del Conero</t>
  </si>
  <si>
    <t>www.amarenumana.it</t>
  </si>
  <si>
    <t>info@amarenumana.it</t>
  </si>
  <si>
    <t>Dal Pescatore</t>
  </si>
  <si>
    <t>Via Litoranea 215 215</t>
  </si>
  <si>
    <t>dalpescatoresrl@gmail.com</t>
  </si>
  <si>
    <t>Vila Bahia</t>
  </si>
  <si>
    <t>Via Recanati 28</t>
  </si>
  <si>
    <t>www.vilabahia.it</t>
  </si>
  <si>
    <t>info@vilabahia.it</t>
  </si>
  <si>
    <t>Taunus</t>
  </si>
  <si>
    <t>Via Litoranea 1 19</t>
  </si>
  <si>
    <t>Caletta Del Conero</t>
  </si>
  <si>
    <t>Via Litoranea 116</t>
  </si>
  <si>
    <t>http://calettadelconero.it</t>
  </si>
  <si>
    <t>info@calettadelconero.it</t>
  </si>
  <si>
    <t>Campeggio Numana Blu</t>
  </si>
  <si>
    <t>Via Costaverde 37</t>
  </si>
  <si>
    <t>Marcelli Di Numana</t>
  </si>
  <si>
    <t>www.numanablu.it</t>
  </si>
  <si>
    <t>info@numanablu.it</t>
  </si>
  <si>
    <t>Conero Azzurro</t>
  </si>
  <si>
    <t>Via Castelfidardo 80</t>
  </si>
  <si>
    <t>www.coneroazzurro.it</t>
  </si>
  <si>
    <t>info@coneroazzurro.it</t>
  </si>
  <si>
    <t>Club Centro Vacanze</t>
  </si>
  <si>
    <t>Agenzia Immobiliare Maiolini</t>
  </si>
  <si>
    <t>Via Litoranea 179</t>
  </si>
  <si>
    <t>www.maiolini.it</t>
  </si>
  <si>
    <t>agenzia@maiolini.it</t>
  </si>
  <si>
    <t>Residence Lido Azzurro (Emanuela Torresi)</t>
  </si>
  <si>
    <t>Via Costa Verde 2</t>
  </si>
  <si>
    <t>info@lidoazzurronumana.it</t>
  </si>
  <si>
    <t>Il Conero Mare Di Pincini Carla</t>
  </si>
  <si>
    <t>Via Litoranea 1</t>
  </si>
  <si>
    <t>info@ilconero-mare.it</t>
  </si>
  <si>
    <t>Le Stagioni Del Conero (Sturba Cristiana)</t>
  </si>
  <si>
    <t>Via Flaminia 96</t>
  </si>
  <si>
    <t>www.stagionidelconero.it</t>
  </si>
  <si>
    <t>info@stagionidelconero.it</t>
  </si>
  <si>
    <t>Residence La Ginestra</t>
  </si>
  <si>
    <t>Via Castelfidardo 49</t>
  </si>
  <si>
    <t>www.residencenumana.com</t>
  </si>
  <si>
    <t>info@residencenumana.com</t>
  </si>
  <si>
    <t>Immobiliare Turistica Branchini</t>
  </si>
  <si>
    <t>Via Litoranea 37</t>
  </si>
  <si>
    <t>www.immobiliarebranchini.it</t>
  </si>
  <si>
    <t>info@immobiliarebranchini.it</t>
  </si>
  <si>
    <t>Casa Vacanze</t>
  </si>
  <si>
    <t>Via Litoranea 92</t>
  </si>
  <si>
    <t>www.agenziacasavacanze.it</t>
  </si>
  <si>
    <t>info@agenziacasavacanze.it</t>
  </si>
  <si>
    <t>Dama S.A.S Di Agazzani Marco &amp; C.</t>
  </si>
  <si>
    <t>Via Litoranea 356</t>
  </si>
  <si>
    <t>www.damablu.it</t>
  </si>
  <si>
    <t>info@damablu.it</t>
  </si>
  <si>
    <t>Residence Marcelli</t>
  </si>
  <si>
    <t>info@residencemarcelli.it</t>
  </si>
  <si>
    <t>Marcelli Miranda</t>
  </si>
  <si>
    <t>Via Amalfi 13</t>
  </si>
  <si>
    <t>cicconi.romina@alice.it</t>
  </si>
  <si>
    <t>Residence Saint Tropez</t>
  </si>
  <si>
    <t>Via Litoranea 132</t>
  </si>
  <si>
    <t>www.agenziaimmobiliarearbuatti.com</t>
  </si>
  <si>
    <t>antoine.arbuatti@tiscali.it</t>
  </si>
  <si>
    <t>B&amp;B Nubicuculia</t>
  </si>
  <si>
    <t>Via Dei Pini 20</t>
  </si>
  <si>
    <t>nubicuculiabeb@hotmail.com</t>
  </si>
  <si>
    <t>La Bouganvillea</t>
  </si>
  <si>
    <t>Via Risorgimento 39</t>
  </si>
  <si>
    <t>affittacamerebuganvillea@gmail.com</t>
  </si>
  <si>
    <t>Villa Mirella</t>
  </si>
  <si>
    <t>Via Litoranea 192</t>
  </si>
  <si>
    <t>Velia Mare (Bacchelli Bianca Maria)</t>
  </si>
  <si>
    <t>Via Flaminia 92</t>
  </si>
  <si>
    <t>Affittacamere Villa Pucci  Di Pucci Ursula</t>
  </si>
  <si>
    <t>Via Cristoforo Colombo 4</t>
  </si>
  <si>
    <t>www.villapucci.it</t>
  </si>
  <si>
    <t>info@villapucci.it</t>
  </si>
  <si>
    <t>Eugenio Fioranelli</t>
  </si>
  <si>
    <t>Via Litoranea 5 5/7</t>
  </si>
  <si>
    <t>fioranellieugenio@pec.it</t>
  </si>
  <si>
    <t>Ristorante Mariolino</t>
  </si>
  <si>
    <t>Via Capri 17</t>
  </si>
  <si>
    <t>info@ristorantemariolino.it; santo8177@tiscali.it</t>
  </si>
  <si>
    <t>B&amp;B Sapore Di Sale</t>
  </si>
  <si>
    <t>Via Pesaro 1</t>
  </si>
  <si>
    <t>bedbreakfastsaporedisale@hotmail.com</t>
  </si>
  <si>
    <t>Case Affari S.R.L.</t>
  </si>
  <si>
    <t>Via Litoranea / Via Pesaro 173/67</t>
  </si>
  <si>
    <t>info@caseaffarigroup.it</t>
  </si>
  <si>
    <t>Ragni Giuseppe</t>
  </si>
  <si>
    <t>Via Del Porto 42</t>
  </si>
  <si>
    <t>www.affitticonero.com</t>
  </si>
  <si>
    <t>gragni@ragnisirolo.it</t>
  </si>
  <si>
    <t>Conero Infinito 1</t>
  </si>
  <si>
    <t>Viale Mareverde Snc</t>
  </si>
  <si>
    <t>info@coneroinfinito.it</t>
  </si>
  <si>
    <t>B&amp;B La Calletta 37</t>
  </si>
  <si>
    <t>Via Venezia  37</t>
  </si>
  <si>
    <t>iceberg59@libero.it</t>
  </si>
  <si>
    <t>Affittacamere Residence Le Palme</t>
  </si>
  <si>
    <t>Via Amalfi Snc</t>
  </si>
  <si>
    <t>Villa Dea Affittacamere</t>
  </si>
  <si>
    <t>Via C. Colombo, 6</t>
  </si>
  <si>
    <t>Il Conero Di Sara</t>
  </si>
  <si>
    <t>Litoranea  89</t>
  </si>
  <si>
    <t>www.appartamenticonerosara.com</t>
  </si>
  <si>
    <t>ilconerodisara@gmail.com</t>
  </si>
  <si>
    <t>Appartamento Babini Marcello</t>
  </si>
  <si>
    <t>Svarchi Bassi  32</t>
  </si>
  <si>
    <t>marcello.babini@libero.it</t>
  </si>
  <si>
    <t>Affittacamere Da Sabri</t>
  </si>
  <si>
    <t>Via Risorgimento 77</t>
  </si>
  <si>
    <t>sabrinazo@hotmail.com</t>
  </si>
  <si>
    <t>B&amp;B Saramare</t>
  </si>
  <si>
    <t>Via Loreto 37</t>
  </si>
  <si>
    <t>saraalcantarini@yahoo.it</t>
  </si>
  <si>
    <t>Taunus Vacanze</t>
  </si>
  <si>
    <t>Via Giacomo Matteotti 24</t>
  </si>
  <si>
    <t>bontempi@taunus.it</t>
  </si>
  <si>
    <t>Pierantoni Roberto</t>
  </si>
  <si>
    <t>Via Macerata 40</t>
  </si>
  <si>
    <t>roberto.pierantoni@gmail.com</t>
  </si>
  <si>
    <t>Vivere Numana</t>
  </si>
  <si>
    <t>valerio_balestrieri@yahoo.ti</t>
  </si>
  <si>
    <t>Via Litoranea 65 65</t>
  </si>
  <si>
    <t>Lucesole Maila</t>
  </si>
  <si>
    <t>Via Castelfidardo 19</t>
  </si>
  <si>
    <t>lucesole@hotmail.com</t>
  </si>
  <si>
    <t>Conero Suites</t>
  </si>
  <si>
    <t>Via Mare Verde Anc</t>
  </si>
  <si>
    <t>www.conerosuites.it</t>
  </si>
  <si>
    <t>info@conerosuites.it</t>
  </si>
  <si>
    <t>Fued Immobiliare Srl App.Ti Numana</t>
  </si>
  <si>
    <t>Via Ascoli Piceno 33</t>
  </si>
  <si>
    <t>info@fuedimmobiliare.it</t>
  </si>
  <si>
    <t>Riva Cristina</t>
  </si>
  <si>
    <t>Via Sorrento 41</t>
  </si>
  <si>
    <t>cristina.riva.gemc@alice.it</t>
  </si>
  <si>
    <t>Bacchelli Fiorella</t>
  </si>
  <si>
    <t>Biagioli Bruno</t>
  </si>
  <si>
    <t>Via Milano 10</t>
  </si>
  <si>
    <t>simonebiagioli@hotmail.it</t>
  </si>
  <si>
    <t>Paola Frontini</t>
  </si>
  <si>
    <t>Via Dei Tigli 7</t>
  </si>
  <si>
    <t>info@ergoart.it</t>
  </si>
  <si>
    <t>La Battigia</t>
  </si>
  <si>
    <t>Via Litoranea 84</t>
  </si>
  <si>
    <t>Via Delle Acacie 101</t>
  </si>
  <si>
    <t>vacanze@taunus.it</t>
  </si>
  <si>
    <t>Le Grange</t>
  </si>
  <si>
    <t>Via Marina Seconda 1</t>
  </si>
  <si>
    <t>gioacchini.cristina@libero.it</t>
  </si>
  <si>
    <t>Adriatica</t>
  </si>
  <si>
    <t>immobiliareadriatica@tiscali.it</t>
  </si>
  <si>
    <t>Meuble' La Spiaggiola</t>
  </si>
  <si>
    <t>Via Cristoforo Colombo  12</t>
  </si>
  <si>
    <t>www.laspiaggiola.it</t>
  </si>
  <si>
    <t>info@laspiaggiola.it</t>
  </si>
  <si>
    <t>Florida 16</t>
  </si>
  <si>
    <t>Via Litoranea 13 13</t>
  </si>
  <si>
    <t>luipaoconero@hotmail.it</t>
  </si>
  <si>
    <t>Fior Di Mare</t>
  </si>
  <si>
    <t>Via Cristoforo Colombo 14</t>
  </si>
  <si>
    <t>ltiffi@alice.it</t>
  </si>
  <si>
    <t>I Tamerici</t>
  </si>
  <si>
    <t>Via Litoranea 209 209</t>
  </si>
  <si>
    <t>Bagni Amedeo N 23</t>
  </si>
  <si>
    <t>gianlucalucesoli@alice.it</t>
  </si>
  <si>
    <t>Balneare Europa N 28</t>
  </si>
  <si>
    <t>Via Litoranea 149</t>
  </si>
  <si>
    <t>bagni_europa@libero.it</t>
  </si>
  <si>
    <t>La Rotonda Gigli</t>
  </si>
  <si>
    <t>Via Capri,29 1 1</t>
  </si>
  <si>
    <t>rotondagigli@giglihotels.com</t>
  </si>
  <si>
    <t>Eden Gigli</t>
  </si>
  <si>
    <t>Via Angiolo Morelli 11 11</t>
  </si>
  <si>
    <t>amministrazione@giglihotels.com</t>
  </si>
  <si>
    <t>Arcobaleno N 36</t>
  </si>
  <si>
    <t>Via Litoranea Snc Snc</t>
  </si>
  <si>
    <t>Bellariva</t>
  </si>
  <si>
    <t>Via Litoranea 11 11</t>
  </si>
  <si>
    <t>romina@hotelgiardino.com</t>
  </si>
  <si>
    <t>Hotel Mimosa</t>
  </si>
  <si>
    <t>Via Ischia 115</t>
  </si>
  <si>
    <t>hotelmimosamarcelli@gmail.com</t>
  </si>
  <si>
    <t>Il Cucale</t>
  </si>
  <si>
    <t>Via Litoranea 103 103</t>
  </si>
  <si>
    <t>Da Marino</t>
  </si>
  <si>
    <t>Via Litoranea 3 3</t>
  </si>
  <si>
    <t>stabilimentodamarino@live.it</t>
  </si>
  <si>
    <t>www.stabilimentodamarino.it</t>
  </si>
  <si>
    <t>La Spiaggiola</t>
  </si>
  <si>
    <t>laspiaggiola@tin.it</t>
  </si>
  <si>
    <t>Via Del Golfo  26</t>
  </si>
  <si>
    <t>Orlando</t>
  </si>
  <si>
    <t>Via Litoranea 205 205</t>
  </si>
  <si>
    <t>micuccimedardo2008@libero.it</t>
  </si>
  <si>
    <t>Il Libeccio</t>
  </si>
  <si>
    <t>Via Litoranea 213 213</t>
  </si>
  <si>
    <t>Via Litoranea 10 10</t>
  </si>
  <si>
    <t>Via Litoranea 21 21</t>
  </si>
  <si>
    <t>www.laperlaristorante.it</t>
  </si>
  <si>
    <t>info@laperlaristornte.it</t>
  </si>
  <si>
    <t>Cavalluccio Di Mare</t>
  </si>
  <si>
    <t>Via Litoranea  9</t>
  </si>
  <si>
    <t>silau@libero.it</t>
  </si>
  <si>
    <t>Via Litoranea 202 202</t>
  </si>
  <si>
    <t>La Lanterna</t>
  </si>
  <si>
    <t>Piazza Miramare 7 7</t>
  </si>
  <si>
    <t>mauromarce@alice.it</t>
  </si>
  <si>
    <t>La Conchiglia</t>
  </si>
  <si>
    <t>Via Litoranea 7 7</t>
  </si>
  <si>
    <t>Donatella</t>
  </si>
  <si>
    <t>donatellazz61@gmail com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</si>
  <si>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</si>
  <si>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</si>
  <si>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</si>
  <si>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</si>
  <si>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</si>
  <si>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</si>
  <si>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</si>
  <si>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Hotel Giardino Suite&amp;Wellness</t>
  </si>
  <si>
    <t>Via Circonvallazione Conero 19</t>
  </si>
  <si>
    <t>Hotel Baby Gigli Meuble'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</si>
  <si>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</si>
  <si>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</si>
  <si>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</si>
  <si>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</si>
  <si>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</si>
  <si>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</si>
  <si>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</si>
  <si>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</si>
  <si>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</si>
  <si>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</si>
  <si>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</si>
  <si>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</si>
  <si>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</si>
  <si>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</si>
  <si>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Lido Azzurro N 11</t>
  </si>
  <si>
    <t>Via Litoranea 3/A 3/A</t>
  </si>
  <si>
    <t>L'Approdo</t>
  </si>
  <si>
    <t>Via Litoranea 201 201</t>
  </si>
  <si>
    <t>Marisol</t>
  </si>
  <si>
    <t>Crazy Beach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</si>
  <si>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</si>
  <si>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</si>
  <si>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</si>
  <si>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</si>
  <si>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</si>
  <si>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</si>
  <si>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</si>
  <si>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</si>
  <si>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</si>
  <si>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</si>
  <si>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</si>
  <si>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Rosa Dei Venti</t>
  </si>
  <si>
    <t>stefano_orlandini@alice.it</t>
  </si>
  <si>
    <t>Via Litoranea 17 17</t>
  </si>
  <si>
    <t>B&amp;B Il Punto Magico</t>
  </si>
  <si>
    <t>Via Pago 7</t>
  </si>
  <si>
    <t>www.ilpuntomagico.it</t>
  </si>
  <si>
    <t>info@ilpuntomagico.it</t>
  </si>
  <si>
    <t>Via Molino 1</t>
  </si>
  <si>
    <t>www.lacasettaoffagna.ea23.com</t>
  </si>
  <si>
    <t>lacasetta.bedandbreakfast@gmail.com</t>
  </si>
  <si>
    <t>Casa Soresina</t>
  </si>
  <si>
    <t>Via Torre 6/B</t>
  </si>
  <si>
    <t>www.casasoresina.com</t>
  </si>
  <si>
    <t>cri64gigli@gmail.com</t>
  </si>
  <si>
    <t>B&amp;B Villa Malacari</t>
  </si>
  <si>
    <t>Via E. Malacari 6</t>
  </si>
  <si>
    <t>villamalacari@malacari.it</t>
  </si>
  <si>
    <t>Azienda Agricola Marconi Katia</t>
  </si>
  <si>
    <t>Via Liscia 8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</si>
  <si>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</si>
  <si>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</si>
  <si>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</si>
  <si>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</si>
  <si>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</si>
  <si>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</si>
  <si>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</si>
  <si>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B&amp;B La Collina Dorata</t>
  </si>
  <si>
    <t>Via Torre 26</t>
  </si>
  <si>
    <t>www.lacollinadorata.it</t>
  </si>
  <si>
    <t>lacollinadorata@gmail.com</t>
  </si>
  <si>
    <t>Le Vergare</t>
  </si>
  <si>
    <t>Via Traversa Massa 3</t>
  </si>
  <si>
    <t>www.agriturismolevergare.com</t>
  </si>
  <si>
    <t>agriturismolevergare@alice.it</t>
  </si>
  <si>
    <t>Il Ristoro Del Viandante</t>
  </si>
  <si>
    <t>Via Dei Bastioni 12</t>
  </si>
  <si>
    <t>danilo@cecconisrl.it; direzione@albergoconcorde.it</t>
  </si>
  <si>
    <t>Casale Il Gallo Bianco Di Mazzoni Massimiliano &amp; C.</t>
  </si>
  <si>
    <t>Via Aspio 2</t>
  </si>
  <si>
    <t>www.casaleilgallobianco.it</t>
  </si>
  <si>
    <t>info@casaleilgallobianco.it</t>
  </si>
  <si>
    <t>B&amp;B Gym &amp; Tennis Il Falco</t>
  </si>
  <si>
    <t>Via Pago Sn</t>
  </si>
  <si>
    <t>marco.tamberi@profilomagazine.it</t>
  </si>
  <si>
    <t>Agriturismo Il Chierico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</si>
  <si>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</si>
  <si>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</si>
  <si>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</si>
  <si>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</si>
  <si>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</si>
  <si>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</si>
  <si>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</si>
  <si>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</si>
  <si>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</si>
  <si>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</si>
  <si>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</si>
  <si>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</si>
  <si>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</si>
  <si>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</si>
  <si>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</si>
  <si>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</si>
  <si>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</si>
  <si>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</si>
  <si>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</si>
  <si>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</si>
  <si>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</si>
  <si>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</si>
  <si>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</si>
  <si>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</si>
  <si>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</si>
  <si>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</si>
  <si>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</si>
  <si>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</si>
  <si>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</si>
  <si>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</si>
  <si>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</si>
  <si>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</si>
  <si>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Contrada Ciafone 98</t>
  </si>
  <si>
    <t>www.viniaurora.it</t>
  </si>
  <si>
    <t>enrico@viniaurora.it</t>
  </si>
  <si>
    <t>Via Tesino 261/B</t>
  </si>
  <si>
    <t>La Valle Del Sole</t>
  </si>
  <si>
    <t>San Lazzaro 46</t>
  </si>
  <si>
    <t>www.lavalledelsoleoffida.com</t>
  </si>
  <si>
    <t>valledelsoleoffida@gmail.com</t>
  </si>
  <si>
    <t>Hotel Caroline</t>
  </si>
  <si>
    <t>Viale Giuseppe Mazzini 7</t>
  </si>
  <si>
    <t>www.hotelcaroline.it</t>
  </si>
  <si>
    <t>info@hotelcaroline.it</t>
  </si>
  <si>
    <t>La Botte</t>
  </si>
  <si>
    <t>Borgo Miriam 51</t>
  </si>
  <si>
    <t>www.hotellabotte.com</t>
  </si>
  <si>
    <t>hotel_labotte@libero.it</t>
  </si>
  <si>
    <t>La Fonte</t>
  </si>
  <si>
    <t>Via Tesino 72/A</t>
  </si>
  <si>
    <t>www.hotelristorantelafonte.it</t>
  </si>
  <si>
    <t>info@hotelristorantelafonte.it</t>
  </si>
  <si>
    <t>Casa Vannicola</t>
  </si>
  <si>
    <t>Borgo Cappuccini 47</t>
  </si>
  <si>
    <t>gianmarcocapecci@gmail.com</t>
  </si>
  <si>
    <t>Affittacamere Albachiara</t>
  </si>
  <si>
    <t>P.Zza F.Lli Cervi 13</t>
  </si>
  <si>
    <t>www.affittacamerealbachiara.it</t>
  </si>
  <si>
    <t>affittacamerealbachiara@gmail.com</t>
  </si>
  <si>
    <t>B&amp;B Dimora Rosso Piceno</t>
  </si>
  <si>
    <t>C.Da Tesino 99/A</t>
  </si>
  <si>
    <t>www.dimorarossopiceno.it</t>
  </si>
  <si>
    <t>info@dimorarossopiceno.it</t>
  </si>
  <si>
    <t>Via Cavour 118</t>
  </si>
  <si>
    <t>www.iltramontoffida.it</t>
  </si>
  <si>
    <t>info@iltramontoffida.it</t>
  </si>
  <si>
    <t>La Casa Di Marinella</t>
  </si>
  <si>
    <t>Contrada Lava 6</t>
  </si>
  <si>
    <t>bbmarinella@vodafone.it</t>
  </si>
  <si>
    <t>B&amp;B La Casa Di Lucy</t>
  </si>
  <si>
    <t>C.Da Tesino 78</t>
  </si>
  <si>
    <t>www.lacasadilucy.it</t>
  </si>
  <si>
    <t>luciagabrielli@alice.it</t>
  </si>
  <si>
    <t>Il Gufo</t>
  </si>
  <si>
    <t>S. Barnaba</t>
  </si>
  <si>
    <t>Ciabattoni Ida</t>
  </si>
  <si>
    <t>C.Da Tesino 104</t>
  </si>
  <si>
    <t>casaleborgomiriam@gmail.com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</si>
  <si>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</si>
  <si>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</si>
  <si>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</si>
  <si>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</si>
  <si>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</si>
  <si>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</si>
  <si>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</si>
  <si>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</si>
  <si>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</si>
  <si>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</si>
  <si>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</si>
  <si>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</si>
  <si>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</si>
  <si>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</si>
  <si>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</si>
  <si>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</si>
  <si>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</si>
  <si>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</si>
  <si>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Pierantonelli Marco App.To 2</t>
  </si>
  <si>
    <t>Casa Vacanze Madonna Della Santita'</t>
  </si>
  <si>
    <t>Via Lava 43</t>
  </si>
  <si>
    <t>strjo@libero.it</t>
  </si>
  <si>
    <t>Massi Patrizio</t>
  </si>
  <si>
    <t>Via San Lazzaro 145</t>
  </si>
  <si>
    <t>mollteo@alice.it</t>
  </si>
  <si>
    <t>Giostra Luisa</t>
  </si>
  <si>
    <t>Contrada Ciafone 114</t>
  </si>
  <si>
    <t>De Carolis Giorgio</t>
  </si>
  <si>
    <t>Via Roma 11</t>
  </si>
  <si>
    <t>Cicchi Anna</t>
  </si>
  <si>
    <t>Via Garibaldi  80</t>
  </si>
  <si>
    <t>Residenza Ida</t>
  </si>
  <si>
    <t>nespeca.nerio@alice.it</t>
  </si>
  <si>
    <t>Pit Lane</t>
  </si>
  <si>
    <t>Palmiro Togliatti  137</t>
  </si>
  <si>
    <t>tfs.tarquini@libero.it</t>
  </si>
  <si>
    <t>Ai 2 Gelsi</t>
  </si>
  <si>
    <t>C.Da Ciafone 17</t>
  </si>
  <si>
    <t>Nespeca Silvio</t>
  </si>
  <si>
    <t>Borgo Leopardi 35-B 35/B</t>
  </si>
  <si>
    <t>paolo@nespeca.it</t>
  </si>
  <si>
    <t>Borgo Leopardi 30-4 30</t>
  </si>
  <si>
    <t>Affittacamere Dolci Colline</t>
  </si>
  <si>
    <t>Via San Lazzaro 124/B</t>
  </si>
  <si>
    <t>paperino124b@alice.it</t>
  </si>
  <si>
    <t>B&amp;B D'Angelo Daniele</t>
  </si>
  <si>
    <t>Via Lava 60</t>
  </si>
  <si>
    <t>fideas.tonino@fideas.it</t>
  </si>
  <si>
    <t>B&amp;B Dimora Nel Borgo</t>
  </si>
  <si>
    <t>Corso Serpente Aureo 27</t>
  </si>
  <si>
    <t>guidolo@msn.com</t>
  </si>
  <si>
    <t>Il Nascondiglio Di Bacco</t>
  </si>
  <si>
    <t>C.Da Ciafone 79</t>
  </si>
  <si>
    <t>Borgo Miriam</t>
  </si>
  <si>
    <t>www.nascondigliodibacco.it</t>
  </si>
  <si>
    <t>info@nascondigliodibacco.it</t>
  </si>
  <si>
    <t>B&amp;B San Barnaba</t>
  </si>
  <si>
    <t>C.Da Tesino 232</t>
  </si>
  <si>
    <t>San Barnaba</t>
  </si>
  <si>
    <t>www.bbsanbarnaba.com</t>
  </si>
  <si>
    <t>bbsanbarnaba@bbsanbarnaba.com</t>
  </si>
  <si>
    <t>Area Di Sosta Camper "Plein Air Pieve Canneti"</t>
  </si>
  <si>
    <t>Via Pieve Canneti Snc</t>
  </si>
  <si>
    <t>Centro Sportivo</t>
  </si>
  <si>
    <t>Agriturismo Bacchiocchi Isabella</t>
  </si>
  <si>
    <t>Via Ville Fonti 4</t>
  </si>
  <si>
    <t>www.agriturismobacchiocchi.it</t>
  </si>
  <si>
    <t>info@agriturismobacchiocchi.it</t>
  </si>
  <si>
    <t>Villa Fonti</t>
  </si>
  <si>
    <t>Via Ville Fonti 10</t>
  </si>
  <si>
    <t>ada@villafonti.com</t>
  </si>
  <si>
    <t>B&amp;B Villa Titti</t>
  </si>
  <si>
    <t>Via Tre Ponti 23</t>
  </si>
  <si>
    <t>tiziana.tercon@virgilio.it</t>
  </si>
  <si>
    <t>Corso Matteotti 72</t>
  </si>
  <si>
    <t>www.hotelcastagno.com</t>
  </si>
  <si>
    <t>hotelilcastagno@libero.it</t>
  </si>
  <si>
    <t>Agriturismo Le Fonti</t>
  </si>
  <si>
    <t>Via Fonti 4</t>
  </si>
  <si>
    <t>agriturismo.lefonti@alice.it</t>
  </si>
  <si>
    <t>Il Colore Del Grano</t>
  </si>
  <si>
    <t>Via Montepiano Colombara  14</t>
  </si>
  <si>
    <t>www.agriturismoilcoloredelgrano.it</t>
  </si>
  <si>
    <t>info@agriturismoilcoloredelgrano.it</t>
  </si>
  <si>
    <t>Colle Indaco</t>
  </si>
  <si>
    <t>Contrada Indaco 5</t>
  </si>
  <si>
    <t>www.colleindaco.it</t>
  </si>
  <si>
    <t>info@colleindaco.it</t>
  </si>
  <si>
    <t>B&amp;B Porta Da Sole</t>
  </si>
  <si>
    <t>Via San Pietro 2</t>
  </si>
  <si>
    <t>vitalibas@gmail.com</t>
  </si>
  <si>
    <t>B&amp;B Casa Eleonora</t>
  </si>
  <si>
    <t>Piazza Umberto I 19</t>
  </si>
  <si>
    <t>c.testa85@gmail.com</t>
  </si>
  <si>
    <t>La Casa Degli Elfi</t>
  </si>
  <si>
    <t>Contrada Canali 7</t>
  </si>
  <si>
    <t>Canali</t>
  </si>
  <si>
    <t>info@lacasadeglignomi.net</t>
  </si>
  <si>
    <t>La Casa Degli Gnomi</t>
  </si>
  <si>
    <t>Contrada Canali 9</t>
  </si>
  <si>
    <t>www.lacasadeglignomi.net</t>
  </si>
  <si>
    <t>Ristorante Locanda I Piceni</t>
  </si>
  <si>
    <t>Piazza Marcello Savini  1</t>
  </si>
  <si>
    <t>www.locandaipiceni.it</t>
  </si>
  <si>
    <t>locandaipiceni@virgilio.it</t>
  </si>
  <si>
    <t>Vecchio Gelso</t>
  </si>
  <si>
    <t>Contrada Casali 11</t>
  </si>
  <si>
    <t>www.vecchiogelso.com</t>
  </si>
  <si>
    <t>info@vecchiogelso.com</t>
  </si>
  <si>
    <t>Verdi Colline</t>
  </si>
  <si>
    <t>Contrada Croce 3</t>
  </si>
  <si>
    <t>www.agriturismoverdicolline.it</t>
  </si>
  <si>
    <t>info@agriturismoverdicolline.it</t>
  </si>
  <si>
    <t>B&amp;B Tre Ortenzie</t>
  </si>
  <si>
    <t>Roma 45</t>
  </si>
  <si>
    <t>adolfogiulietti@gmail.com</t>
  </si>
  <si>
    <t>Villa Cru</t>
  </si>
  <si>
    <t>Via San Luca 6</t>
  </si>
  <si>
    <t>info@agriturismovillacru.it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</si>
  <si>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</si>
  <si>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</si>
  <si>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</si>
  <si>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</si>
  <si>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</si>
  <si>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</si>
  <si>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</si>
  <si>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Capitanelli Stefano</t>
  </si>
  <si>
    <t>Via Don Ciavattini 2</t>
  </si>
  <si>
    <t>cs101@tiscali.it</t>
  </si>
  <si>
    <t>Via Chiaravallese 154</t>
  </si>
  <si>
    <t>www.aironecountryhouse.it</t>
  </si>
  <si>
    <t>info@aironecountryhouse.it</t>
  </si>
  <si>
    <t>La Natura Del Monte</t>
  </si>
  <si>
    <t>Via Chiaravallese 85</t>
  </si>
  <si>
    <t>www.lanaturadelmonte.it</t>
  </si>
  <si>
    <t>info@lanaturadelmonte.it</t>
  </si>
  <si>
    <t>B&amp;B Villa Maria</t>
  </si>
  <si>
    <t>Via Don Ciavattini 4</t>
  </si>
  <si>
    <t>www.villamariaosimo.it</t>
  </si>
  <si>
    <t>info@villamariaosimo.it</t>
  </si>
  <si>
    <t>Bed &amp; Breakfast Poggio Carolina</t>
  </si>
  <si>
    <t>Via Flaminia Prima 11</t>
  </si>
  <si>
    <t>www.poggiocarolina.it</t>
  </si>
  <si>
    <t>info@poggiocarolina.it</t>
  </si>
  <si>
    <t>Villa Belvedere Degli Ulivi Di Caprioni Carlo</t>
  </si>
  <si>
    <t>Via Corticelli 9</t>
  </si>
  <si>
    <t>www.villaosimo.com</t>
  </si>
  <si>
    <t>info@villaosimo.com</t>
  </si>
  <si>
    <t>B&amp;B Nottedi Di Francesco Pirani</t>
  </si>
  <si>
    <t>Via Molino Guarnieri 27</t>
  </si>
  <si>
    <t>www.bbnottedi.it</t>
  </si>
  <si>
    <t>anna@bbnottedi.it</t>
  </si>
  <si>
    <t>Affittacamere Pavoni</t>
  </si>
  <si>
    <t>Via Ancona 66</t>
  </si>
  <si>
    <t>marcopav@email.com</t>
  </si>
  <si>
    <t>B&amp;B San Valentino</t>
  </si>
  <si>
    <t>Via Sanvalentino 50</t>
  </si>
  <si>
    <t>www.bbsanvalentino.it</t>
  </si>
  <si>
    <t>info@bbsanvalentino.it; l.frampolli@gmail.com</t>
  </si>
  <si>
    <t>G Hotel</t>
  </si>
  <si>
    <t>Via Sbrozzola 26</t>
  </si>
  <si>
    <t>www.ghotelancona.it</t>
  </si>
  <si>
    <t>info@ghotelancona.it</t>
  </si>
  <si>
    <t>B&amp;B Antico Pomerio</t>
  </si>
  <si>
    <t>Via Matteotti 18</t>
  </si>
  <si>
    <t>www.bb-anticopomerio.it</t>
  </si>
  <si>
    <t>info@bb-anticopomerio.it</t>
  </si>
  <si>
    <t>B&amp;B Abbadia 14</t>
  </si>
  <si>
    <t>Via Abbadia 14</t>
  </si>
  <si>
    <t>www.abbadia14.it</t>
  </si>
  <si>
    <t>bnbabbadia14@gmail.com</t>
  </si>
  <si>
    <t>B&amp;B Villa Coralia</t>
  </si>
  <si>
    <t>Via Abbadia 26</t>
  </si>
  <si>
    <t>info@villacoralia.it</t>
  </si>
  <si>
    <t>B&amp;B Tache</t>
  </si>
  <si>
    <t>Via Montegallo 27</t>
  </si>
  <si>
    <t>montegallo.tache@gmail.com</t>
  </si>
  <si>
    <t>B&amp;B Doremi</t>
  </si>
  <si>
    <t>Via Fontanelle Passatempo 24</t>
  </si>
  <si>
    <t>Passatempo</t>
  </si>
  <si>
    <t>info@doremi-osimo.com</t>
  </si>
  <si>
    <t>Villa Coralia</t>
  </si>
  <si>
    <t>Via Abbadia 22</t>
  </si>
  <si>
    <t>info@parko.it</t>
  </si>
  <si>
    <t>B&amp;B Le Stanze Di Carlotta</t>
  </si>
  <si>
    <t>Via Molino Guarnieri 35</t>
  </si>
  <si>
    <t>www.lestanzedicarlotta.it</t>
  </si>
  <si>
    <t>info@lestanzedicarlotta.it</t>
  </si>
  <si>
    <t>B&amp;B Templari Nelle Marche</t>
  </si>
  <si>
    <t>Via Della Commenda 2</t>
  </si>
  <si>
    <t>Casenuove</t>
  </si>
  <si>
    <t>www.templarinellemarche.it</t>
  </si>
  <si>
    <t>collesanfilippo@gmail.com</t>
  </si>
  <si>
    <t>Via Trento 17</t>
  </si>
  <si>
    <t>www.ilborgodiosimo.it</t>
  </si>
  <si>
    <t>agenziadorimarco@yahoo.it</t>
  </si>
  <si>
    <t>B&amp;B Paolo Vitali De Bonda</t>
  </si>
  <si>
    <t>Piazza Gramsci 1</t>
  </si>
  <si>
    <t>studiolegalevitali@hotmail.it</t>
  </si>
  <si>
    <t>Via Molino Mensa 103</t>
  </si>
  <si>
    <t>www.iciliegi.com</t>
  </si>
  <si>
    <t>info@iciliegi.com</t>
  </si>
  <si>
    <t>Antistress Affittacamere</t>
  </si>
  <si>
    <t>Via San Giovanni 20</t>
  </si>
  <si>
    <t>www.antystress.it</t>
  </si>
  <si>
    <t>fcantori@libero.it</t>
  </si>
  <si>
    <t>Alla Bigattiera</t>
  </si>
  <si>
    <t>Via Montefanese 161</t>
  </si>
  <si>
    <t>allabigattiera@gmail.com</t>
  </si>
  <si>
    <t>Bellafiora Affittacamere Di Tonti Cinzia</t>
  </si>
  <si>
    <t>Bellafiora 18</t>
  </si>
  <si>
    <t>www.bellafiora.it</t>
  </si>
  <si>
    <t>info@bellafiora.it</t>
  </si>
  <si>
    <t>Attico Luce</t>
  </si>
  <si>
    <t>Vicolo Nicolò Romani 3</t>
  </si>
  <si>
    <t>www.bbatticoluce.it</t>
  </si>
  <si>
    <t>a.badialetti@gmail.com</t>
  </si>
  <si>
    <t>La Casa Storta</t>
  </si>
  <si>
    <t>Via Guasino 5</t>
  </si>
  <si>
    <t>www.bblacasastorta.it</t>
  </si>
  <si>
    <t>bblacasastorta@gmail.com</t>
  </si>
  <si>
    <t>Casale San Filippo</t>
  </si>
  <si>
    <t>Via Mucciolina 17</t>
  </si>
  <si>
    <t>casalesanfilippo@hotmail.com</t>
  </si>
  <si>
    <t>B&amp;B Montegallo</t>
  </si>
  <si>
    <t>Via Montegallo 11</t>
  </si>
  <si>
    <t>www.bbmontegallo.com</t>
  </si>
  <si>
    <t>bbmontegallo@gmail.com</t>
  </si>
  <si>
    <t>B&amp;B Il Gelsomino</t>
  </si>
  <si>
    <t>Via 2 Giugno 12</t>
  </si>
  <si>
    <t>bedilgelsomino@gmail.com</t>
  </si>
  <si>
    <t>B&amp;B La Foresteria</t>
  </si>
  <si>
    <t>Via Coppa 8</t>
  </si>
  <si>
    <t>info@mediaservicesrl.info;</t>
  </si>
  <si>
    <t>Palace Del Conero</t>
  </si>
  <si>
    <t>Via Grandi 6</t>
  </si>
  <si>
    <t>www.hpconero.it</t>
  </si>
  <si>
    <t>info@hpconero.it</t>
  </si>
  <si>
    <t>Cristoforo Colombo</t>
  </si>
  <si>
    <t>Via Adriatica 310</t>
  </si>
  <si>
    <t>www.cristoforo-colombo.com</t>
  </si>
  <si>
    <t>info@cristoforo-colombo.com</t>
  </si>
  <si>
    <t>San Giuseppe Da Copertino</t>
  </si>
  <si>
    <t>Piazza Gallo 10</t>
  </si>
  <si>
    <t>www.sangiuseppedacopertino.net</t>
  </si>
  <si>
    <t>cognigni.sergio@yahoo.it</t>
  </si>
  <si>
    <t>Agriturismo Azzurro</t>
  </si>
  <si>
    <t>Via San Valentino 61</t>
  </si>
  <si>
    <t>www.agriturismoazzurro.it</t>
  </si>
  <si>
    <t>info@agriturismoazzurro.it</t>
  </si>
  <si>
    <t>B&amp;B Loggia Dei Mercanti</t>
  </si>
  <si>
    <t>Via E. Soderini 8</t>
  </si>
  <si>
    <t>www.allevamentologgiadeimercanti.com</t>
  </si>
  <si>
    <t>info@allevamentologgiadeimercanti.it</t>
  </si>
  <si>
    <t>La Commenda</t>
  </si>
  <si>
    <t>Via Della Commenda 1</t>
  </si>
  <si>
    <t>www.lacommenda.net</t>
  </si>
  <si>
    <t>info@lacommenda.net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</si>
  <si>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</si>
  <si>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</si>
  <si>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</si>
  <si>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</si>
  <si>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</si>
  <si>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Le Bucoliche</t>
  </si>
  <si>
    <t>Località Santo Stefano</t>
  </si>
  <si>
    <t>www.lebucoliche.it</t>
  </si>
  <si>
    <t>info@lebucoliche.it</t>
  </si>
  <si>
    <t>Via Fonte Magna 33</t>
  </si>
  <si>
    <t>www.hotellafonte.it</t>
  </si>
  <si>
    <t>info@hotellafonte.it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</si>
  <si>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</si>
  <si>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</si>
  <si>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</si>
  <si>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</si>
  <si>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</si>
  <si>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</si>
  <si>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</si>
  <si>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La Casa Di Lenu'</t>
  </si>
  <si>
    <t>Via G. Matteotti 1</t>
  </si>
  <si>
    <t>eleonoragiovanetti@gmail.com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</si>
  <si>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</si>
  <si>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</si>
  <si>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</si>
  <si>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</si>
  <si>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</si>
  <si>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</si>
  <si>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</si>
  <si>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</si>
  <si>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</si>
  <si>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</si>
  <si>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</si>
  <si>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</si>
  <si>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</si>
  <si>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</si>
  <si>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</si>
  <si>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</si>
  <si>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</si>
  <si>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</si>
  <si>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</si>
  <si>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</si>
  <si>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Bartoloni Giannina</t>
  </si>
  <si>
    <t>Via San Gregorio 60</t>
  </si>
  <si>
    <t>silvia.r@consulservice.info</t>
  </si>
  <si>
    <t>La Cantinella</t>
  </si>
  <si>
    <t>Via G. Amendola 1</t>
  </si>
  <si>
    <t>www.lacantinella.net</t>
  </si>
  <si>
    <t>info@lacantinella.net</t>
  </si>
  <si>
    <t>B&amp;B Casa Lina</t>
  </si>
  <si>
    <t>Via Monnea 9</t>
  </si>
  <si>
    <t>www.casalina.ea29.com</t>
  </si>
  <si>
    <t>casa-lina@libero.it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</si>
  <si>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</si>
  <si>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</si>
  <si>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</si>
  <si>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</si>
  <si>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</si>
  <si>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</si>
  <si>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</si>
  <si>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</si>
  <si>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</si>
  <si>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</si>
  <si>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</si>
  <si>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</si>
  <si>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</si>
  <si>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</si>
  <si>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</si>
  <si>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</si>
  <si>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</si>
  <si>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</si>
  <si>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</si>
  <si>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</si>
  <si>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</si>
  <si>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</si>
  <si>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</si>
  <si>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</si>
  <si>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</si>
  <si>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Casamori</t>
  </si>
  <si>
    <t>Via Gramsci 52</t>
  </si>
  <si>
    <t>roberto.amori@tin.it</t>
  </si>
  <si>
    <t>Agriturismo Pozzosanto</t>
  </si>
  <si>
    <t>Via Del Pozzosanto 11</t>
  </si>
  <si>
    <t>www.agriturismopozzosanto.it</t>
  </si>
  <si>
    <t>info@agriturismopozzosanto.it</t>
  </si>
  <si>
    <t>B&amp;B Il Leccino</t>
  </si>
  <si>
    <t>Via Santa Croce 26</t>
  </si>
  <si>
    <t>www.illeccino.it</t>
  </si>
  <si>
    <t>irenepancotti@libero.it;</t>
  </si>
  <si>
    <t>B&amp;B Agli Ulivi Di Mascio</t>
  </si>
  <si>
    <t>Via Metola 5</t>
  </si>
  <si>
    <t>luca.gregorini@virgilio.it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</si>
  <si>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</si>
  <si>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</si>
  <si>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</si>
  <si>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</si>
  <si>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</si>
  <si>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</si>
  <si>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</si>
  <si>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</si>
  <si>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</si>
  <si>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</si>
  <si>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</si>
  <si>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</si>
  <si>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</si>
  <si>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</si>
  <si>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</si>
  <si>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</si>
  <si>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</si>
  <si>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Casavostrasuites</t>
  </si>
  <si>
    <t>Contrada Santa Elisabetta  5</t>
  </si>
  <si>
    <t>Contrada Santa Elisabetta</t>
  </si>
  <si>
    <t>alessiocianseren@me.com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</si>
  <si>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</si>
  <si>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</si>
  <si>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</si>
  <si>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</si>
  <si>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</si>
  <si>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</si>
  <si>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Contrada Castel San Pietro 1</t>
  </si>
  <si>
    <t>www.belvedereap.it</t>
  </si>
  <si>
    <t>info@belvedereap.it</t>
  </si>
  <si>
    <t>Pensione Verde</t>
  </si>
  <si>
    <t>www.pensioneverde.it</t>
  </si>
  <si>
    <t>info@pensioneverde.it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</si>
  <si>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</si>
  <si>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</si>
  <si>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</si>
  <si>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</si>
  <si>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</si>
  <si>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</si>
  <si>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Il Faro</t>
  </si>
  <si>
    <t>Via Giacomo Leopardi 13</t>
  </si>
  <si>
    <t>Tibiceco</t>
  </si>
  <si>
    <t>Via Adriatica Sud 37</t>
  </si>
  <si>
    <t>www.tibiceco.it</t>
  </si>
  <si>
    <t>info@tibiceco.it</t>
  </si>
  <si>
    <t>Valdaso Hotel</t>
  </si>
  <si>
    <t>Via Valdaso 26</t>
  </si>
  <si>
    <t>www.fata.it</t>
  </si>
  <si>
    <t>valdaso@fata.it</t>
  </si>
  <si>
    <t>Contea Dei Ciliegi</t>
  </si>
  <si>
    <t>Via Dei Piceni 14</t>
  </si>
  <si>
    <t>Collina "Monte Serrone"</t>
  </si>
  <si>
    <t>www.laconteadeiciliegi.it</t>
  </si>
  <si>
    <t>info@conteadeiciliegi.it</t>
  </si>
  <si>
    <t>B&amp;B Summer</t>
  </si>
  <si>
    <t>www.bbsummer.it</t>
  </si>
  <si>
    <t>info@bbsummer.it</t>
  </si>
  <si>
    <t>Ca' Mincello</t>
  </si>
  <si>
    <t>Via Alcide De Gasperi  8</t>
  </si>
  <si>
    <t>roberto.antoniucci@yahoo.it</t>
  </si>
  <si>
    <t>Ca ' Mincello</t>
  </si>
  <si>
    <t>Via Alcide De Gasperi  8 8</t>
  </si>
  <si>
    <t>Agriturismo San Giuseppe</t>
  </si>
  <si>
    <t>Loc. San Fortunato 39</t>
  </si>
  <si>
    <t>www.sangiuseppeagriturismo.it</t>
  </si>
  <si>
    <t>info@sangiuseppeagriturismo.it</t>
  </si>
  <si>
    <t>Country House Ca' - Lani</t>
  </si>
  <si>
    <t>Localita' Battaglia 5</t>
  </si>
  <si>
    <t>L'Orizzonte</t>
  </si>
  <si>
    <t>Via Metauro 22</t>
  </si>
  <si>
    <t>www.orizzontepeglio.it</t>
  </si>
  <si>
    <t>info@orizzontepeglio.it</t>
  </si>
  <si>
    <t>Locanda Santa Mustiola</t>
  </si>
  <si>
    <t>Localita' Santa Mustiola 1</t>
  </si>
  <si>
    <t>Albergo Ristorante Balcone Sul Metauro</t>
  </si>
  <si>
    <t>Via Alessandro Manzoni 20</t>
  </si>
  <si>
    <t>www.balconesulmetauro.com</t>
  </si>
  <si>
    <t>balconesulmetauro@tin.it</t>
  </si>
  <si>
    <t>Giuseppe Carboni</t>
  </si>
  <si>
    <t>Contrada Saline 32/A</t>
  </si>
  <si>
    <t>carboni.francesco@libero.it</t>
  </si>
  <si>
    <t>Antonio Viglietti</t>
  </si>
  <si>
    <t>Contrada Fosse 317</t>
  </si>
  <si>
    <t>aviglietti@yahoo.it</t>
  </si>
  <si>
    <t>P.A.E.A Di Silenzi Adele &amp; C. - S.N.C.</t>
  </si>
  <si>
    <t>Viale Beato Giovanni 11</t>
  </si>
  <si>
    <t>B&amp;B Cardarelli Isa</t>
  </si>
  <si>
    <t>Contrada Guerci 335</t>
  </si>
  <si>
    <t>Agriturismo Villa Valente</t>
  </si>
  <si>
    <t>Contrada Pierdominici 49</t>
  </si>
  <si>
    <t>www.villavalente.com</t>
  </si>
  <si>
    <t>ron.favrin@gmail.com</t>
  </si>
  <si>
    <t>B&amp;B Il Casale Di Nanni</t>
  </si>
  <si>
    <t>Contrada Biordi 3</t>
  </si>
  <si>
    <t>ilcasaledinanni@libero.it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</si>
  <si>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</si>
  <si>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</si>
  <si>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</si>
  <si>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</si>
  <si>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</si>
  <si>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</si>
  <si>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</si>
  <si>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</si>
  <si>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</si>
  <si>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</si>
  <si>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</si>
  <si>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</si>
  <si>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</si>
  <si>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</si>
  <si>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</si>
  <si>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</si>
  <si>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</si>
  <si>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</si>
  <si>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</si>
  <si>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</si>
  <si>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The Metta Centre</t>
  </si>
  <si>
    <t>Contrada Saline 1</t>
  </si>
  <si>
    <t>B&amp;B Van Hamburg Annelies</t>
  </si>
  <si>
    <t>Frazione Montesecco 54</t>
  </si>
  <si>
    <t>www.imagnoni.com</t>
  </si>
  <si>
    <t>imagnoni@imagnoni.com</t>
  </si>
  <si>
    <t>Agriturismo Xix Secolo</t>
  </si>
  <si>
    <t>Localita' Serraspinosa 19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</si>
  <si>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</si>
  <si>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</si>
  <si>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</si>
  <si>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</si>
  <si>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</si>
  <si>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</si>
  <si>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</si>
  <si>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</si>
  <si>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</si>
  <si>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Ca' Sorci</t>
  </si>
  <si>
    <t>Via Valrea 11</t>
  </si>
  <si>
    <t>www.agriturismocasorci.it</t>
  </si>
  <si>
    <t>casorci@libero.it</t>
  </si>
  <si>
    <t>Malatesta Maison</t>
  </si>
  <si>
    <t>Via Montaiate 65</t>
  </si>
  <si>
    <t>contact@malatesta-maison.com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</si>
  <si>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</si>
  <si>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</si>
  <si>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</si>
  <si>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</si>
  <si>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</si>
  <si>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</si>
  <si>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</si>
  <si>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</si>
  <si>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</si>
  <si>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</si>
  <si>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</si>
  <si>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</si>
  <si>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</si>
  <si>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</si>
  <si>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</si>
  <si>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</si>
  <si>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</si>
  <si>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</si>
  <si>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</si>
  <si>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</si>
  <si>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</si>
  <si>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</si>
  <si>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</si>
  <si>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</si>
  <si>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</si>
  <si>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</si>
  <si>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</si>
  <si>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</si>
  <si>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</si>
  <si>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</si>
  <si>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</si>
  <si>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</si>
  <si>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</si>
  <si>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</si>
  <si>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</si>
  <si>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</si>
  <si>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</si>
  <si>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</si>
  <si>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</si>
  <si>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Ostaria La Pergola</t>
  </si>
  <si>
    <t>Viale Alcide De Gasperi 4</t>
  </si>
  <si>
    <t>info@studiopasqui.com</t>
  </si>
  <si>
    <t>Carincone Di Heeman Nanja Lisenka</t>
  </si>
  <si>
    <t>Frazione Montaiate 52</t>
  </si>
  <si>
    <t>Frazione Montaiate</t>
  </si>
  <si>
    <t>www.carincone.com</t>
  </si>
  <si>
    <t>info@carincone.com</t>
  </si>
  <si>
    <t>Gli Ippocastani</t>
  </si>
  <si>
    <t>Sp72 123</t>
  </si>
  <si>
    <t>Loc. Madonna Del Piano</t>
  </si>
  <si>
    <t>www.agriturismoippocastani.it</t>
  </si>
  <si>
    <t>ippocastani.pergola@libero.it</t>
  </si>
  <si>
    <t>Le Marasche</t>
  </si>
  <si>
    <t>Via Della Codarda Snc</t>
  </si>
  <si>
    <t>Loc. Percozzone</t>
  </si>
  <si>
    <t>a.barbadoro@teletu.it</t>
  </si>
  <si>
    <t>Fattoria Di Montesecco</t>
  </si>
  <si>
    <t>Frazione Montesecco 1</t>
  </si>
  <si>
    <t>Alla Vecchia Quercia</t>
  </si>
  <si>
    <t>Frazione Montajate 26</t>
  </si>
  <si>
    <t>www.vecchiaquercia.it</t>
  </si>
  <si>
    <t>info@vecchiaquercia.it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</si>
  <si>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</si>
  <si>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</si>
  <si>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</si>
  <si>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</si>
  <si>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</si>
  <si>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</si>
  <si>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</si>
  <si>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</si>
  <si>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</si>
  <si>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</si>
  <si>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</si>
  <si>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</si>
  <si>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</si>
  <si>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</si>
  <si>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</si>
  <si>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</si>
  <si>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</si>
  <si>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</si>
  <si>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</si>
  <si>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Agriturismo Colle Del Lupo</t>
  </si>
  <si>
    <t>Localita' Serraspinosa 57</t>
  </si>
  <si>
    <t>www.colledellupo.com</t>
  </si>
  <si>
    <t>colledellupo@gmx.net</t>
  </si>
  <si>
    <t>Franco Castellano</t>
  </si>
  <si>
    <t>Via Montajate 51</t>
  </si>
  <si>
    <t>B&amp;B A Casa Di Anna</t>
  </si>
  <si>
    <t>Via De Gasperi  3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</si>
  <si>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</si>
  <si>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</si>
  <si>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</si>
  <si>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</si>
  <si>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</si>
  <si>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</si>
  <si>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B&amp;B Lucilla Villa</t>
  </si>
  <si>
    <t>Via G.Torelli 5</t>
  </si>
  <si>
    <t>www.bnblucillavilla.it</t>
  </si>
  <si>
    <t>mt.pampaloni@gmail.com</t>
  </si>
  <si>
    <t>Ca' Verde</t>
  </si>
  <si>
    <t>Strada Panoramica Adriatica 345</t>
  </si>
  <si>
    <t>www.agriturismocaverde.it</t>
  </si>
  <si>
    <t>info@agriturismocaverde.it</t>
  </si>
  <si>
    <t>B&amp;B Le Cupole</t>
  </si>
  <si>
    <t>Strada Fornace Mancini 178</t>
  </si>
  <si>
    <t>alessandro.domen@gmail.com</t>
  </si>
  <si>
    <t>B&amp;B Panoramic</t>
  </si>
  <si>
    <t>Strada Tresole 44</t>
  </si>
  <si>
    <t>www.bebpanoramic.it</t>
  </si>
  <si>
    <t>info@bebpanoramic.it</t>
  </si>
  <si>
    <t>B&amp;B Aurora Domus D-Amare</t>
  </si>
  <si>
    <t>Via Carlo Cattaneo 33</t>
  </si>
  <si>
    <t>aurorabbpesaro@gmail.com</t>
  </si>
  <si>
    <t>B&amp;B La Maison De Nadine</t>
  </si>
  <si>
    <t>Via Canale 33</t>
  </si>
  <si>
    <t>nadia.sorbini@gmail.com</t>
  </si>
  <si>
    <t>Il Pignocco</t>
  </si>
  <si>
    <t>Strada Del Pignocco 3</t>
  </si>
  <si>
    <t>www.ilpignocco.it</t>
  </si>
  <si>
    <t>info@ilpignocco.it</t>
  </si>
  <si>
    <t>Lungomare Nazario Sauro 30/34</t>
  </si>
  <si>
    <t>www.excelsiorpesaro.it</t>
  </si>
  <si>
    <t>info@excelsiorpesaro.it</t>
  </si>
  <si>
    <t>Bagni Sole</t>
  </si>
  <si>
    <t>Strada Delle Marche 36 36</t>
  </si>
  <si>
    <t>Bagni Tiki</t>
  </si>
  <si>
    <t>Via Marina Ardizia 1 1</t>
  </si>
  <si>
    <t>Bagni Sacro Cuore</t>
  </si>
  <si>
    <t>Viale Trieste 45</t>
  </si>
  <si>
    <t>economato.pesaro@yahoo.it</t>
  </si>
  <si>
    <t>Casa Renili</t>
  </si>
  <si>
    <t>Strada Lunga 13</t>
  </si>
  <si>
    <t>Candelara</t>
  </si>
  <si>
    <t>www.casarenili.it</t>
  </si>
  <si>
    <t>mirco.renili@gmail.com</t>
  </si>
  <si>
    <t>Liana</t>
  </si>
  <si>
    <t>Viale Trieste  102</t>
  </si>
  <si>
    <t>info@hotelnautilus.it</t>
  </si>
  <si>
    <t>B&amp;B Pigiotto</t>
  </si>
  <si>
    <t>Via Petrucci 55</t>
  </si>
  <si>
    <t>Pesaro Centro</t>
  </si>
  <si>
    <t>www.pigiotto.it</t>
  </si>
  <si>
    <t>pigiotto.pesaro@gmail.com</t>
  </si>
  <si>
    <t>B&amp;B Casa Berardi</t>
  </si>
  <si>
    <t>Via Madonna Di Loreto 103</t>
  </si>
  <si>
    <t>www.casaberardipesaro.it</t>
  </si>
  <si>
    <t>info@casaberardipesaro.it</t>
  </si>
  <si>
    <t>Hotel Rossini</t>
  </si>
  <si>
    <t>Viale Guglielmo Marconi 44</t>
  </si>
  <si>
    <t>www.hotelrossini.it</t>
  </si>
  <si>
    <t>info@hotelrossini.it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</si>
  <si>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</si>
  <si>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</si>
  <si>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</si>
  <si>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</si>
  <si>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</si>
  <si>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</si>
  <si>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Bagni Enrico N 19</t>
  </si>
  <si>
    <t>Viale Trieste 19 19</t>
  </si>
  <si>
    <t>Ponente</t>
  </si>
  <si>
    <t>B&amp;B Dai Casoli</t>
  </si>
  <si>
    <t>Strada Del Boncio 61</t>
  </si>
  <si>
    <t>www.daicasoli.it</t>
  </si>
  <si>
    <t>casoli@libero.it</t>
  </si>
  <si>
    <t>Paradise Beach N 20</t>
  </si>
  <si>
    <t>Viale Trieste 20 20</t>
  </si>
  <si>
    <t>Bagni Roby 14</t>
  </si>
  <si>
    <t>Viale Trieste  1</t>
  </si>
  <si>
    <t>carlab54@gmail.com</t>
  </si>
  <si>
    <t>Bagni Tino N 5</t>
  </si>
  <si>
    <t>Viale Trieste 5 5</t>
  </si>
  <si>
    <t>Bagni Luca</t>
  </si>
  <si>
    <t>Bagni Franco</t>
  </si>
  <si>
    <t>Lungomare Nazario Sauro 27 27</t>
  </si>
  <si>
    <t>Bagni Marino</t>
  </si>
  <si>
    <t>Viale Trieste 39 39</t>
  </si>
  <si>
    <t>Levante</t>
  </si>
  <si>
    <t>fsanchioni@studiopa.it</t>
  </si>
  <si>
    <t>Re Sole</t>
  </si>
  <si>
    <t>Viale Trieste 1 1</t>
  </si>
  <si>
    <t>Strada Micaloro 1</t>
  </si>
  <si>
    <t>www.ilpoggiopesaro.it</t>
  </si>
  <si>
    <t>info@ilpoggiopesaro.it</t>
  </si>
  <si>
    <t>Bagni Ciro</t>
  </si>
  <si>
    <t>Viale Trieste 33 33</t>
  </si>
  <si>
    <t>info@larghettipartners.it</t>
  </si>
  <si>
    <t>Bagni Wanda N 26</t>
  </si>
  <si>
    <t>Lungomare Nazario Sauro 1 1</t>
  </si>
  <si>
    <t>Bagni Lallo N 21</t>
  </si>
  <si>
    <t>Viale Trieste 21 21</t>
  </si>
  <si>
    <t>Bagni Spinaci N 18</t>
  </si>
  <si>
    <t>Viale Trieste 18 18</t>
  </si>
  <si>
    <t>Joe Amarena Di Filippo Sparacca &amp; C. Snc</t>
  </si>
  <si>
    <t>Viale Parigi 2 2</t>
  </si>
  <si>
    <t>Bagni Tina</t>
  </si>
  <si>
    <t>Via Annibale Ninchi 22 22</t>
  </si>
  <si>
    <t>B&amp;B Residenza La Canonica</t>
  </si>
  <si>
    <t>Strada Cerreto 6</t>
  </si>
  <si>
    <t>www.residenzalacanonica.com</t>
  </si>
  <si>
    <t>residenzalacanonica@libero.it</t>
  </si>
  <si>
    <t>Alexander Museum Palace Hotel</t>
  </si>
  <si>
    <t>Viale Trieste 20</t>
  </si>
  <si>
    <t>www.alexandermuseum.it</t>
  </si>
  <si>
    <t>alexander@viphotels.it</t>
  </si>
  <si>
    <t>Bagni Gabry</t>
  </si>
  <si>
    <t>Lungomare Nazario Sauro 25 25</t>
  </si>
  <si>
    <t>B&amp;B Villa Torraccia</t>
  </si>
  <si>
    <t>Via Torraccia 3</t>
  </si>
  <si>
    <t>www.villatorraccia.it</t>
  </si>
  <si>
    <t>info@villatorraccia.it</t>
  </si>
  <si>
    <t>B&amp;B I Fiori Della Cava</t>
  </si>
  <si>
    <t>Via Della Cava 4</t>
  </si>
  <si>
    <t>www.ifioridellacava.com</t>
  </si>
  <si>
    <t>ifioridellacava@gmail.com</t>
  </si>
  <si>
    <t>Viale Trieste 40</t>
  </si>
  <si>
    <t>info@residencelabotte.it</t>
  </si>
  <si>
    <t>B&amp;B Angelo Custode</t>
  </si>
  <si>
    <t>Strada Della Rupola 6</t>
  </si>
  <si>
    <t>www.loredanacipressi.it</t>
  </si>
  <si>
    <t>loredana.cipressi@yahoo.it</t>
  </si>
  <si>
    <t>Agriturismo Paradisoincollina</t>
  </si>
  <si>
    <t>Strada Di San Nicola 32</t>
  </si>
  <si>
    <t>www.paradisoincollina.it</t>
  </si>
  <si>
    <t>mirco@paradisoincollina.it</t>
  </si>
  <si>
    <t>Casale E. Beauharnais</t>
  </si>
  <si>
    <t>Strada Di Casale 33</t>
  </si>
  <si>
    <t>www.casalebeauharnais.com</t>
  </si>
  <si>
    <t>info@casalebeauharnais.com</t>
  </si>
  <si>
    <t>Bagni Due Palme</t>
  </si>
  <si>
    <t>Strada Delle Marche 1 1</t>
  </si>
  <si>
    <t>Sottomonte</t>
  </si>
  <si>
    <t>Bagni Vasinto</t>
  </si>
  <si>
    <t>Spiagga Di Ponente</t>
  </si>
  <si>
    <t>Bagni Paradiso</t>
  </si>
  <si>
    <t>Strada Delle Marche Km.242,5 1</t>
  </si>
  <si>
    <t>claudiopace71@libero.it</t>
  </si>
  <si>
    <t>Bagni Toto</t>
  </si>
  <si>
    <t>Bassa Marea</t>
  </si>
  <si>
    <t>Sottomonte Ardizio</t>
  </si>
  <si>
    <t>Bagni Baronciani Di Baronciani Antonella</t>
  </si>
  <si>
    <t>baronciani.antonella@libero.it</t>
  </si>
  <si>
    <t>Bagni Stefano</t>
  </si>
  <si>
    <t>Spiaggia Di Levante</t>
  </si>
  <si>
    <t>Bagni Ridolfi</t>
  </si>
  <si>
    <t>Viale Trieste  Sn</t>
  </si>
  <si>
    <t>www.bagniridolfi13.it</t>
  </si>
  <si>
    <t>bagniridolfi13@hotmail.it</t>
  </si>
  <si>
    <t>Hotel Continental</t>
  </si>
  <si>
    <t>Viale Trieste 70</t>
  </si>
  <si>
    <t>continental@globaltoursrls.com</t>
  </si>
  <si>
    <t>Bagni Gino Di Guidi Monica</t>
  </si>
  <si>
    <t>Spiaggia Di Ponente</t>
  </si>
  <si>
    <t>bagnigino15@gmail.com</t>
  </si>
  <si>
    <t>Bagni Sergio</t>
  </si>
  <si>
    <t>Bagni Gilberto</t>
  </si>
  <si>
    <t>Bagni Alfredo</t>
  </si>
  <si>
    <t>Via Lungomare Nazario Sauro  1 1</t>
  </si>
  <si>
    <t>Bagni Lucio N 12</t>
  </si>
  <si>
    <t>Bagni Mario</t>
  </si>
  <si>
    <t>Bagni Irene</t>
  </si>
  <si>
    <t>Bagni Gino N.34</t>
  </si>
  <si>
    <t>Bagni Giuseppe</t>
  </si>
  <si>
    <t>rebecca.giunti@tuquitour.it</t>
  </si>
  <si>
    <t>Bagni Arcobaleno</t>
  </si>
  <si>
    <t>paolos@abafree.it</t>
  </si>
  <si>
    <t>Bagni Iole</t>
  </si>
  <si>
    <t>Bagni Venerucci</t>
  </si>
  <si>
    <t>Bagni Gastone &amp; Marta</t>
  </si>
  <si>
    <t>info@bagnigastonemarta.it</t>
  </si>
  <si>
    <t>Baia Flaminia Resort</t>
  </si>
  <si>
    <t>Viale Parigi 8 8</t>
  </si>
  <si>
    <t>www.baiaflaminiaresort.com</t>
  </si>
  <si>
    <t>info@baiaflaminiaresort.com</t>
  </si>
  <si>
    <t>Giulio Antonio Cecchi</t>
  </si>
  <si>
    <t>Via Del Seminario 16</t>
  </si>
  <si>
    <t>casavaccaj@yahoo.it</t>
  </si>
  <si>
    <t>Hotel Atlantic</t>
  </si>
  <si>
    <t>Viale Trieste 365</t>
  </si>
  <si>
    <t>www.atlanticpesaro.it</t>
  </si>
  <si>
    <t>info@atlanticpesaro.it</t>
  </si>
  <si>
    <t>Il Fiore E La Farfalla</t>
  </si>
  <si>
    <t>Strada Blilla 11</t>
  </si>
  <si>
    <t>www.ilfioreelafarfalla.com</t>
  </si>
  <si>
    <t>info@ilfioreelafarfalla.com</t>
  </si>
  <si>
    <t>Bristol Meuble'</t>
  </si>
  <si>
    <t>Piazzale Della Libertà 7</t>
  </si>
  <si>
    <t>http://hotelbristol-pu.com/index.php</t>
  </si>
  <si>
    <t>info@hotelbristolpesaro.191.it</t>
  </si>
  <si>
    <t>B&amp;B Pesaro-Mare</t>
  </si>
  <si>
    <t>Via Sara Levi Nathan  68</t>
  </si>
  <si>
    <t>bebpesaromare@gmx.com</t>
  </si>
  <si>
    <t>B&amp;B L'Osservatorio</t>
  </si>
  <si>
    <t>Loc.Cerreto Di Novilara</t>
  </si>
  <si>
    <t>B&amp;B Casa Ezelina</t>
  </si>
  <si>
    <t>Strada Di Santa Lucia  1</t>
  </si>
  <si>
    <t>Loc. Ginestreto Di Pesaro</t>
  </si>
  <si>
    <t>www.casaezelina.it</t>
  </si>
  <si>
    <t>info@casaezelina.it</t>
  </si>
  <si>
    <t>Appartamentio Turistico Maltempi</t>
  </si>
  <si>
    <t>Via L. Della Robbia 21</t>
  </si>
  <si>
    <t>fulvia.maltempi@gmail.com</t>
  </si>
  <si>
    <t>Holiday</t>
  </si>
  <si>
    <t>Viale Trento 159</t>
  </si>
  <si>
    <t>www.holidaypesaro.com</t>
  </si>
  <si>
    <t>info@holidaypesaro.com</t>
  </si>
  <si>
    <t>Antica Dimora Di Val Regina</t>
  </si>
  <si>
    <t>Strada Selve Granarola 12</t>
  </si>
  <si>
    <t>www.anticadimoradivalregina.com</t>
  </si>
  <si>
    <t>info@anticadimoradivalregina.com</t>
  </si>
  <si>
    <t>B&amp;B Goga &amp; Romeo</t>
  </si>
  <si>
    <t>Via F.Tumiati 11</t>
  </si>
  <si>
    <t>oliospellava@yahoo.it</t>
  </si>
  <si>
    <t>Locanda Typo</t>
  </si>
  <si>
    <t>Strada Delle Marche 116</t>
  </si>
  <si>
    <t>www.typolocanda.it; www.typolocanda.com</t>
  </si>
  <si>
    <t>info@typolocanda.it</t>
  </si>
  <si>
    <t>Itaca Beach N 6/7</t>
  </si>
  <si>
    <t>Strada Marina Ardizia Snc Snc</t>
  </si>
  <si>
    <t>Mosca Gabriella</t>
  </si>
  <si>
    <t>Strada Santa Lucia 1</t>
  </si>
  <si>
    <t>ga.mosca@libero.it</t>
  </si>
  <si>
    <t>Bagni Chalet A Mare N 5</t>
  </si>
  <si>
    <t>Via Marina Ardizio  S.N.</t>
  </si>
  <si>
    <t>www.chaletamare.it</t>
  </si>
  <si>
    <t>info@chaletamare.it</t>
  </si>
  <si>
    <t>Ca' Princivalle</t>
  </si>
  <si>
    <t>Strada Ponte Marotto 22/2</t>
  </si>
  <si>
    <t>Ponte Valle, Santa Veneranda</t>
  </si>
  <si>
    <t>www.caprincivalle.it</t>
  </si>
  <si>
    <t>info@caprincivalle.it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</si>
  <si>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</si>
  <si>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</si>
  <si>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</si>
  <si>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</si>
  <si>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</si>
  <si>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B&amp;B Pasqualon</t>
  </si>
  <si>
    <t>Via O.Giansanti 5</t>
  </si>
  <si>
    <t>bb.pasqualon@gmail.com</t>
  </si>
  <si>
    <t>Bagni Helios</t>
  </si>
  <si>
    <t>Strada Delle Marche 54 54</t>
  </si>
  <si>
    <t>Lea Coralloni</t>
  </si>
  <si>
    <t>Via Baldi  60</t>
  </si>
  <si>
    <t>paola.vi@fastwebnet.it</t>
  </si>
  <si>
    <t>B&amp;B La Scala Di Seta</t>
  </si>
  <si>
    <t>Via Fratelli Bandiera 7</t>
  </si>
  <si>
    <t>lascaladiseta2014@gmail.com</t>
  </si>
  <si>
    <t>B&amp;B Notti A Pesaro</t>
  </si>
  <si>
    <t>Via Della Neviera 10</t>
  </si>
  <si>
    <t>nottiapesaro@gmail.com</t>
  </si>
  <si>
    <t>Via San Egidio 23</t>
  </si>
  <si>
    <t>curina.francesco@gmail.com</t>
  </si>
  <si>
    <t>Ca' Napoleon Di La Rota Loretta</t>
  </si>
  <si>
    <t>Strada Dei Pelati 17</t>
  </si>
  <si>
    <t>canapoleon1831@gmail.com</t>
  </si>
  <si>
    <t>Hotel Mare</t>
  </si>
  <si>
    <t>Viale Trieste 371</t>
  </si>
  <si>
    <t>www.marepesaro.it</t>
  </si>
  <si>
    <t>info@marepesaro.it</t>
  </si>
  <si>
    <t>Hotel Promenade</t>
  </si>
  <si>
    <t>Viale Trieste 115</t>
  </si>
  <si>
    <t>www.hotelpromenade.pu.it</t>
  </si>
  <si>
    <t>info@hotelpromenade.pu.it</t>
  </si>
  <si>
    <t>Bagni Chalet A Mare N 4</t>
  </si>
  <si>
    <t>Via Marino Ardizio Snc Snc</t>
  </si>
  <si>
    <t>Loc. Sottomonte</t>
  </si>
  <si>
    <t>Bagni Miramare N 60</t>
  </si>
  <si>
    <t>Via Marina Ardizia 60 60</t>
  </si>
  <si>
    <t>s.giorgi@koruspartners.it</t>
  </si>
  <si>
    <t>Bagni Primavera</t>
  </si>
  <si>
    <t>Casa Vacanze Abbazia</t>
  </si>
  <si>
    <t>Via Pasubio 1</t>
  </si>
  <si>
    <t>Pesaro-Novilara</t>
  </si>
  <si>
    <t>abbazia.residhotel@libero.it</t>
  </si>
  <si>
    <t>Via Ciro Menotti 103</t>
  </si>
  <si>
    <t>bedandbreakfastlaterrazza@yahoo.it</t>
  </si>
  <si>
    <t>La Rosa Blu</t>
  </si>
  <si>
    <t>Strada Di Stoppato 32</t>
  </si>
  <si>
    <t>bblarosablu@virgilio.it</t>
  </si>
  <si>
    <t>Sweet Harbour</t>
  </si>
  <si>
    <t>Via Gessi 16</t>
  </si>
  <si>
    <t>fabioannibali1980@gmail.com</t>
  </si>
  <si>
    <t>Villa Franca</t>
  </si>
  <si>
    <t>Strada Di San Bartolo  22/1</t>
  </si>
  <si>
    <t>andreafranca66@gmail.com</t>
  </si>
  <si>
    <t>Via Lago Maggiore  34</t>
  </si>
  <si>
    <t>Villa Ceccolini</t>
  </si>
  <si>
    <t>luca.vagno@gmail.com</t>
  </si>
  <si>
    <t>Ca' Sideria</t>
  </si>
  <si>
    <t>Strada Del Molino Mosca  10</t>
  </si>
  <si>
    <t>Barberini Mariano</t>
  </si>
  <si>
    <t>Viale Londra 11</t>
  </si>
  <si>
    <t>info@immobiliaretriestepesaro.it</t>
  </si>
  <si>
    <t>Mattioli Mauro App.To Viale Trento</t>
  </si>
  <si>
    <t>Viale Trento  190</t>
  </si>
  <si>
    <t>Beligotti Emanuela</t>
  </si>
  <si>
    <t>Via Trieste 265</t>
  </si>
  <si>
    <t>expoemanuela@composit.it</t>
  </si>
  <si>
    <t>Ca'  Turen Di Bartoli Francesco</t>
  </si>
  <si>
    <t>Strada Valle Dei Castagni 8</t>
  </si>
  <si>
    <t>caturen@gmail.com</t>
  </si>
  <si>
    <t>Di Benedetto Rossana</t>
  </si>
  <si>
    <t>Viale Berna 12</t>
  </si>
  <si>
    <t>info@immobiliaretriestepesaro.ti</t>
  </si>
  <si>
    <t>Smaldini Anna Santa</t>
  </si>
  <si>
    <t>Strada Delle Marche 60</t>
  </si>
  <si>
    <t>a.smaldini@seam-adriatic.it</t>
  </si>
  <si>
    <t>Menchetti Artidoro</t>
  </si>
  <si>
    <t>Via Belluzzi 5</t>
  </si>
  <si>
    <t>Baranova Yelena</t>
  </si>
  <si>
    <t>Via Cesare Battisti 134/2</t>
  </si>
  <si>
    <t>alberto@laber.it</t>
  </si>
  <si>
    <t>Giommi Oscar</t>
  </si>
  <si>
    <t>Via Trieste 81</t>
  </si>
  <si>
    <t>Villa Liliana</t>
  </si>
  <si>
    <t>Via Lunga 4/C</t>
  </si>
  <si>
    <t>Mattioli Mauro App.To Viale Vittoria</t>
  </si>
  <si>
    <t>Viale Vittoria  155</t>
  </si>
  <si>
    <t>Spiaggia Camping Marinella</t>
  </si>
  <si>
    <t>info@campingmarinella.it</t>
  </si>
  <si>
    <t>Casa Delle Viole</t>
  </si>
  <si>
    <t>Via Mascagni 74</t>
  </si>
  <si>
    <t>ilaria.vichi@gmail.com</t>
  </si>
  <si>
    <t>Martinelli Mirco</t>
  </si>
  <si>
    <t>Tommasi 6</t>
  </si>
  <si>
    <t>Simoncelli Matteo</t>
  </si>
  <si>
    <t>Via B. Baldi 61</t>
  </si>
  <si>
    <t>Bastianelli Demetrio</t>
  </si>
  <si>
    <t>Piazza Puccini 8</t>
  </si>
  <si>
    <t>d.bastianelli@email.it</t>
  </si>
  <si>
    <t>O' Donnell Laura</t>
  </si>
  <si>
    <t>Via Dei Partigiani 34</t>
  </si>
  <si>
    <t>Grand Hotel Vittoria</t>
  </si>
  <si>
    <t>Piazzale Della Libertà 2</t>
  </si>
  <si>
    <t>www.grandhotelvittoriapesaro.it</t>
  </si>
  <si>
    <t>vittoria@viphotels.it</t>
  </si>
  <si>
    <t>Hotel Majestic</t>
  </si>
  <si>
    <t>Viale Trieste 80</t>
  </si>
  <si>
    <t>www.hotelmajesticpesaro.com</t>
  </si>
  <si>
    <t>info@hotelmajesticpesaro.com</t>
  </si>
  <si>
    <t>Cruiser</t>
  </si>
  <si>
    <t>Viale Trieste 281</t>
  </si>
  <si>
    <t>mercure pesaro</t>
  </si>
  <si>
    <t>ha746@accor.com</t>
  </si>
  <si>
    <t>Clipper</t>
  </si>
  <si>
    <t>Viale Guglielmo Marconi 53</t>
  </si>
  <si>
    <t>www.hotelclipper.it</t>
  </si>
  <si>
    <t>info@hotelclipper.it</t>
  </si>
  <si>
    <t>Hotel Caravelle</t>
  </si>
  <si>
    <t>Viale Trieste 269</t>
  </si>
  <si>
    <t>www.hotel-caravelle.net</t>
  </si>
  <si>
    <t>info@hotel-caravelle.net</t>
  </si>
  <si>
    <t>Caravan</t>
  </si>
  <si>
    <t>Viale Monfalcone 58</t>
  </si>
  <si>
    <t>www.hotelcaravan.it</t>
  </si>
  <si>
    <t>info@hotelcaravan.it</t>
  </si>
  <si>
    <t>Blumen</t>
  </si>
  <si>
    <t>Viale Trieste 77</t>
  </si>
  <si>
    <t>info@hotelblumenpesaro.it</t>
  </si>
  <si>
    <t>Viale Trieste 88</t>
  </si>
  <si>
    <t>www.bellevuehotel.net</t>
  </si>
  <si>
    <t>info@bellevuehotel.net</t>
  </si>
  <si>
    <t>Viale Trieste 36</t>
  </si>
  <si>
    <t>www.hbaltic.it</t>
  </si>
  <si>
    <t>info@hbaltic.it</t>
  </si>
  <si>
    <t>Athena</t>
  </si>
  <si>
    <t>Viale Pola 18</t>
  </si>
  <si>
    <t>www.hotelathena-pesaro.com</t>
  </si>
  <si>
    <t>mail@hotelathena-pesaro.com</t>
  </si>
  <si>
    <t>Viale Rovereto 30</t>
  </si>
  <si>
    <t>www.sylviahotel.it</t>
  </si>
  <si>
    <t>glauco@sylviahotel.it</t>
  </si>
  <si>
    <t>Spiaggia</t>
  </si>
  <si>
    <t>Viale Trieste 76</t>
  </si>
  <si>
    <t>www.hotelspiaggia.com</t>
  </si>
  <si>
    <t>info@hotelspiaggia.com</t>
  </si>
  <si>
    <t>Hotel Imperial Sport</t>
  </si>
  <si>
    <t>Via Annibale Ninchi 6</t>
  </si>
  <si>
    <t>www.imperialsporthotel.it</t>
  </si>
  <si>
    <t>info@imperialsporthotel.it</t>
  </si>
  <si>
    <t>Savoy</t>
  </si>
  <si>
    <t>Viale Della Repubblica 22</t>
  </si>
  <si>
    <t>www.hotelsavoypesaro.it</t>
  </si>
  <si>
    <t>savoy@viphotels.it</t>
  </si>
  <si>
    <t>Royal</t>
  </si>
  <si>
    <t>Viale Cesare Battisti 144</t>
  </si>
  <si>
    <t>www.innitalia.com</t>
  </si>
  <si>
    <t>royal@innitalia.com</t>
  </si>
  <si>
    <t>Bagni Agata</t>
  </si>
  <si>
    <t>www.hotelplaza.pu.it</t>
  </si>
  <si>
    <t>info@hotelplaza.pu.it</t>
  </si>
  <si>
    <t>Perticari</t>
  </si>
  <si>
    <t>Viale Zara 67</t>
  </si>
  <si>
    <t>www.hotelperticari.com</t>
  </si>
  <si>
    <t>info@hotelperticari.com</t>
  </si>
  <si>
    <t>Hotel Nettuno</t>
  </si>
  <si>
    <t>Viale Trieste 367</t>
  </si>
  <si>
    <t>www.hotelnettunopesaro.it</t>
  </si>
  <si>
    <t>info@hotelnettunopesaro.it</t>
  </si>
  <si>
    <t>Nautilus</t>
  </si>
  <si>
    <t>Viale Trieste 30</t>
  </si>
  <si>
    <t>www.nautiluspesaro.edenhotels.it</t>
  </si>
  <si>
    <t>info.nautilus@edenhotels.it</t>
  </si>
  <si>
    <t>Hotel Napoleon</t>
  </si>
  <si>
    <t>Viale Fiume 118</t>
  </si>
  <si>
    <t>www.hotelnapoleonpesaro.it</t>
  </si>
  <si>
    <t>info@hotelnapoleonpesaro.it</t>
  </si>
  <si>
    <t>Via Marina Ardizia 158</t>
  </si>
  <si>
    <t>infohotelmiramare@gmail.com</t>
  </si>
  <si>
    <t>Metropol</t>
  </si>
  <si>
    <t>Via Cristoforo Colombo 3</t>
  </si>
  <si>
    <t>www.hotelmetropol.it</t>
  </si>
  <si>
    <t>info@hotelmetropol.it</t>
  </si>
  <si>
    <t>Mediterraneo</t>
  </si>
  <si>
    <t>Viale Trieste 199</t>
  </si>
  <si>
    <t>www.hmed.it</t>
  </si>
  <si>
    <t>info@hmed.it</t>
  </si>
  <si>
    <t>Viale Xi Febbraio 32</t>
  </si>
  <si>
    <t>www.hotelsanmarcopu.it</t>
  </si>
  <si>
    <t>h.sanmarco@libero.it</t>
  </si>
  <si>
    <t>Piermattei Claudia</t>
  </si>
  <si>
    <t>Via Napoli 85</t>
  </si>
  <si>
    <t>Paone Marco</t>
  </si>
  <si>
    <t>Viale Trento 60</t>
  </si>
  <si>
    <t>immobiliare@adriamar.net</t>
  </si>
  <si>
    <t>Fasano Giuseppe</t>
  </si>
  <si>
    <t>Via Mascagni 88</t>
  </si>
  <si>
    <t>B&amp;B Da Larry</t>
  </si>
  <si>
    <t>Via Guazzi 11</t>
  </si>
  <si>
    <t>gabriele-ferri@alice.it</t>
  </si>
  <si>
    <t>Hotel Flying</t>
  </si>
  <si>
    <t>Viale Giuseppe Verdi 126</t>
  </si>
  <si>
    <t>info@flyinghotel.it</t>
  </si>
  <si>
    <t>Le Quiete Dimore</t>
  </si>
  <si>
    <t>Strada Delle Campagne  7/1</t>
  </si>
  <si>
    <t>Novilara</t>
  </si>
  <si>
    <t>www.lequietedimore.it</t>
  </si>
  <si>
    <t>lequietedimore@gmail.com</t>
  </si>
  <si>
    <t>B&amp;B San Bartolo</t>
  </si>
  <si>
    <t>Via Panaro 61</t>
  </si>
  <si>
    <t>bebsanbartolo@gmail.com</t>
  </si>
  <si>
    <t>B&amp;B Da Pens</t>
  </si>
  <si>
    <t>Via Virgilio 19</t>
  </si>
  <si>
    <t>penseriniluca@gmail.com; stefaniaiowa@yahoo.it</t>
  </si>
  <si>
    <t>B&amp;B Lucy</t>
  </si>
  <si>
    <t>Via G.Spontini 6</t>
  </si>
  <si>
    <t>lucia.biondi.86@gmail.com</t>
  </si>
  <si>
    <t>B&amp;B La Gazza Ladra</t>
  </si>
  <si>
    <t>Via Nuti 1</t>
  </si>
  <si>
    <t>www.lagazzaladrabb.it</t>
  </si>
  <si>
    <t>info@lagazzaladrabb.it</t>
  </si>
  <si>
    <t>Chigio</t>
  </si>
  <si>
    <t>Strada Ciarciano 63</t>
  </si>
  <si>
    <t>www.pesaro-chigiocountryhouse.it</t>
  </si>
  <si>
    <t>countrychigio@hotmail.com</t>
  </si>
  <si>
    <t>Viale Trieste 86</t>
  </si>
  <si>
    <t>www.silmir.it/hotel-astoria-pesaro</t>
  </si>
  <si>
    <t>hotelastoriapesaro@hotmail.it</t>
  </si>
  <si>
    <t>Terrachiara Az.Agricola E B&amp;B</t>
  </si>
  <si>
    <t>Via Strada Lunga 7</t>
  </si>
  <si>
    <t>terrachiaracandelara@gmail.com</t>
  </si>
  <si>
    <t>Hotel Figaro</t>
  </si>
  <si>
    <t>Viale Trieste 71</t>
  </si>
  <si>
    <t>www.hotelfigaro.it</t>
  </si>
  <si>
    <t>info@hotelfigaro.it</t>
  </si>
  <si>
    <t>B&amp;B La Terrazza</t>
  </si>
  <si>
    <t>Via Orsini 20</t>
  </si>
  <si>
    <t>t.nerone@yahoo.it</t>
  </si>
  <si>
    <t>B&amp;B L'Oleandro Bianco</t>
  </si>
  <si>
    <t>Via Perozzi 15</t>
  </si>
  <si>
    <t>fabio687@libero.it</t>
  </si>
  <si>
    <t>Agriturismo La Stradaccia</t>
  </si>
  <si>
    <t>Strada Di Valcelli 4/F</t>
  </si>
  <si>
    <t>bonifatirosa@pec.it</t>
  </si>
  <si>
    <t>B&amp;B Villa San Nicola</t>
  </si>
  <si>
    <t>Strada San Nicola 39</t>
  </si>
  <si>
    <t>grilli43@gmail.com</t>
  </si>
  <si>
    <t>Villa Girasole</t>
  </si>
  <si>
    <t>Strada Delle Primule 20</t>
  </si>
  <si>
    <t>www.villagirasole.it</t>
  </si>
  <si>
    <t>info@villagirasole.it</t>
  </si>
  <si>
    <t>B&amp;B Terre Di Mare</t>
  </si>
  <si>
    <t>Via Cavallotti 74</t>
  </si>
  <si>
    <t>rolafe@alice.it</t>
  </si>
  <si>
    <t>B&amp;B Le Dolci Note</t>
  </si>
  <si>
    <t>Giorgi 27</t>
  </si>
  <si>
    <t>sabrina.santangeli@alice.it</t>
  </si>
  <si>
    <t>B&amp;B Villa Fiore</t>
  </si>
  <si>
    <t>Via Scarlatti 20</t>
  </si>
  <si>
    <t>dr.cido@alice.it</t>
  </si>
  <si>
    <t>Hotel Elvezia</t>
  </si>
  <si>
    <t>Viale Fiume  67</t>
  </si>
  <si>
    <t>http://www.hotelelveziapesaro.it</t>
  </si>
  <si>
    <t>hotelelvezia@outlook.it</t>
  </si>
  <si>
    <t>B&amp;B Via Abba</t>
  </si>
  <si>
    <t>Via Abba 13</t>
  </si>
  <si>
    <t>stefanianettuno@alice.it</t>
  </si>
  <si>
    <t>Evangelista Fernanda</t>
  </si>
  <si>
    <t>Via Stroppato 5</t>
  </si>
  <si>
    <t>evanfer35@gmail.com</t>
  </si>
  <si>
    <t>Hotel Caesar</t>
  </si>
  <si>
    <t>Viale Trieste 125</t>
  </si>
  <si>
    <t>www.hotelcaesar.net</t>
  </si>
  <si>
    <t>info@hotelcaesar.net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</si>
  <si>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</si>
  <si>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</si>
  <si>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</si>
  <si>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</si>
  <si>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</si>
  <si>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</si>
  <si>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</si>
  <si>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</si>
  <si>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</si>
  <si>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</si>
  <si>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</si>
  <si>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Magi Maria Grazia</t>
  </si>
  <si>
    <t>Via Zara 18</t>
  </si>
  <si>
    <t>Centro Mare Luna</t>
  </si>
  <si>
    <t>Via Marconi 6</t>
  </si>
  <si>
    <t>bbpesaro@gmail.com</t>
  </si>
  <si>
    <t>Borsella Anna Maria</t>
  </si>
  <si>
    <t>Via Barsanti 98</t>
  </si>
  <si>
    <t>by.corallonistaff@coppola.it</t>
  </si>
  <si>
    <t>Donati Giorgia</t>
  </si>
  <si>
    <t>Via Varese 25</t>
  </si>
  <si>
    <t>Gattoni Gabriele</t>
  </si>
  <si>
    <t>Via L. Laurana 33</t>
  </si>
  <si>
    <t>g.gattoni@live.it</t>
  </si>
  <si>
    <t>Lippolis Laura</t>
  </si>
  <si>
    <t>Via G. Passeri 49</t>
  </si>
  <si>
    <t>Buscaglia Sergio</t>
  </si>
  <si>
    <t>Via Recchi 3</t>
  </si>
  <si>
    <t>Franca Ettore</t>
  </si>
  <si>
    <t>Viale Della Vittoria 155</t>
  </si>
  <si>
    <t>Franca Giacomo</t>
  </si>
  <si>
    <t>Via Castelfidardo 98</t>
  </si>
  <si>
    <t>Pesarp</t>
  </si>
  <si>
    <t>Oasi Verde</t>
  </si>
  <si>
    <t>Costa Di Fagnano 5</t>
  </si>
  <si>
    <t>valentinapascucci@gmail.com</t>
  </si>
  <si>
    <t>Nauhome Dependance Hotel Nautilus</t>
  </si>
  <si>
    <t>Viale Trieste 26</t>
  </si>
  <si>
    <t>Viale Trieste 291</t>
  </si>
  <si>
    <t>www.ambassadorpesaro.it</t>
  </si>
  <si>
    <t>info@ambassadorpesaro.it</t>
  </si>
  <si>
    <t>La Mansardina</t>
  </si>
  <si>
    <t>Via Agostini 79</t>
  </si>
  <si>
    <t>sanjohni@libero.it</t>
  </si>
  <si>
    <t>Romanini Guido</t>
  </si>
  <si>
    <t>Via Vittorini 1</t>
  </si>
  <si>
    <t>giovanni.romanini@gmail.com</t>
  </si>
  <si>
    <t>Gurini Graziella App.To 239</t>
  </si>
  <si>
    <t>Viale C. Battisti 233</t>
  </si>
  <si>
    <t>gurini.graziella@libero.it</t>
  </si>
  <si>
    <t>Gurini Graziella App.To 237</t>
  </si>
  <si>
    <t>Viale C. Battisti 237</t>
  </si>
  <si>
    <t>Mezzolani Filippo</t>
  </si>
  <si>
    <t>Via Mosca 6</t>
  </si>
  <si>
    <t>Carnali Francesco</t>
  </si>
  <si>
    <t>Lungomare N. Sauro 5</t>
  </si>
  <si>
    <t>Spada Domenico</t>
  </si>
  <si>
    <t>Capodagli Anna</t>
  </si>
  <si>
    <t>Via Gavardini 9</t>
  </si>
  <si>
    <t>annacapo49@libero.it</t>
  </si>
  <si>
    <t>B&amp;B Da Peppennadia</t>
  </si>
  <si>
    <t>Strada Del Boncio 20</t>
  </si>
  <si>
    <t>Fiorenzuola Di Focara</t>
  </si>
  <si>
    <t>peppennadia14@vodafone.it</t>
  </si>
  <si>
    <t>Hotel Gala</t>
  </si>
  <si>
    <t>Viale Trieste 49</t>
  </si>
  <si>
    <t>www.hotelgala.it</t>
  </si>
  <si>
    <t>info@hotelgala.it</t>
  </si>
  <si>
    <t>Leonardo Da Vinci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</si>
  <si>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</si>
  <si>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</si>
  <si>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</si>
  <si>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</si>
  <si>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</si>
  <si>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</si>
  <si>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</si>
  <si>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Rivazzurra</t>
  </si>
  <si>
    <t>Viale Trieste 93</t>
  </si>
  <si>
    <t>www.rivazzurrahotel.it</t>
  </si>
  <si>
    <t>info@rivazzurrahotel.it</t>
  </si>
  <si>
    <t>Sacro Cuore</t>
  </si>
  <si>
    <t>Viale Giovanni Amendola 20</t>
  </si>
  <si>
    <t>www.piccoleancelledelsacrocuore.net/accoglienza</t>
  </si>
  <si>
    <t>coloniasacrocuore@pcn.net; suormarilena@email.it</t>
  </si>
  <si>
    <t>Bagni Luciano</t>
  </si>
  <si>
    <t>Via Bernardino Baldi 42 42</t>
  </si>
  <si>
    <t>Bagni Baia</t>
  </si>
  <si>
    <t>Bagni Laura N 24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</si>
  <si>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</si>
  <si>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</si>
  <si>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</si>
  <si>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</si>
  <si>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</si>
  <si>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</si>
  <si>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</si>
  <si>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</si>
  <si>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</si>
  <si>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</si>
  <si>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</si>
  <si>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Bagni Margherita</t>
  </si>
  <si>
    <t>Residence Abbazia</t>
  </si>
  <si>
    <t>Viale Trento 147</t>
  </si>
  <si>
    <t>Pesaro - 61121</t>
  </si>
  <si>
    <t>Discanno Anna Maria</t>
  </si>
  <si>
    <t>Strada Panoramica Ardizio 190</t>
  </si>
  <si>
    <t>Bagni Re Sole</t>
  </si>
  <si>
    <t>Bagni Vallugola</t>
  </si>
  <si>
    <t>Strada Della Vallugola 1 1</t>
  </si>
  <si>
    <t>Bagni Cocoloco Beach N 62</t>
  </si>
  <si>
    <t>Via Marina Ardizia Snc Snc</t>
  </si>
  <si>
    <t>Bagni Jolly</t>
  </si>
  <si>
    <t>San Cristoforo Alla Vallugola</t>
  </si>
  <si>
    <t>Strada Di Vincolungo 16</t>
  </si>
  <si>
    <t>www.agriturismobaiavallugola.it</t>
  </si>
  <si>
    <t>info@agriturismobaiavallugola.it</t>
  </si>
  <si>
    <t>Il Guardacielo</t>
  </si>
  <si>
    <t>Strada Panoramica Adriatica 1</t>
  </si>
  <si>
    <t>www.ilguardacielo.it</t>
  </si>
  <si>
    <t>ilguardacielo@virgilio.it</t>
  </si>
  <si>
    <t>Agriturismo Badia</t>
  </si>
  <si>
    <t>Strada Della Grancia 20</t>
  </si>
  <si>
    <t>www.badiagriturismo.it</t>
  </si>
  <si>
    <t>info@badiagriturismo.it</t>
  </si>
  <si>
    <t>Albergo Meuble' Villa Fastiggi</t>
  </si>
  <si>
    <t>Via Brigata Garibaldi 1</t>
  </si>
  <si>
    <t>albergo.villafastiggi@gmail.com</t>
  </si>
  <si>
    <t>Villa Borromeo</t>
  </si>
  <si>
    <t>Via Amedeo Avogadro 40</t>
  </si>
  <si>
    <t>www.arcidiocesipesaro.it</t>
  </si>
  <si>
    <t>amministrativo2@arcidiocesipesaro.it.</t>
  </si>
  <si>
    <t>Due Pavoni</t>
  </si>
  <si>
    <t>Viale Fiume 79</t>
  </si>
  <si>
    <t>www.hotelduepavoni.com</t>
  </si>
  <si>
    <t>info@hotelduepavoni.com</t>
  </si>
  <si>
    <t>Due Palme</t>
  </si>
  <si>
    <t>Viale Trieste 52</t>
  </si>
  <si>
    <t>www.hotelduepalmeonline.com</t>
  </si>
  <si>
    <t>info@hotelduepalmeonline.com</t>
  </si>
  <si>
    <t>Hotel Fiera</t>
  </si>
  <si>
    <t>Strada Fornace Vecchia 69</t>
  </si>
  <si>
    <t>www.hotelfierapesaro.com</t>
  </si>
  <si>
    <t>info@hotelfierapesaro.com</t>
  </si>
  <si>
    <t>Via Trebbiantico 1</t>
  </si>
  <si>
    <t>lavecchiacantina.pu@gmail.com</t>
  </si>
  <si>
    <t>Bagni Bibi</t>
  </si>
  <si>
    <t>bagnibibi.gianni@yahoo.it</t>
  </si>
  <si>
    <t>Embassy</t>
  </si>
  <si>
    <t>Viale Trieste 64</t>
  </si>
  <si>
    <t>www.hotelembassypesaro.com</t>
  </si>
  <si>
    <t>embassy@hotelembassypesaro.com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</si>
  <si>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</si>
  <si>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</si>
  <si>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</si>
  <si>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</si>
  <si>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</si>
  <si>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</si>
  <si>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</si>
  <si>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</si>
  <si>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</si>
  <si>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</si>
  <si>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</si>
  <si>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</si>
  <si>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Locanda Stop</t>
  </si>
  <si>
    <t>Via Yuri Gagarin 24</t>
  </si>
  <si>
    <t>Azienda Agrituristica Vivaio Claretta</t>
  </si>
  <si>
    <t>Via San Gianno 20</t>
  </si>
  <si>
    <t>www.agriturismo-claretta.it</t>
  </si>
  <si>
    <t>agriturimo.claretta@gmail.com</t>
  </si>
  <si>
    <t>B&amp;B Capotorto</t>
  </si>
  <si>
    <t>Via Cà Capotorto 1</t>
  </si>
  <si>
    <t>Riceci</t>
  </si>
  <si>
    <t>www.capotorto.be</t>
  </si>
  <si>
    <t>info@capotorto.be</t>
  </si>
  <si>
    <t>Locanda Da Ciacci</t>
  </si>
  <si>
    <t>Via Roma 105</t>
  </si>
  <si>
    <t>B&amp;B Paglia E Fieno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</si>
  <si>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</si>
  <si>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</si>
  <si>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</si>
  <si>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</si>
  <si>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</si>
  <si>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</si>
  <si>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</si>
  <si>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</si>
  <si>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</si>
  <si>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La Dimora Del Sole</t>
  </si>
  <si>
    <t>Via San Giovanni 8/10</t>
  </si>
  <si>
    <t>www.ladimoradelsole.it</t>
  </si>
  <si>
    <t>info@ladimoradelsole.it</t>
  </si>
  <si>
    <t>B&amp;B La Pojana</t>
  </si>
  <si>
    <t>Via Campolargo 34</t>
  </si>
  <si>
    <t>http://allapoiana.com/it/home-1/</t>
  </si>
  <si>
    <t>info@allapoiana.com</t>
  </si>
  <si>
    <t>B&amp;B Bates Geoffrey</t>
  </si>
  <si>
    <t>Largo Lucentini 5</t>
  </si>
  <si>
    <t>B&amp;B Foglini Livia</t>
  </si>
  <si>
    <t>Contrada San Savino 51</t>
  </si>
  <si>
    <t>www.ilbiologicodilivia.com</t>
  </si>
  <si>
    <t>foam.bio@gmail.com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</si>
  <si>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</si>
  <si>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</si>
  <si>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</si>
  <si>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</si>
  <si>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</si>
  <si>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</si>
  <si>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</si>
  <si>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</si>
  <si>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</si>
  <si>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</si>
  <si>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</si>
  <si>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</si>
  <si>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</si>
  <si>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</si>
  <si>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</si>
  <si>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</si>
  <si>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</si>
  <si>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</si>
  <si>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</si>
  <si>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</si>
  <si>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</si>
  <si>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</si>
  <si>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</si>
  <si>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</si>
  <si>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</si>
  <si>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Contrada Contro 11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</si>
  <si>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</si>
  <si>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</si>
  <si>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</si>
  <si>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</si>
  <si>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</si>
  <si>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</si>
  <si>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</si>
  <si>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</si>
  <si>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</si>
  <si>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</si>
  <si>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</si>
  <si>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</si>
  <si>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B&amp;B Regina Margherita</t>
  </si>
  <si>
    <t>Via Tornabuoni 27</t>
  </si>
  <si>
    <t>andrea.mars92@gmail.com</t>
  </si>
  <si>
    <t>Dipendenza Hotel Roma</t>
  </si>
  <si>
    <t>Largo Giacomo Leopardi 26</t>
  </si>
  <si>
    <t>Affittacamere Vitali Fulvio</t>
  </si>
  <si>
    <t>B&amp;B Elena Monaldi</t>
  </si>
  <si>
    <t>Via Sant'Antonio 122</t>
  </si>
  <si>
    <t>www.bluemoonresort.it</t>
  </si>
  <si>
    <t>elena.monaldi@gmail.com</t>
  </si>
  <si>
    <t>Dimora Delle Vigne</t>
  </si>
  <si>
    <t>Via San Filippo 24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</si>
  <si>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</si>
  <si>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</si>
  <si>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</si>
  <si>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</si>
  <si>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</si>
  <si>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</si>
  <si>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</si>
  <si>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</si>
  <si>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</si>
  <si>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</si>
  <si>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</si>
  <si>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</si>
  <si>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</si>
  <si>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</si>
  <si>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</si>
  <si>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</si>
  <si>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</si>
  <si>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</si>
  <si>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</si>
  <si>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</si>
  <si>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</si>
  <si>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</si>
  <si>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Le Torricelle</t>
  </si>
  <si>
    <t>Frazione Pirlo 1</t>
  </si>
  <si>
    <t>Corso Giovanni Xxiii 6</t>
  </si>
  <si>
    <t>ristorantinodelcastello@gmail.com</t>
  </si>
  <si>
    <t>B&amp;B Fonte Grima</t>
  </si>
  <si>
    <t>Via Montefeltresca 167</t>
  </si>
  <si>
    <t>Ponte Cappuccini</t>
  </si>
  <si>
    <t>www.fontegrima.it</t>
  </si>
  <si>
    <t>annamaria.salucci@gmail.com</t>
  </si>
  <si>
    <t>Leonardi Guido</t>
  </si>
  <si>
    <t>Via Montefeltresca 118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</si>
  <si>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</si>
  <si>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</si>
  <si>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</si>
  <si>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</si>
  <si>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</si>
  <si>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</si>
  <si>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</si>
  <si>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</si>
  <si>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</si>
  <si>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</si>
  <si>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B&amp;B Pineta Di Ciliberto Vittoria</t>
  </si>
  <si>
    <t>Via Ca'Baldisserra 53</t>
  </si>
  <si>
    <t>carpegna@ascompesaro.it</t>
  </si>
  <si>
    <t>Dimora Galasterna</t>
  </si>
  <si>
    <t>Via Poggio Pagano 12</t>
  </si>
  <si>
    <t>studiopompeiing@alice.it</t>
  </si>
  <si>
    <t>Agriturismo Il Conventino</t>
  </si>
  <si>
    <t>Localita' Seggiole 1</t>
  </si>
  <si>
    <t>prenotazioni@ilconventino.eu</t>
  </si>
  <si>
    <t>Antico Borgo Di Gallano</t>
  </si>
  <si>
    <t>Case Sparse Gallano 1</t>
  </si>
  <si>
    <t>www.anticoborgodigallano.com</t>
  </si>
  <si>
    <t>anticoborgodigallano@gmail.com</t>
  </si>
  <si>
    <t>B&amp;B Cardurani Sandra</t>
  </si>
  <si>
    <t>Case Sparse Colle Di Torricchio 3</t>
  </si>
  <si>
    <t>Casa Amarena</t>
  </si>
  <si>
    <t>Localita' Piecollina 15</t>
  </si>
  <si>
    <t>www.casamarena.it</t>
  </si>
  <si>
    <t>casaamarena@libero.it</t>
  </si>
  <si>
    <t>Il Picchio</t>
  </si>
  <si>
    <t>Frazione Pie Casavecchia 13</t>
  </si>
  <si>
    <t>B&amp;B Crazy Horse Di Crocetti Luigi</t>
  </si>
  <si>
    <t>Via Le Rote 6</t>
  </si>
  <si>
    <t>Val Sant'Angelo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</si>
  <si>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</si>
  <si>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</si>
  <si>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</si>
  <si>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</si>
  <si>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</si>
  <si>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</si>
  <si>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</si>
  <si>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</si>
  <si>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B&amp;B La Vecchia Fonte 2</t>
  </si>
  <si>
    <t>Loc. Spinete S.N.C.</t>
  </si>
  <si>
    <t>Loc. Spinete</t>
  </si>
  <si>
    <t>Bar Pizzeria Il Cortile</t>
  </si>
  <si>
    <t>Via Roma 3</t>
  </si>
  <si>
    <t>pontanimarco@alice.it</t>
  </si>
  <si>
    <t>Area Sosta Camper - Pievebovigliana</t>
  </si>
  <si>
    <t>Via Rancia 1</t>
  </si>
  <si>
    <t>comune@pievebovigliana.sinp.net</t>
  </si>
  <si>
    <t>Sapori Di Campagna</t>
  </si>
  <si>
    <t>www.saporidicampagna.it</t>
  </si>
  <si>
    <t>saporidicampagna2003@libero.it</t>
  </si>
  <si>
    <t>Terre Della Sibilla</t>
  </si>
  <si>
    <t>www.agriturismoterredellasibilla.it</t>
  </si>
  <si>
    <t>terredellasibilla@libero.it</t>
  </si>
  <si>
    <t>Il Poggio Delle Armonie</t>
  </si>
  <si>
    <t>Via Pecciane  18</t>
  </si>
  <si>
    <t>www.ilpoggiodellearmonie.it</t>
  </si>
  <si>
    <t>info@ilpoggiodellearmonie.it</t>
  </si>
  <si>
    <t>Degli Alti Pascoli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</si>
  <si>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</si>
  <si>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</si>
  <si>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</si>
  <si>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</si>
  <si>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</si>
  <si>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</si>
  <si>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Perbacco</t>
  </si>
  <si>
    <t>Via Monsignor Luigi Scipioni 7</t>
  </si>
  <si>
    <t>www.perbaccochevacanze.it</t>
  </si>
  <si>
    <t>info@perbaccochevacanze.it</t>
  </si>
  <si>
    <t>Acquanera</t>
  </si>
  <si>
    <t>Localita' Acquanera 1</t>
  </si>
  <si>
    <t>www.acquanera.com</t>
  </si>
  <si>
    <t>info@acquanera.com</t>
  </si>
  <si>
    <t>Country House Il Falco</t>
  </si>
  <si>
    <t>Localita' Finocchieto 204</t>
  </si>
  <si>
    <t>www.ilfalco.eu</t>
  </si>
  <si>
    <t>info@ilfalco.eu</t>
  </si>
  <si>
    <t>Agriturismo La Caprareccia</t>
  </si>
  <si>
    <t>Localita' Gorgo A Cerbara 1</t>
  </si>
  <si>
    <t>www.lacaprareccia.it</t>
  </si>
  <si>
    <t>info@lacaprareccia.it</t>
  </si>
  <si>
    <t>Agriturismo Ca' Licozzo</t>
  </si>
  <si>
    <t>Ca' Licozzo</t>
  </si>
  <si>
    <t>info@agriturismocalicozzo.it</t>
  </si>
  <si>
    <t>Colonia Don Orione</t>
  </si>
  <si>
    <t>Casciaia - Monte Nerone</t>
  </si>
  <si>
    <t>giorgiotasso50@gmail.com</t>
  </si>
  <si>
    <t>Pieve Degli Acinelli</t>
  </si>
  <si>
    <t>Acinelli</t>
  </si>
  <si>
    <t>www.pievedegliacinelli.net</t>
  </si>
  <si>
    <t>info@pievedegliacinelli.net</t>
  </si>
  <si>
    <t>Giovanni Xvii</t>
  </si>
  <si>
    <t>Vocabolo Pianaccio Di Sotto 164</t>
  </si>
  <si>
    <t>giovanni_17@alice.it</t>
  </si>
  <si>
    <t>Via Roma 30</t>
  </si>
  <si>
    <t>lorenzoni.alfredo@libero.it</t>
  </si>
  <si>
    <t>B&amp;B Villa Taddea</t>
  </si>
  <si>
    <t>Localita' Baciardi 1</t>
  </si>
  <si>
    <t>www.vllataddea.com</t>
  </si>
  <si>
    <t>info@villataddea.com</t>
  </si>
  <si>
    <t>Finocchietto</t>
  </si>
  <si>
    <t>Loc. Finocchietto</t>
  </si>
  <si>
    <t>www.caserrantonio-ferri.com</t>
  </si>
  <si>
    <t>info_ferri@libero.it</t>
  </si>
  <si>
    <t>Centro Educazione Ambientale</t>
  </si>
  <si>
    <t>Via Giacomo Matteotti 1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</si>
  <si>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</si>
  <si>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</si>
  <si>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</si>
  <si>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</si>
  <si>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</si>
  <si>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</si>
  <si>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Agriturismo Slowcanda</t>
  </si>
  <si>
    <t>Via Baciardi 12</t>
  </si>
  <si>
    <t>Baciardi</t>
  </si>
  <si>
    <t>www.slowcanda.it</t>
  </si>
  <si>
    <t>slowcanda@tiscali.it</t>
  </si>
  <si>
    <t>Rifugio Escursionistico San Lorenzo</t>
  </si>
  <si>
    <t>Località Bacciardi - San Lorenzo Snc</t>
  </si>
  <si>
    <t>Bacciardi</t>
  </si>
  <si>
    <t>comunanza.rocca.leonella@gmail.com</t>
  </si>
  <si>
    <t>Agriturismo L'Eia Di Caretti</t>
  </si>
  <si>
    <t>Santa Maria In Val D'Abisso  46</t>
  </si>
  <si>
    <t>info@bptecnology.it</t>
  </si>
  <si>
    <t>Agriturismo Cardella</t>
  </si>
  <si>
    <t>Giovanni Xxviii 4</t>
  </si>
  <si>
    <t>Cardella</t>
  </si>
  <si>
    <t>burami.raffaella@gmail.com</t>
  </si>
  <si>
    <t>Zona Parco Acque Minerali</t>
  </si>
  <si>
    <t>www.comune.piobbico.pu.it</t>
  </si>
  <si>
    <t>comune.piobbico@provincia.ps.it</t>
  </si>
  <si>
    <t>Affittacamere Serini Carmela</t>
  </si>
  <si>
    <t>Via M.Armanno, Via C.Augusto 10, 9</t>
  </si>
  <si>
    <t>c.ilari@macerata.confartigianato.it</t>
  </si>
  <si>
    <t>Area Di Sosta Camper - Buchetto</t>
  </si>
  <si>
    <t>Sp 361 - Loc. Pie' Di Gualdo</t>
  </si>
  <si>
    <t>Lancianello - Case Appartamenti Vacanze</t>
  </si>
  <si>
    <t>Via Seppio 7,4</t>
  </si>
  <si>
    <t>Loc. Lancianello</t>
  </si>
  <si>
    <t>www.lancianello.it</t>
  </si>
  <si>
    <t>info@lancianello.it</t>
  </si>
  <si>
    <t>Hotel Victoria</t>
  </si>
  <si>
    <t>Piazza San Vittorino 5</t>
  </si>
  <si>
    <t>Albergo Ristorante Il Giardino</t>
  </si>
  <si>
    <t>Viale Della Vittoria 7</t>
  </si>
  <si>
    <t>http://www.hotel-ilgiardino.com/</t>
  </si>
  <si>
    <t>ilgiardinodipioraco@libero.it</t>
  </si>
  <si>
    <t>B&amp;B Terra Mossa</t>
  </si>
  <si>
    <t>Via Santa Maria Del Monte  8</t>
  </si>
  <si>
    <t>www.bbterramossa.it</t>
  </si>
  <si>
    <t>info@bbterramossa.it</t>
  </si>
  <si>
    <t>B&amp;B La Casetta Del Vecchio Molino</t>
  </si>
  <si>
    <t>Via Costa Del Molino 18</t>
  </si>
  <si>
    <t>www.casettadelvecchiomolino.com</t>
  </si>
  <si>
    <t>gloria.squadroni@virgilio.it</t>
  </si>
  <si>
    <t>Costa Del Molino</t>
  </si>
  <si>
    <t>Coste Del Molino 1/A</t>
  </si>
  <si>
    <t>sistemfe@tin.it</t>
  </si>
  <si>
    <t>B&amp;B Mulino Bianco</t>
  </si>
  <si>
    <t>Via Serronchia 1</t>
  </si>
  <si>
    <t>Serronchia</t>
  </si>
  <si>
    <t>https://www.mulinobianco.nl</t>
  </si>
  <si>
    <t>info@mulinobianco.nl</t>
  </si>
  <si>
    <t>Agriturismo La Morla</t>
  </si>
  <si>
    <t>C.Da La Morla 19/B</t>
  </si>
  <si>
    <t>www.lamorla.it</t>
  </si>
  <si>
    <t>lamorla@hotmail.it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</si>
  <si>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</si>
  <si>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</si>
  <si>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</si>
  <si>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</si>
  <si>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</si>
  <si>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</si>
  <si>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</si>
  <si>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</si>
  <si>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</si>
  <si>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</si>
  <si>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</si>
  <si>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</si>
  <si>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</si>
  <si>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</si>
  <si>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</si>
  <si>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</si>
  <si>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</si>
  <si>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B&amp;B I Cinque Colli</t>
  </si>
  <si>
    <t>Via Settembre 22</t>
  </si>
  <si>
    <t>giacomomau@gmail.com</t>
  </si>
  <si>
    <t>Parco Hotel</t>
  </si>
  <si>
    <t>Viale Dante 41</t>
  </si>
  <si>
    <t>www.gruppogiustozzihotels.it</t>
  </si>
  <si>
    <t>info@parcohotel.it</t>
  </si>
  <si>
    <t>Via Santo Spirito 1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</si>
  <si>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</si>
  <si>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</si>
  <si>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</si>
  <si>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</si>
  <si>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</si>
  <si>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</si>
  <si>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</si>
  <si>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</si>
  <si>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</si>
  <si>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</si>
  <si>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</si>
  <si>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</si>
  <si>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</si>
  <si>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</si>
  <si>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</si>
  <si>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</si>
  <si>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B&amp;B Timeout</t>
  </si>
  <si>
    <t>Via Della Baviera 21</t>
  </si>
  <si>
    <t>www.bbpolverigi.it</t>
  </si>
  <si>
    <t>info@bb-timeout.it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</si>
  <si>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</si>
  <si>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</si>
  <si>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</si>
  <si>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</si>
  <si>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</si>
  <si>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</si>
  <si>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</si>
  <si>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</si>
  <si>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</si>
  <si>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</si>
  <si>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</si>
  <si>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Contrada Capparuccia 34</t>
  </si>
  <si>
    <t>www.ilmelogranoagriturismo.com</t>
  </si>
  <si>
    <t>ilmelograno@hotmail.com</t>
  </si>
  <si>
    <t>L'Oasi Di Pierino</t>
  </si>
  <si>
    <t>Via Molino Nuovo 1</t>
  </si>
  <si>
    <t>loasidipierino@libero.it</t>
  </si>
  <si>
    <t>Contrada Fonte 5</t>
  </si>
  <si>
    <t>www.agrifonte.it</t>
  </si>
  <si>
    <t>agrifonte@agrifonte.it</t>
  </si>
  <si>
    <t>Verde Benessere Villaggio Agrituristico</t>
  </si>
  <si>
    <t>www.verdebenessere.it</t>
  </si>
  <si>
    <t>info@verdebenessere.it</t>
  </si>
  <si>
    <t>Nonno Ferruccio</t>
  </si>
  <si>
    <t>Lieti Colli Bed&amp;Breakfast</t>
  </si>
  <si>
    <t>Via Montarice 49</t>
  </si>
  <si>
    <t>www.lieticolli.com</t>
  </si>
  <si>
    <t>info@lieticolli.com</t>
  </si>
  <si>
    <t>Disco Karting</t>
  </si>
  <si>
    <t>Viale Scarfiotti 1</t>
  </si>
  <si>
    <t>Casa Vacanze Alba Chiara</t>
  </si>
  <si>
    <t>Via Montarice 1</t>
  </si>
  <si>
    <t>esseti-fi@esse-ti.it</t>
  </si>
  <si>
    <t>Residence Villa Claudia</t>
  </si>
  <si>
    <t>Via Scossicci 17</t>
  </si>
  <si>
    <t>info@villa-claudia.com</t>
  </si>
  <si>
    <t>Le Case Sul Mare</t>
  </si>
  <si>
    <t>Viale Scarfiotti 10</t>
  </si>
  <si>
    <t>Butterfly'S House</t>
  </si>
  <si>
    <t>Via Bramante 132</t>
  </si>
  <si>
    <t>Residence Pocket Beach</t>
  </si>
  <si>
    <t>Via Francia 9</t>
  </si>
  <si>
    <t>www.residencepocketbeach.it</t>
  </si>
  <si>
    <t>residencepocketbeach@gmail.com</t>
  </si>
  <si>
    <t>Residence Casale Del Conero</t>
  </si>
  <si>
    <t>Via Scossicci 32</t>
  </si>
  <si>
    <t>www.casaledelconero.it</t>
  </si>
  <si>
    <t>info@casaledelconero.it</t>
  </si>
  <si>
    <t>Bebo'S</t>
  </si>
  <si>
    <t>B&amp;B Soleluna</t>
  </si>
  <si>
    <t>Via Scossicci  64</t>
  </si>
  <si>
    <t>www.bb-soleluna.it</t>
  </si>
  <si>
    <t>B&amp;B Il Glicine</t>
  </si>
  <si>
    <t>Via Pietro Micca 31</t>
  </si>
  <si>
    <t>www.bb-ilglicine.it</t>
  </si>
  <si>
    <t>lanfranco@adriaticagestioni.it</t>
  </si>
  <si>
    <t>Agenzia Immobiliare Pettinari Bruna</t>
  </si>
  <si>
    <t>Via Bramante 65</t>
  </si>
  <si>
    <t>www.immobiliarepettinari.it</t>
  </si>
  <si>
    <t>federica@immobiliarepettinari.it</t>
  </si>
  <si>
    <t>Abramo</t>
  </si>
  <si>
    <t>Via Annibal Caro 80</t>
  </si>
  <si>
    <t>www.abramocamere.it</t>
  </si>
  <si>
    <t>info@abramocamere.it</t>
  </si>
  <si>
    <t>I Sapori Di Un Tempo</t>
  </si>
  <si>
    <t>Via Dell'Industria  36</t>
  </si>
  <si>
    <t>www.isaporidiuntempo.com</t>
  </si>
  <si>
    <t>info@isaporidiuntempo.com</t>
  </si>
  <si>
    <t>B&amp;B Il Girasole Fortunato</t>
  </si>
  <si>
    <t>www.ilgirasolefortunato.com</t>
  </si>
  <si>
    <t>ilgirasolefortunato@libero.it</t>
  </si>
  <si>
    <t>Life Hotel</t>
  </si>
  <si>
    <t>Piazza Delle Vele 22</t>
  </si>
  <si>
    <t>Lungomare</t>
  </si>
  <si>
    <t>www.life-hotel.it</t>
  </si>
  <si>
    <t>info@life-hotel.it</t>
  </si>
  <si>
    <t>B&amp;B Conero Ranch</t>
  </si>
  <si>
    <t>C.Da Scossicci 55</t>
  </si>
  <si>
    <t>www.coneroranch.it</t>
  </si>
  <si>
    <t>info@coneroranch.it</t>
  </si>
  <si>
    <t>bblaterrazza.pr@libero.it</t>
  </si>
  <si>
    <t>Viale Della Repubblica 3</t>
  </si>
  <si>
    <t>www.pinetacamping.it</t>
  </si>
  <si>
    <t>info@pinetacamping.it</t>
  </si>
  <si>
    <t>Residence Hotel Bianchi Vincenzo</t>
  </si>
  <si>
    <t>Via Garibaldi 3</t>
  </si>
  <si>
    <t>www.hotelbianchi.it</t>
  </si>
  <si>
    <t>info@hotelbianchi.com</t>
  </si>
  <si>
    <t>Marino'S Aparthotel</t>
  </si>
  <si>
    <t>P.Zza Delle Vele 14</t>
  </si>
  <si>
    <t>www.aparthotelitaly.com</t>
  </si>
  <si>
    <t>info@aparthotelitaly.com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</si>
  <si>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</si>
  <si>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</si>
  <si>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</si>
  <si>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</si>
  <si>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</si>
  <si>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</si>
  <si>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</si>
  <si>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</si>
  <si>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</si>
  <si>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La Baita</t>
  </si>
  <si>
    <t>Lido Sabbia D'Or</t>
  </si>
  <si>
    <t>Medusa Sabbia D'Or</t>
  </si>
  <si>
    <t>Kiro Kiro Beach</t>
  </si>
  <si>
    <t>Orlando Barabani</t>
  </si>
  <si>
    <t>B&amp;B I Cucali</t>
  </si>
  <si>
    <t>Via Palestro 39 39</t>
  </si>
  <si>
    <t>icucali.it</t>
  </si>
  <si>
    <t>hello@icucali.it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</si>
  <si>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</si>
  <si>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</si>
  <si>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</si>
  <si>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</si>
  <si>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</si>
  <si>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</si>
  <si>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</si>
  <si>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</si>
  <si>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</si>
  <si>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</si>
  <si>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</si>
  <si>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</si>
  <si>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</si>
  <si>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</si>
  <si>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</si>
  <si>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</si>
  <si>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</si>
  <si>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</si>
  <si>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</si>
  <si>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</si>
  <si>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</si>
  <si>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</si>
  <si>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</si>
  <si>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</si>
  <si>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Copacabana</t>
  </si>
  <si>
    <t>Via Pizzetti 10</t>
  </si>
  <si>
    <t>cristianludolini@hotmail.it</t>
  </si>
  <si>
    <t>Blu' Bar</t>
  </si>
  <si>
    <t>Via N. Sauro 29</t>
  </si>
  <si>
    <t>melania.ter@libero.it</t>
  </si>
  <si>
    <t>B&amp;B Un Mare Di Gioia</t>
  </si>
  <si>
    <t>Via Gramsci 75</t>
  </si>
  <si>
    <t>www.unmaredigioia.it</t>
  </si>
  <si>
    <t>sandrapiermarini@alice.it</t>
  </si>
  <si>
    <t>B&amp;B Casale Al Mare</t>
  </si>
  <si>
    <t>Via Pastrengo 59</t>
  </si>
  <si>
    <t>http://casalealmare.oneminutesite.it</t>
  </si>
  <si>
    <t>casalealmare@gmail.com</t>
  </si>
  <si>
    <t>Affittacamere Abele</t>
  </si>
  <si>
    <t>Via Leopardi  84</t>
  </si>
  <si>
    <t>info@abelecamere.it</t>
  </si>
  <si>
    <t>B&amp;B Il Sol Leone</t>
  </si>
  <si>
    <t>Via Degli Orti 35</t>
  </si>
  <si>
    <t>www.leonebbportorecanati.it</t>
  </si>
  <si>
    <t>info@leonebbportorecanati.it</t>
  </si>
  <si>
    <t>Pacific Blue</t>
  </si>
  <si>
    <t>Via De Gasperi 40</t>
  </si>
  <si>
    <t>info@pacificblue.it</t>
  </si>
  <si>
    <t>annarombini@alice.it</t>
  </si>
  <si>
    <t>Il Vascello</t>
  </si>
  <si>
    <t>Viale Della Repubblica 15</t>
  </si>
  <si>
    <t>ilvascello68@hotmail.com</t>
  </si>
  <si>
    <t>Bahari Cafe'</t>
  </si>
  <si>
    <t>Bellamare</t>
  </si>
  <si>
    <t>Via Scarfiotti 13</t>
  </si>
  <si>
    <t>www.bellamare.it</t>
  </si>
  <si>
    <t>info@bellamare.it</t>
  </si>
  <si>
    <t>Viale Delle Nazioni 1</t>
  </si>
  <si>
    <t>Piter</t>
  </si>
  <si>
    <t>Via Pastrengo 46</t>
  </si>
  <si>
    <t>Acapulco</t>
  </si>
  <si>
    <t>Carlo E Domenico</t>
  </si>
  <si>
    <t>Sulla Cresta Dell'Onda</t>
  </si>
  <si>
    <t>Barracuda</t>
  </si>
  <si>
    <t>Scossicci</t>
  </si>
  <si>
    <t>Paola</t>
  </si>
  <si>
    <t>Fiore</t>
  </si>
  <si>
    <t>Giannino</t>
  </si>
  <si>
    <t>Viale Cristoforo Colombo 25</t>
  </si>
  <si>
    <t>www.conerohotel.com</t>
  </si>
  <si>
    <t>Hotel Bianchi Nicola</t>
  </si>
  <si>
    <t>Piazza Fratelli Brancondi 38</t>
  </si>
  <si>
    <t>www.hotelbianchinicola.it</t>
  </si>
  <si>
    <t>info@hotelbianchinicola.it</t>
  </si>
  <si>
    <t>Viale L. Scarfiotti 10-12</t>
  </si>
  <si>
    <t>www.brigantinohotel.it</t>
  </si>
  <si>
    <t>info@brigantinohotel.it</t>
  </si>
  <si>
    <t>Mondial</t>
  </si>
  <si>
    <t>Viale Europa 2</t>
  </si>
  <si>
    <t>www.mondialhotel.com</t>
  </si>
  <si>
    <t>mondial@mondialhotel.com</t>
  </si>
  <si>
    <t>Enzo</t>
  </si>
  <si>
    <t>Corso Matteotti 21</t>
  </si>
  <si>
    <t>www.hotelenzo.it</t>
  </si>
  <si>
    <t>info@hotelenzo.it</t>
  </si>
  <si>
    <t>Via Santa Maria In Potenza 30A</t>
  </si>
  <si>
    <t>www.paradisevacanze.com</t>
  </si>
  <si>
    <t>info@paradisevacanze.com</t>
  </si>
  <si>
    <t>B&amp;B Ottavianelli Carmen</t>
  </si>
  <si>
    <t>Via B. Biagetti 9</t>
  </si>
  <si>
    <t>Collemare Snc Villaggio Dei Tigli</t>
  </si>
  <si>
    <t>Via Montarice 114</t>
  </si>
  <si>
    <t>info@villaggioitigli.it</t>
  </si>
  <si>
    <t>Annito E Figli</t>
  </si>
  <si>
    <t>Adriatico</t>
  </si>
  <si>
    <t>Viale Scarfiotti 3</t>
  </si>
  <si>
    <t>La Rotonda</t>
  </si>
  <si>
    <t>Via Delle Nazioni 27</t>
  </si>
  <si>
    <t>info@chaletlarotonda.it</t>
  </si>
  <si>
    <t>www.chaletlarotonda.it</t>
  </si>
  <si>
    <t>Bagni Panetti</t>
  </si>
  <si>
    <t>Giovanni</t>
  </si>
  <si>
    <t>La Medusa</t>
  </si>
  <si>
    <t>Lungomare Scarifiotti Snc</t>
  </si>
  <si>
    <t>www.campinglamedusa.it</t>
  </si>
  <si>
    <t>info@campinglamedusa.it</t>
  </si>
  <si>
    <t>Regina 2°</t>
  </si>
  <si>
    <t>Contrada Santa Maria In Potenza 30A</t>
  </si>
  <si>
    <t>http://www.paradisevacanze.com</t>
  </si>
  <si>
    <t>Cristina Hipting</t>
  </si>
  <si>
    <t>Via Santa Maria In Potenza 39</t>
  </si>
  <si>
    <t>www.cristinabedbreakfast.com</t>
  </si>
  <si>
    <t>gattoscipione@libero.it</t>
  </si>
  <si>
    <t>Bora Bora Beach</t>
  </si>
  <si>
    <t>Il Pirata</t>
  </si>
  <si>
    <t>Acropoli</t>
  </si>
  <si>
    <t>mmonina@tiscali.it</t>
  </si>
  <si>
    <t>www.acropoli-mb.it</t>
  </si>
  <si>
    <t>Nenetta</t>
  </si>
  <si>
    <t>Amneris</t>
  </si>
  <si>
    <t>Lorenzo</t>
  </si>
  <si>
    <t>lorenzo@portorecanatiblog.it</t>
  </si>
  <si>
    <t>Cayo Coco</t>
  </si>
  <si>
    <t>Lisetta</t>
  </si>
  <si>
    <t>Mille Lire</t>
  </si>
  <si>
    <t>Via Lepanto 48/A 48/A</t>
  </si>
  <si>
    <t>chaletmillelire@gmail.com</t>
  </si>
  <si>
    <t>Marinello</t>
  </si>
  <si>
    <t>La Lancetta</t>
  </si>
  <si>
    <t>Wanda</t>
  </si>
  <si>
    <t>Via Lepanto 1</t>
  </si>
  <si>
    <t>Gioia Di Puglia</t>
  </si>
  <si>
    <t>Floridita</t>
  </si>
  <si>
    <t>Chalet Mauro</t>
  </si>
  <si>
    <t>balneare@alice.it</t>
  </si>
  <si>
    <t>Minonda</t>
  </si>
  <si>
    <t>Via Lungomare Gramsci Sud 1 1</t>
  </si>
  <si>
    <t>minonda@hoteltimone.com</t>
  </si>
  <si>
    <t>Bagni Hotel Lanterna</t>
  </si>
  <si>
    <t>Lungomare Gramsci 1 1</t>
  </si>
  <si>
    <t>info@lanternahotel.it</t>
  </si>
  <si>
    <t>Bagni Florinda</t>
  </si>
  <si>
    <t>giorgio.rogante@alice.it</t>
  </si>
  <si>
    <t>Bagni Vera</t>
  </si>
  <si>
    <t>fra94.dai@hotmail.com</t>
  </si>
  <si>
    <t>Area Sosta Camper La Perla Dell'Adriatico</t>
  </si>
  <si>
    <t>Via San Martino 13</t>
  </si>
  <si>
    <t>www.areaperladelladriatico.it</t>
  </si>
  <si>
    <t>info@areaperladelladriatico.it</t>
  </si>
  <si>
    <t>Santarelli Morena</t>
  </si>
  <si>
    <t>Lungomare Gramsci 12 12</t>
  </si>
  <si>
    <t>B&amp;B Le Terrazze Dei Poeti</t>
  </si>
  <si>
    <t>Via Venezia 16</t>
  </si>
  <si>
    <t>www.leterrazzedeipoeti.com</t>
  </si>
  <si>
    <t>leterrazzedeipoeti@gmail.com</t>
  </si>
  <si>
    <t>Campanelli Bed&amp;Breakfast</t>
  </si>
  <si>
    <t>Via Panfili 166</t>
  </si>
  <si>
    <t>www.ristorantecampanelli.it</t>
  </si>
  <si>
    <t>ristorantecampanelli@virgilio.it</t>
  </si>
  <si>
    <t>B&amp;B Villa Teta</t>
  </si>
  <si>
    <t>Viale Vittoria 201</t>
  </si>
  <si>
    <t>villateta@gmail.com</t>
  </si>
  <si>
    <t>B&amp;B Perfume Do Mar</t>
  </si>
  <si>
    <t>Viale Della Vittoria 214</t>
  </si>
  <si>
    <t>thiagoindiani@hotmail.com</t>
  </si>
  <si>
    <t>Hotel Gabbiano</t>
  </si>
  <si>
    <t>Via Oberdan 4</t>
  </si>
  <si>
    <t>www.hotelgabbiano.net</t>
  </si>
  <si>
    <t>gabbianohotel@virgilio.it</t>
  </si>
  <si>
    <t>Hotel Lanterna</t>
  </si>
  <si>
    <t>Via Xx Settembre 242</t>
  </si>
  <si>
    <t>www.lanternahotel.it</t>
  </si>
  <si>
    <t>Quattro Ruote</t>
  </si>
  <si>
    <t>Via Fratelli Rosselli 173</t>
  </si>
  <si>
    <t>r4ruote@libero.it</t>
  </si>
  <si>
    <t>Matilda</t>
  </si>
  <si>
    <t>Lungomare Gramsci  1 1</t>
  </si>
  <si>
    <t>info@ristorantematilda.com</t>
  </si>
  <si>
    <t>www.matildaristorante.com</t>
  </si>
  <si>
    <t>Piceno</t>
  </si>
  <si>
    <t>Via Sauro 132</t>
  </si>
  <si>
    <t>hotelpiceno@libero.it</t>
  </si>
  <si>
    <t>Riviera</t>
  </si>
  <si>
    <t>Via San Martino 30</t>
  </si>
  <si>
    <t>www.hriviera.net</t>
  </si>
  <si>
    <t>rivierahotel@tin.it</t>
  </si>
  <si>
    <t>La Veranda</t>
  </si>
  <si>
    <t>Via Martiri Di Cefalonia 5</t>
  </si>
  <si>
    <t>Victoria</t>
  </si>
  <si>
    <t>Viale Della Vittoria 240</t>
  </si>
  <si>
    <t>www.hotelvictoria.net</t>
  </si>
  <si>
    <t>info@hotelvictoria.net</t>
  </si>
  <si>
    <t>Hotel Rosa Meuble'</t>
  </si>
  <si>
    <t>Lungomare Gramsci 177</t>
  </si>
  <si>
    <t>http://www.rosameuble.it</t>
  </si>
  <si>
    <t>info@rosameuble.it</t>
  </si>
  <si>
    <t>Albergo La Terrazza</t>
  </si>
  <si>
    <t>www.hotelterrazza.com</t>
  </si>
  <si>
    <t>info@hotelterrazza.com</t>
  </si>
  <si>
    <t>David Palace</t>
  </si>
  <si>
    <t>Lungomare Gramsci Sud, 503  503</t>
  </si>
  <si>
    <t>www.hoteldavidpalace.it</t>
  </si>
  <si>
    <t>info@hoteldavidpalace.it</t>
  </si>
  <si>
    <t>Hotel Il Caminetto</t>
  </si>
  <si>
    <t>Lungomare A. Gramsci 365</t>
  </si>
  <si>
    <t>www.hotelcaminetto.it</t>
  </si>
  <si>
    <t>info@hotelcaminetto.it</t>
  </si>
  <si>
    <t>Vera</t>
  </si>
  <si>
    <t>Via Donizetti 3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</si>
  <si>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</si>
  <si>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</si>
  <si>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</si>
  <si>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</si>
  <si>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</si>
  <si>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</si>
  <si>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</si>
  <si>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</si>
  <si>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</si>
  <si>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</si>
  <si>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</si>
  <si>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</si>
  <si>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</si>
  <si>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</si>
  <si>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</si>
  <si>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</si>
  <si>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</si>
  <si>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</si>
  <si>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</si>
  <si>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</si>
  <si>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</si>
  <si>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</si>
  <si>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</si>
  <si>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</si>
  <si>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</si>
  <si>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</si>
  <si>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</si>
  <si>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</si>
  <si>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</si>
  <si>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Lo Storione</t>
  </si>
  <si>
    <t>B&amp;B Belsit</t>
  </si>
  <si>
    <t>Via Tiziano Vecellio 49</t>
  </si>
  <si>
    <t>www.bedandbreakfastbelsit.it</t>
  </si>
  <si>
    <t>info@bedandbreakfastbelsit.it</t>
  </si>
  <si>
    <t>Chalet 14 B</t>
  </si>
  <si>
    <t>paolettapolidori@libero.it</t>
  </si>
  <si>
    <t>B&amp;B Interno 24</t>
  </si>
  <si>
    <t>Via Rossini 20</t>
  </si>
  <si>
    <t>achristina@libero.it</t>
  </si>
  <si>
    <t>B&amp;B Da Nonna Sole</t>
  </si>
  <si>
    <t>Strada Statale Nord 210 39</t>
  </si>
  <si>
    <t>.</t>
  </si>
  <si>
    <t>tania.ferroni@tiscali.it</t>
  </si>
  <si>
    <t>B&amp;B La Pinetina</t>
  </si>
  <si>
    <t>Via Iv Novembre 8</t>
  </si>
  <si>
    <t>info@bb-lapinetina.it</t>
  </si>
  <si>
    <t>B&amp;B Villa Annabella</t>
  </si>
  <si>
    <t>Via Valle Oscura 35</t>
  </si>
  <si>
    <t>http://villaannabella.weebly.com</t>
  </si>
  <si>
    <t>annabella.info@gmail.com</t>
  </si>
  <si>
    <t>B&amp;B Galletto</t>
  </si>
  <si>
    <t>Via N. Sauro 131</t>
  </si>
  <si>
    <t>bbgalletto@gmail.com</t>
  </si>
  <si>
    <t>Residence Campanelli</t>
  </si>
  <si>
    <t>Via G. Properzi  175</t>
  </si>
  <si>
    <t>Marchelife Di Mazzoni Paolo</t>
  </si>
  <si>
    <t>Valle Oscura  3</t>
  </si>
  <si>
    <t>www.marchelife.it</t>
  </si>
  <si>
    <t>info@marchelife.it</t>
  </si>
  <si>
    <t>Via Kennedy 85</t>
  </si>
  <si>
    <t>www.hoteltimone.com</t>
  </si>
  <si>
    <t>info@hoteltimone.com</t>
  </si>
  <si>
    <t>Via Cesare Battisti 6</t>
  </si>
  <si>
    <t>www.hotel-garden.net</t>
  </si>
  <si>
    <t>info@hotel-garden.net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</si>
  <si>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</si>
  <si>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</si>
  <si>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</si>
  <si>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</si>
  <si>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</si>
  <si>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</si>
  <si>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Da Guido</t>
  </si>
  <si>
    <t>Coculla Beach-Crisanti Stefano</t>
  </si>
  <si>
    <t>crisantistefano@gmail.com</t>
  </si>
  <si>
    <t>Bagni Nicolai</t>
  </si>
  <si>
    <t>Lungomare Gramsci 3 3</t>
  </si>
  <si>
    <t>nicolailuca@inwind.it</t>
  </si>
  <si>
    <t>Chalet Degli Artisti - Poldo &amp; Livia</t>
  </si>
  <si>
    <t>rosalbacarboni64@hotmail.com</t>
  </si>
  <si>
    <t>rosalbacarboni64@hotmail.it</t>
  </si>
  <si>
    <t>Di Sole In Sole</t>
  </si>
  <si>
    <t>emanuele@studiococcioni.it</t>
  </si>
  <si>
    <t>Chalet La Vela</t>
  </si>
  <si>
    <t>Lungomare Gramsci 1</t>
  </si>
  <si>
    <t>rodolfo.ragaglia@fastweb.it</t>
  </si>
  <si>
    <t>Bagni Nerina</t>
  </si>
  <si>
    <t>bagninerina@alice.it</t>
  </si>
  <si>
    <t>Bagni Dardo</t>
  </si>
  <si>
    <t>Bagni Sirena - Di Pettinari Maria</t>
  </si>
  <si>
    <t>Viale Antonio Gramsci 1 1</t>
  </si>
  <si>
    <t>Bagni Sirena - Di Paci Tiziana</t>
  </si>
  <si>
    <t>calypso.alvin@gmail.com</t>
  </si>
  <si>
    <t>Quadrifoglio Beach</t>
  </si>
  <si>
    <t>cescoru@virgilio.it</t>
  </si>
  <si>
    <t>Dolce Vita</t>
  </si>
  <si>
    <t>lucia-moretti@hotmail.it</t>
  </si>
  <si>
    <t>Alba Chiara</t>
  </si>
  <si>
    <t>scoglio1@libero.it</t>
  </si>
  <si>
    <t>Betty Boop</t>
  </si>
  <si>
    <t>Porto San Giorigo</t>
  </si>
  <si>
    <t>Solleone</t>
  </si>
  <si>
    <t>Lungomare Gramsci Centro 1 1</t>
  </si>
  <si>
    <t>Via Misericordia 1</t>
  </si>
  <si>
    <t>www.hotelbellavistapsg.it</t>
  </si>
  <si>
    <t>info@hotelbellavistapsg.it</t>
  </si>
  <si>
    <t>B&amp;B Al Mare Di Stefania D'Angelo</t>
  </si>
  <si>
    <t>Lungomare Gramsci 449</t>
  </si>
  <si>
    <t>Hotel Ristorante Il Caminetto</t>
  </si>
  <si>
    <t>Via Cimarosa 8</t>
  </si>
  <si>
    <t>Tritone</t>
  </si>
  <si>
    <t>Via San Martino 36</t>
  </si>
  <si>
    <t>www.hotel-tritone.it</t>
  </si>
  <si>
    <t>info@hotel-tritone.it</t>
  </si>
  <si>
    <t>Chalet Barracuda</t>
  </si>
  <si>
    <t>chaletbarracuda2@live.com</t>
  </si>
  <si>
    <t>Amorino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</si>
  <si>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</si>
  <si>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</si>
  <si>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</si>
  <si>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</si>
  <si>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</si>
  <si>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</si>
  <si>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</si>
  <si>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</si>
  <si>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</si>
  <si>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</si>
  <si>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</si>
  <si>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</si>
  <si>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</si>
  <si>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</si>
  <si>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</si>
  <si>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</si>
  <si>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</si>
  <si>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</si>
  <si>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</si>
  <si>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info@villaggiolacapannina.it</t>
  </si>
  <si>
    <t>Bagni Hotel Tritone - Zulu'</t>
  </si>
  <si>
    <t>ilbrigantinopsg@alice.it</t>
  </si>
  <si>
    <t>Via San Martino 11</t>
  </si>
  <si>
    <t>www.villaggiolacapannina.it</t>
  </si>
  <si>
    <t>Chalet Lo Storione - Bagni Ginetta</t>
  </si>
  <si>
    <t>lostorione@tin.it</t>
  </si>
  <si>
    <t>Il Cigno</t>
  </si>
  <si>
    <t>chaletilcigno@gmail.com</t>
  </si>
  <si>
    <t>Canto Do Mar Bagni Enzo</t>
  </si>
  <si>
    <t>cantodomarpsg@libero.it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</si>
  <si>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</si>
  <si>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</si>
  <si>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</si>
  <si>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</si>
  <si>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</si>
  <si>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</si>
  <si>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</si>
  <si>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</si>
  <si>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</si>
  <si>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</si>
  <si>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</si>
  <si>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</si>
  <si>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</si>
  <si>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</si>
  <si>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</si>
  <si>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Capitan Harlock</t>
  </si>
  <si>
    <t>Bagni Luisa</t>
  </si>
  <si>
    <t>Cavalluccio Marino</t>
  </si>
  <si>
    <t>mariateresa.silenzi@libero.it</t>
  </si>
  <si>
    <t>Bagni Giuliana</t>
  </si>
  <si>
    <t>elisabettavecchiola@hotmail.it</t>
  </si>
  <si>
    <t>La Conchiglia   Di  Melonari  Giustina</t>
  </si>
  <si>
    <t>Baia Principe</t>
  </si>
  <si>
    <t>beatoulderico@tiscali.it</t>
  </si>
  <si>
    <t>Minu'</t>
  </si>
  <si>
    <t>Via Faleria 34 34</t>
  </si>
  <si>
    <t>Porto Sant' Elpidio</t>
  </si>
  <si>
    <t>Lillananna Bed And Breakfast</t>
  </si>
  <si>
    <t>Via Sibillini 73</t>
  </si>
  <si>
    <t>Cretarola</t>
  </si>
  <si>
    <t>http://www.lillananna.it/</t>
  </si>
  <si>
    <t>staff@lillananna.it</t>
  </si>
  <si>
    <t>B&amp;B Pistolesi Ronny</t>
  </si>
  <si>
    <t>Via Principe Umberto 33</t>
  </si>
  <si>
    <t>ronny.pistolesi@gmail.com</t>
  </si>
  <si>
    <t>Aqua Home Village</t>
  </si>
  <si>
    <t>Via Trieste Snc</t>
  </si>
  <si>
    <t>www.aquahomevillage.it</t>
  </si>
  <si>
    <t>info@aquahomevillage.it</t>
  </si>
  <si>
    <t>B&amp;B La Casa Di Alfredo</t>
  </si>
  <si>
    <t>Strada Provinciale S.Elpidio 30</t>
  </si>
  <si>
    <t>www.lacasadialfredo.it</t>
  </si>
  <si>
    <t>info@lacasadialfredo.it</t>
  </si>
  <si>
    <t>B&amp;B Alba Marina</t>
  </si>
  <si>
    <t>Via Antonio Gramsci 22</t>
  </si>
  <si>
    <t>www.bbalbamarina.it</t>
  </si>
  <si>
    <t>info@bbalbamarina.it</t>
  </si>
  <si>
    <t>Villa Azzurra</t>
  </si>
  <si>
    <t>Strada Provinciale Corvese 21/A</t>
  </si>
  <si>
    <t>Corva</t>
  </si>
  <si>
    <t>azzurramatrini@hotmail.com</t>
  </si>
  <si>
    <t>Margarita Maracchini</t>
  </si>
  <si>
    <t>Frazione Serrabernacchia 5</t>
  </si>
  <si>
    <t>info@casavacanzegenga.it</t>
  </si>
  <si>
    <t>B&amp;B Cocci Oliviero</t>
  </si>
  <si>
    <t>Via Adige 104</t>
  </si>
  <si>
    <t>ollycc@alice.it; cocci@arredafrigor2.it</t>
  </si>
  <si>
    <t>B&amp;B Il Ciliegio</t>
  </si>
  <si>
    <t>Strada Pronvinciale Faleriense 13</t>
  </si>
  <si>
    <t>www.boschettobedandbreakfast.com</t>
  </si>
  <si>
    <t>info@boschettobedandbreakfast.com</t>
  </si>
  <si>
    <t>B&amp;B Il Boschetto</t>
  </si>
  <si>
    <t>Strada Provinciale Faleriense 13</t>
  </si>
  <si>
    <t>http://www.boschettobedandbreakfast.com/</t>
  </si>
  <si>
    <t>B&amp;B Paoetta</t>
  </si>
  <si>
    <t>Via Monte Nerone 1</t>
  </si>
  <si>
    <t>www.bedpaoetta.it</t>
  </si>
  <si>
    <t>bedpao@libero.it</t>
  </si>
  <si>
    <t>B&amp;B Armonia Della Sera</t>
  </si>
  <si>
    <t>Contrada Pescolla 8/A</t>
  </si>
  <si>
    <t>daniela.pier@libero.it</t>
  </si>
  <si>
    <t>Gilda Music Hotel</t>
  </si>
  <si>
    <t>Via Della Cooperazione 4</t>
  </si>
  <si>
    <t>www.gildamusichotel.it</t>
  </si>
  <si>
    <t>info@gildamusichotel.it</t>
  </si>
  <si>
    <t>Settemari</t>
  </si>
  <si>
    <t>B&amp;B Villino Giovanna</t>
  </si>
  <si>
    <t>Trieste 217</t>
  </si>
  <si>
    <t>betty.marcucci@libero.it</t>
  </si>
  <si>
    <t>Frontemare Parking</t>
  </si>
  <si>
    <t>frontemareparkingsrl@gmail.com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</si>
  <si>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</si>
  <si>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</si>
  <si>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</si>
  <si>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</si>
  <si>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</si>
  <si>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</si>
  <si>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</si>
  <si>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Ukysoe</t>
  </si>
  <si>
    <t>Welchome</t>
  </si>
  <si>
    <t>Via Piacenza 64</t>
  </si>
  <si>
    <t>sgat@hotmail.it</t>
  </si>
  <si>
    <t>B&amp;B Lounge</t>
  </si>
  <si>
    <t>Via Cesare Battisti 105</t>
  </si>
  <si>
    <t>Zona Centro</t>
  </si>
  <si>
    <t>www.bblounge.it</t>
  </si>
  <si>
    <t>info@bblounge.it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</si>
  <si>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</si>
  <si>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</si>
  <si>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</si>
  <si>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</si>
  <si>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</si>
  <si>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</si>
  <si>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</si>
  <si>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</si>
  <si>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</si>
  <si>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</si>
  <si>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</si>
  <si>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</si>
  <si>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</si>
  <si>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</si>
  <si>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</si>
  <si>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</si>
  <si>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</si>
  <si>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</si>
  <si>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</si>
  <si>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</si>
  <si>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</si>
  <si>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</si>
  <si>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</si>
  <si>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B&amp;B Il Giglio Verde</t>
  </si>
  <si>
    <t>Via Principe Umberto 24</t>
  </si>
  <si>
    <t>myriampistolesi@libero.it</t>
  </si>
  <si>
    <t>B&amp;B Girovagando</t>
  </si>
  <si>
    <t>Via Dei Tigli 31/A</t>
  </si>
  <si>
    <t>www.bebmarche.it</t>
  </si>
  <si>
    <t>info@bebmarche.it</t>
  </si>
  <si>
    <t>Kooka</t>
  </si>
  <si>
    <t>Via Faleria 1 1</t>
  </si>
  <si>
    <t>info@chaletkooka.it</t>
  </si>
  <si>
    <t>www.chaletkooka.it</t>
  </si>
  <si>
    <t>Feliziani Rebecca</t>
  </si>
  <si>
    <t>Pepenero (Andrea Di Santo)</t>
  </si>
  <si>
    <t>andrea@pepenerovillagebeach.it</t>
  </si>
  <si>
    <t>www.pepenerovillagebeach.it</t>
  </si>
  <si>
    <t>Viale Europa 100 100</t>
  </si>
  <si>
    <t>63821 Porto Sant'Elpidio</t>
  </si>
  <si>
    <t>info@larisacca.it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</si>
  <si>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</si>
  <si>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</si>
  <si>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</si>
  <si>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</si>
  <si>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</si>
  <si>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</si>
  <si>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</si>
  <si>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</si>
  <si>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</si>
  <si>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</si>
  <si>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</si>
  <si>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</si>
  <si>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</si>
  <si>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</si>
  <si>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Hotel Ristorante Il Gambero</t>
  </si>
  <si>
    <t>Via Mazzini 1</t>
  </si>
  <si>
    <t>www.hotelilgambero.it</t>
  </si>
  <si>
    <t>info@hotelilgambero.it</t>
  </si>
  <si>
    <t>Sudomagodo</t>
  </si>
  <si>
    <t>giampaolomontevidoni@alice.it</t>
  </si>
  <si>
    <t>www.sudomagodo.it</t>
  </si>
  <si>
    <t>Touch</t>
  </si>
  <si>
    <t>Sale'</t>
  </si>
  <si>
    <t>Bagni Pazzi</t>
  </si>
  <si>
    <t>Radionave</t>
  </si>
  <si>
    <t>mercurifrancesco@tiscali.it</t>
  </si>
  <si>
    <t>Chalet Da Stefano</t>
  </si>
  <si>
    <t>Luna Rossa Snc</t>
  </si>
  <si>
    <t>Chalet Splash</t>
  </si>
  <si>
    <t>Nero Di Sole</t>
  </si>
  <si>
    <t>Lungomare Mameli 1 1</t>
  </si>
  <si>
    <t>Pepe Nero (Pagliariccio Silvia)</t>
  </si>
  <si>
    <t>La Vaca Paca</t>
  </si>
  <si>
    <t>Caribe Snc</t>
  </si>
  <si>
    <t>Chalet Moyto</t>
  </si>
  <si>
    <t>marcoamadio@libero.it</t>
  </si>
  <si>
    <t>B&amp;B Villa Rosa</t>
  </si>
  <si>
    <t>Strada Pescolla 1</t>
  </si>
  <si>
    <t>giorgio.massetti@fastwebnet.it</t>
  </si>
  <si>
    <t>Sunrise</t>
  </si>
  <si>
    <t>Via Trieste 38 38</t>
  </si>
  <si>
    <t>B&amp;B Onda Blu</t>
  </si>
  <si>
    <t>Via Don Minzoni 45</t>
  </si>
  <si>
    <t>www.bedandbreakfastondablu.it</t>
  </si>
  <si>
    <t>info@bedandbreakfastondablu.it</t>
  </si>
  <si>
    <t>B&amp;B Azzurromare</t>
  </si>
  <si>
    <t>Via Siena 16</t>
  </si>
  <si>
    <t>www.azzurromarerosapriscilla.it</t>
  </si>
  <si>
    <t>alfred5@alice.it</t>
  </si>
  <si>
    <t>B&amp;B Rosa Priscilla</t>
  </si>
  <si>
    <t>Konkoba</t>
  </si>
  <si>
    <t>Le Mimose</t>
  </si>
  <si>
    <t>Via Faleria 7 15</t>
  </si>
  <si>
    <t>info@villaggiolemimose.it</t>
  </si>
  <si>
    <t>www.villaggiolemimose.it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</si>
  <si>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</si>
  <si>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</si>
  <si>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</si>
  <si>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</si>
  <si>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</si>
  <si>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</si>
  <si>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</si>
  <si>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</si>
  <si>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Saxa Beach</t>
  </si>
  <si>
    <t>Viale Trieste 25</t>
  </si>
  <si>
    <t>Lungomare Centro</t>
  </si>
  <si>
    <t>www.promenadehotel.it</t>
  </si>
  <si>
    <t>info@promenadehotel.it</t>
  </si>
  <si>
    <t>Chalet Amici</t>
  </si>
  <si>
    <t>Nazionale Residence</t>
  </si>
  <si>
    <t>Via Camillo Benso Conte Di Cavour 231</t>
  </si>
  <si>
    <t>www.nazionaleresidence.it/residence</t>
  </si>
  <si>
    <t>info@nazionaleresidence.it</t>
  </si>
  <si>
    <t>Chalet Storione</t>
  </si>
  <si>
    <t>Via Faleria 43 43</t>
  </si>
  <si>
    <t>Centro Vacanze La Risacca</t>
  </si>
  <si>
    <t>Via Europa 100</t>
  </si>
  <si>
    <t>www.larisacca.it</t>
  </si>
  <si>
    <t>Playa Dorada</t>
  </si>
  <si>
    <t>Strada Pescolla 35/A</t>
  </si>
  <si>
    <t>ilgiardinodellenoci@libero.it</t>
  </si>
  <si>
    <t>Via Faleria 15</t>
  </si>
  <si>
    <t>L'Edera</t>
  </si>
  <si>
    <t>Via Camillo Benso Conte Di Cavour 185</t>
  </si>
  <si>
    <t>www.bedeandbreakfastedera.com</t>
  </si>
  <si>
    <t>bedandbreakfastedera@virgilio.it</t>
  </si>
  <si>
    <t>Viale Trieste 191</t>
  </si>
  <si>
    <t>Lungomare Nord</t>
  </si>
  <si>
    <t>www.hotelpinetapse.it</t>
  </si>
  <si>
    <t>info@hotelpinetapse.it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</si>
  <si>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</si>
  <si>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</si>
  <si>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</si>
  <si>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</si>
  <si>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</si>
  <si>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</si>
  <si>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</si>
  <si>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</si>
  <si>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</si>
  <si>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</si>
  <si>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</si>
  <si>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</si>
  <si>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</si>
  <si>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</si>
  <si>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</si>
  <si>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</si>
  <si>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</si>
  <si>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Bonifacio Mario</t>
  </si>
  <si>
    <t>Livorno 10</t>
  </si>
  <si>
    <t>Beach Boys</t>
  </si>
  <si>
    <t>rist.beachboys@tiscali.it</t>
  </si>
  <si>
    <t>Porto Potenza Picena</t>
  </si>
  <si>
    <t>robertoruggeri71@alice.it</t>
  </si>
  <si>
    <t>Le Rose E I Bambu</t>
  </si>
  <si>
    <t>C.Da Giardino 1</t>
  </si>
  <si>
    <t>www.lerosebambu.weebly.com</t>
  </si>
  <si>
    <t>info@lerosebambu.com</t>
  </si>
  <si>
    <t>B&amp;B Serena Capecci</t>
  </si>
  <si>
    <t>Via Dante Alighieri 31</t>
  </si>
  <si>
    <t>serenacapecci@hotmail.it</t>
  </si>
  <si>
    <t>Barracuda Beach</t>
  </si>
  <si>
    <t>basquiatsrl@pec.it</t>
  </si>
  <si>
    <t>B&amp;B Due Passi Dal Mare</t>
  </si>
  <si>
    <t>Via Ettore Bocci 61</t>
  </si>
  <si>
    <t>Porto Potenza</t>
  </si>
  <si>
    <t>www.duepassidalmare.eu</t>
  </si>
  <si>
    <t>info@duepassidalmare.eu</t>
  </si>
  <si>
    <t>Casale Torrenova</t>
  </si>
  <si>
    <t>C.Da San Girio  38</t>
  </si>
  <si>
    <t>www.casaletorrenova.it</t>
  </si>
  <si>
    <t>info@casaletorrenova.it</t>
  </si>
  <si>
    <t>Country Resort Pamperduto</t>
  </si>
  <si>
    <t>C.Da Pamperduto 13</t>
  </si>
  <si>
    <t>www.pamperduto.it</t>
  </si>
  <si>
    <t>info@pamperduto.it</t>
  </si>
  <si>
    <t>B&amp;B Sun Shine</t>
  </si>
  <si>
    <t>Via Montecoriolano 12/B</t>
  </si>
  <si>
    <t>www.countryhousesunshine.it</t>
  </si>
  <si>
    <t>countryhousesunshine@gmail.com</t>
  </si>
  <si>
    <t>Hotel Torresi Affittacamere</t>
  </si>
  <si>
    <t>Via Strada Regina 60</t>
  </si>
  <si>
    <t>info@hoteltorresi.it</t>
  </si>
  <si>
    <t>La Scala Di Seta</t>
  </si>
  <si>
    <t>Contrada Molino Vecchio  8</t>
  </si>
  <si>
    <t>www.lascaladiseta.it</t>
  </si>
  <si>
    <t>info@lascaladiseta.it</t>
  </si>
  <si>
    <t>Agriturismo Sogno D' Estate</t>
  </si>
  <si>
    <t>Contrada San Girio  27/A</t>
  </si>
  <si>
    <t>www.sognodestate.com</t>
  </si>
  <si>
    <t>info@sognodestate.com</t>
  </si>
  <si>
    <t>Fiorenza Zacconi</t>
  </si>
  <si>
    <t>Via Dante Alighieri  87</t>
  </si>
  <si>
    <t>zuccaccia.l@libero.it</t>
  </si>
  <si>
    <t>B&amp;B Luna Rossa</t>
  </si>
  <si>
    <t>Via Fioretti 10</t>
  </si>
  <si>
    <t>lunarossa_bb@hotmail.it</t>
  </si>
  <si>
    <t>Corner Garden B&amp;B</t>
  </si>
  <si>
    <t>Contrada Torrenova  36</t>
  </si>
  <si>
    <t>www.cornergarden-bb.com</t>
  </si>
  <si>
    <t>cornergarden@libero.it</t>
  </si>
  <si>
    <t>Il Casale Di Mariu'</t>
  </si>
  <si>
    <t>Via Montecanepino 27</t>
  </si>
  <si>
    <t>info@ilcasaledimariu.it</t>
  </si>
  <si>
    <t>B&amp;B Cipriani Giancarlo</t>
  </si>
  <si>
    <t>Via G.Battista Boni 19</t>
  </si>
  <si>
    <t>info@casacipriani.it</t>
  </si>
  <si>
    <t>Pasquali Enzo</t>
  </si>
  <si>
    <t>Contrada Fosso A Mare 32</t>
  </si>
  <si>
    <t>www.casalepiccoloparadiso.it</t>
  </si>
  <si>
    <t>info@casalepiccoloparadiso.it</t>
  </si>
  <si>
    <t>Giannini Enzo</t>
  </si>
  <si>
    <t>Garibaldi 29</t>
  </si>
  <si>
    <t>Marinelli Marcella App.To Piano 1°</t>
  </si>
  <si>
    <t>Lettina Pamela</t>
  </si>
  <si>
    <t>Iv Novembre 9</t>
  </si>
  <si>
    <t>casastelladimare15@gmail.com</t>
  </si>
  <si>
    <t>Cognini Amalia</t>
  </si>
  <si>
    <t>Via Del Castello 11</t>
  </si>
  <si>
    <t>Hotel Gallo</t>
  </si>
  <si>
    <t>Piazzale Stazione 13/14</t>
  </si>
  <si>
    <t>cabesasrl@gmail.com</t>
  </si>
  <si>
    <t>La Casa Di Cecilia</t>
  </si>
  <si>
    <t>Contrada Torrenova Snc</t>
  </si>
  <si>
    <t>bbcasacecilia@libero.it</t>
  </si>
  <si>
    <t>La Casa Sul Tetto</t>
  </si>
  <si>
    <t>Via Galiziano 3</t>
  </si>
  <si>
    <t>fabioaviano76@gmail.com</t>
  </si>
  <si>
    <t>Mancini Maria Grazia</t>
  </si>
  <si>
    <t>Antinogene Maria Grazia</t>
  </si>
  <si>
    <t>Via Buozzi 4</t>
  </si>
  <si>
    <t>Savoretti Adriana</t>
  </si>
  <si>
    <t>Via Aprutina 129</t>
  </si>
  <si>
    <t>Fagioli Armida App.To Via Rossini</t>
  </si>
  <si>
    <t>Via Rossini 5</t>
  </si>
  <si>
    <t>Fagioli Armida App.To Via Beethoven</t>
  </si>
  <si>
    <t>Via Beethoven 52</t>
  </si>
  <si>
    <t>Manzi Concetta</t>
  </si>
  <si>
    <t>Via Gramsci 6</t>
  </si>
  <si>
    <t>Mercuri Rosanna</t>
  </si>
  <si>
    <t>Via Lazio 14</t>
  </si>
  <si>
    <t>Carassai Giancarlo</t>
  </si>
  <si>
    <t>Piazza Doumet 33</t>
  </si>
  <si>
    <t>Turchi Dino</t>
  </si>
  <si>
    <t>Via Marco Polo  5</t>
  </si>
  <si>
    <t>Ominetti Roberto</t>
  </si>
  <si>
    <t>Via Alvata 192</t>
  </si>
  <si>
    <t>roberto.ominetti@gmail.com</t>
  </si>
  <si>
    <t>B&amp;B Antigua</t>
  </si>
  <si>
    <t>Via Pietro Nenni 22</t>
  </si>
  <si>
    <t>www.antigua-doge.it</t>
  </si>
  <si>
    <t>info@antigua-doge.it</t>
  </si>
  <si>
    <t>Bartolini Maria</t>
  </si>
  <si>
    <t>Via Dante Alighieri 37</t>
  </si>
  <si>
    <t>Paniconi Pierluigi</t>
  </si>
  <si>
    <t>Montecanepino 147</t>
  </si>
  <si>
    <t>raffaela.parrucchieria@alice.it</t>
  </si>
  <si>
    <t>Paccaloni Giovanni</t>
  </si>
  <si>
    <t>Via Vittorio Alfieri 5</t>
  </si>
  <si>
    <t>Il Casale Srls</t>
  </si>
  <si>
    <t>Mezzasoma Rita</t>
  </si>
  <si>
    <t>Amendola 12/A</t>
  </si>
  <si>
    <t>B&amp;B Vento Dell'Est</t>
  </si>
  <si>
    <t>C.Da Montecanepino 59</t>
  </si>
  <si>
    <t>www.ventodellest.com</t>
  </si>
  <si>
    <t>marvin.em@libero.it</t>
  </si>
  <si>
    <t>Rossi Ilaria</t>
  </si>
  <si>
    <t>Gramsci 70/72</t>
  </si>
  <si>
    <t>Natalini Dina</t>
  </si>
  <si>
    <t>Garibaldi 28</t>
  </si>
  <si>
    <t>Re Vincenzo</t>
  </si>
  <si>
    <t>Piacenza 47</t>
  </si>
  <si>
    <t>Ciccarelli Luigi</t>
  </si>
  <si>
    <t>Duca Degli Abruzzi 115</t>
  </si>
  <si>
    <t>Palmieri Manila</t>
  </si>
  <si>
    <t>Antonelli E Tebaldi 46</t>
  </si>
  <si>
    <t>Foglia Lida</t>
  </si>
  <si>
    <t>Duca Degli Abruzzi 104</t>
  </si>
  <si>
    <t>Gandolfi Carlo</t>
  </si>
  <si>
    <t>Aprutina 139</t>
  </si>
  <si>
    <t>Alfredo Boccaccini</t>
  </si>
  <si>
    <t>Contrada Tergi 56</t>
  </si>
  <si>
    <t>Brunati Aurelio</t>
  </si>
  <si>
    <t>Via G. B. Pergolesi 22</t>
  </si>
  <si>
    <t>Natalini Roberta</t>
  </si>
  <si>
    <t>Via Rossini 91</t>
  </si>
  <si>
    <t>Mobili Alice</t>
  </si>
  <si>
    <t>Via Alvata 55</t>
  </si>
  <si>
    <t>Giustini Loredana</t>
  </si>
  <si>
    <t>Via E. Bocci 21</t>
  </si>
  <si>
    <t>Barbaccia Franca</t>
  </si>
  <si>
    <t>Viale Piemonte 13</t>
  </si>
  <si>
    <t>Marinelli Marcella App.To Piano 2°</t>
  </si>
  <si>
    <t>Via Dante Alighieri 57</t>
  </si>
  <si>
    <t>Il Contadino E Il Mare</t>
  </si>
  <si>
    <t>Contrada San Girio 65 Bis</t>
  </si>
  <si>
    <t>info@ilcontadinoeilmare.com</t>
  </si>
  <si>
    <t>La Contrada Del Raglio</t>
  </si>
  <si>
    <t>Contrada Altavilla 2</t>
  </si>
  <si>
    <t>www.contradadelraglio.it</t>
  </si>
  <si>
    <t>info@contradadelraglio.it</t>
  </si>
  <si>
    <t>B&amp;B Torretta Bonaparte</t>
  </si>
  <si>
    <t>Contrada San Girio 11</t>
  </si>
  <si>
    <t>www.torrettabonaparte.com</t>
  </si>
  <si>
    <t>torrettabonaparte@libero.it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</si>
  <si>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</si>
  <si>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</si>
  <si>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</si>
  <si>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</si>
  <si>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</si>
  <si>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</si>
  <si>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</si>
  <si>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</si>
  <si>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</si>
  <si>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</si>
  <si>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</si>
  <si>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</si>
  <si>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</si>
  <si>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</si>
  <si>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</si>
  <si>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</si>
  <si>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</si>
  <si>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</si>
  <si>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ancora_2009@libero.it</t>
  </si>
  <si>
    <t>Giamirma</t>
  </si>
  <si>
    <t>Giri Beach</t>
  </si>
  <si>
    <t>b.giri@alice.it</t>
  </si>
  <si>
    <t>Playa Bocachica</t>
  </si>
  <si>
    <t>Blu Di Lollo</t>
  </si>
  <si>
    <t>B&amp;B L'Orto Marino</t>
  </si>
  <si>
    <t>Contrada Alvata 24</t>
  </si>
  <si>
    <t>www.pettorossi.it/ortomarino/</t>
  </si>
  <si>
    <t>ortomarino@gmail.com</t>
  </si>
  <si>
    <t>Le Castella</t>
  </si>
  <si>
    <t>Contrada Castelletta 25</t>
  </si>
  <si>
    <t>www.agriturismolecastella.it</t>
  </si>
  <si>
    <t>info@agriturismolecastella.it</t>
  </si>
  <si>
    <t>Via Gioacchino Rossini 86</t>
  </si>
  <si>
    <t>www.hotellaterrazza.com</t>
  </si>
  <si>
    <t>info@hotellaterrazza.com</t>
  </si>
  <si>
    <t>Regina</t>
  </si>
  <si>
    <t>www.campingregina.it</t>
  </si>
  <si>
    <t>info@campingregina.it</t>
  </si>
  <si>
    <t>Stork</t>
  </si>
  <si>
    <t>albergostork@libero.it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</si>
  <si>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</si>
  <si>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</si>
  <si>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</si>
  <si>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</si>
  <si>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</si>
  <si>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</si>
  <si>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</si>
  <si>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</si>
  <si>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</si>
  <si>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</si>
  <si>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</si>
  <si>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</si>
  <si>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</si>
  <si>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</si>
  <si>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</si>
  <si>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</si>
  <si>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</si>
  <si>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</si>
  <si>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</si>
  <si>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</si>
  <si>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</si>
  <si>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</si>
  <si>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</si>
  <si>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</si>
  <si>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</si>
  <si>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</si>
  <si>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</si>
  <si>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</si>
  <si>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</si>
  <si>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</si>
  <si>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</si>
  <si>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</si>
  <si>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</si>
  <si>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</si>
  <si>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</si>
  <si>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</si>
  <si>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</si>
  <si>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</si>
  <si>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</si>
  <si>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</si>
  <si>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</si>
  <si>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</si>
  <si>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</si>
  <si>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</si>
  <si>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</si>
  <si>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</si>
  <si>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Locanda Del Tavolo Matto</t>
  </si>
  <si>
    <t>Contrada Torrenova 35</t>
  </si>
  <si>
    <t>www.tavolomatto.it</t>
  </si>
  <si>
    <t>tavolomatto@alice.it</t>
  </si>
  <si>
    <t>Via Dante Alighieri 131</t>
  </si>
  <si>
    <t>lido.hotel@tiscali.it</t>
  </si>
  <si>
    <t>B&amp;B Ippocastano</t>
  </si>
  <si>
    <t>Viale Europa 84</t>
  </si>
  <si>
    <t>Il Molino S.R.L</t>
  </si>
  <si>
    <t>Contrada Tenna 22</t>
  </si>
  <si>
    <t>www.ilvecchiomolino.it</t>
  </si>
  <si>
    <t>info@ilvecchiomolino.it</t>
  </si>
  <si>
    <t>Agriturismo La Perla</t>
  </si>
  <si>
    <t>C.Da Logognano 13</t>
  </si>
  <si>
    <t>www.agriturismo-laperla.it</t>
  </si>
  <si>
    <t>info@agriturismo-laperla.it</t>
  </si>
  <si>
    <t>La Casa Nel Vicolo</t>
  </si>
  <si>
    <t>Vicolo Jacometti 20</t>
  </si>
  <si>
    <t>mich.vitali@tiscali.it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</si>
  <si>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</si>
  <si>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</si>
  <si>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</si>
  <si>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</si>
  <si>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</si>
  <si>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</si>
  <si>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</si>
  <si>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</si>
  <si>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</si>
  <si>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</si>
  <si>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</si>
  <si>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</si>
  <si>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</si>
  <si>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</si>
  <si>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Alla Luna</t>
  </si>
  <si>
    <t>C.Da Musone 23</t>
  </si>
  <si>
    <t>bballaluna.com</t>
  </si>
  <si>
    <t>toccaceli15@alice.it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</si>
  <si>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</si>
  <si>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</si>
  <si>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</si>
  <si>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</si>
  <si>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</si>
  <si>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</si>
  <si>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</si>
  <si>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</si>
  <si>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</si>
  <si>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</si>
  <si>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</si>
  <si>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</si>
  <si>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</si>
  <si>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</si>
  <si>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</si>
  <si>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</si>
  <si>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</si>
  <si>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B&amp;B Antica Campagna</t>
  </si>
  <si>
    <t>C.Da San Francesco 16</t>
  </si>
  <si>
    <t>www.anticacampagna.it</t>
  </si>
  <si>
    <t>info@anticacampagna.it</t>
  </si>
  <si>
    <t>Agriturismo Bassari'</t>
  </si>
  <si>
    <t>C.Da Santa  Croce 6/7</t>
  </si>
  <si>
    <t>www.bassari.it</t>
  </si>
  <si>
    <t>info@bassari.it</t>
  </si>
  <si>
    <t>Campus L'Infinito</t>
  </si>
  <si>
    <t>http://www.campusinfinito.it</t>
  </si>
  <si>
    <t>info@campusinfinito.it</t>
  </si>
  <si>
    <t>Agriturismo Al Crepuscolo</t>
  </si>
  <si>
    <t>Frazione Montefiore 55</t>
  </si>
  <si>
    <t>www.alcrepuscolo.it</t>
  </si>
  <si>
    <t>info@alcrepuscolo.it</t>
  </si>
  <si>
    <t>W.W.F.  Italia</t>
  </si>
  <si>
    <t>Via Campo Dei Fiori 5</t>
  </si>
  <si>
    <t>cea.recanati@libero.it</t>
  </si>
  <si>
    <t>B&amp;B Palazzo Dalla Casapiccola</t>
  </si>
  <si>
    <t>Piazzale Gioberti 2</t>
  </si>
  <si>
    <t>www.palazzodallacasapiccola.it</t>
  </si>
  <si>
    <t>am.palaz@palazzodallacasapiccola.it</t>
  </si>
  <si>
    <t>Erbaiuola B&amp;B Di Gibellini Franca</t>
  </si>
  <si>
    <t>Contrada Castelnuovo 61</t>
  </si>
  <si>
    <t>www.erbaiuola.it</t>
  </si>
  <si>
    <t>info@erbaiuola.it</t>
  </si>
  <si>
    <t>Beatrice Berto</t>
  </si>
  <si>
    <t>Via Cirfoglio 9</t>
  </si>
  <si>
    <t>digilander.libero.it/beatriceberto/</t>
  </si>
  <si>
    <t>beatriceberto@libero.it</t>
  </si>
  <si>
    <t>B&amp;B Millefiori</t>
  </si>
  <si>
    <t>Via N.Biagiola 4</t>
  </si>
  <si>
    <t>http://millefiori-recanati.blogspot.com/</t>
  </si>
  <si>
    <t>millefiorirecanati@email.it</t>
  </si>
  <si>
    <t>Albergo Ristorante Passero Solitario</t>
  </si>
  <si>
    <t>Via Gherarducci 6</t>
  </si>
  <si>
    <t>passero.solitario@yahoo.it</t>
  </si>
  <si>
    <t>Tonino</t>
  </si>
  <si>
    <t>Via Ceccaroni 1</t>
  </si>
  <si>
    <t>www.albergotonino.it</t>
  </si>
  <si>
    <t>info@albergotonino.it</t>
  </si>
  <si>
    <t>B&amp;B Villa Scuderi</t>
  </si>
  <si>
    <t>Via Saletta 39</t>
  </si>
  <si>
    <t>edoardoscuderi-volvo@libero.it</t>
  </si>
  <si>
    <t>Hotel Softwood Infinito</t>
  </si>
  <si>
    <t>Via Capodaglio 8</t>
  </si>
  <si>
    <t>Zona Ind.Le Squartabue</t>
  </si>
  <si>
    <t>hotel_softwood_infinito@alice.it</t>
  </si>
  <si>
    <t>Via Calcagni 2</t>
  </si>
  <si>
    <t>www.hotelginestra.it</t>
  </si>
  <si>
    <t>info@hotelginestra.it</t>
  </si>
  <si>
    <t>Gallery Hotel Recanati</t>
  </si>
  <si>
    <t>Via Falleroni 85</t>
  </si>
  <si>
    <t>www.ghr.it</t>
  </si>
  <si>
    <t>info@ghr.it</t>
  </si>
  <si>
    <t>Il Giardino Dei Sapori</t>
  </si>
  <si>
    <t>Contrada Saletta 28</t>
  </si>
  <si>
    <t>www.ilgiardinodeisapori.net</t>
  </si>
  <si>
    <t>giardinodeisapori@tiscali.it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</si>
  <si>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</si>
  <si>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</si>
  <si>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</si>
  <si>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</si>
  <si>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</si>
  <si>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</si>
  <si>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</si>
  <si>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</si>
  <si>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</si>
  <si>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</si>
  <si>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</si>
  <si>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</si>
  <si>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</si>
  <si>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</si>
  <si>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</si>
  <si>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</si>
  <si>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</si>
  <si>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</si>
  <si>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</si>
  <si>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</si>
  <si>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</si>
  <si>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</si>
  <si>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</si>
  <si>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</si>
  <si>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</si>
  <si>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</si>
  <si>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</si>
  <si>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</si>
  <si>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Le Meraviglie Country-Houses</t>
  </si>
  <si>
    <t>Contrada Santa Croce 55</t>
  </si>
  <si>
    <t>www.countryhouselemeraviglie.it</t>
  </si>
  <si>
    <t>lemeraviglie2006@libero.it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</si>
  <si>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</si>
  <si>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</si>
  <si>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</si>
  <si>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</si>
  <si>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</si>
  <si>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</si>
  <si>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</si>
  <si>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</si>
  <si>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</si>
  <si>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</si>
  <si>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</si>
  <si>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Villa Chatoe'</t>
  </si>
  <si>
    <t>Contrada Colle S. Andrea 6</t>
  </si>
  <si>
    <t>www.villachatoe.com</t>
  </si>
  <si>
    <t>info@villachatoe.com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</si>
  <si>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</si>
  <si>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</si>
  <si>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</si>
  <si>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</si>
  <si>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</si>
  <si>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</si>
  <si>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</si>
  <si>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</si>
  <si>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</si>
  <si>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</si>
  <si>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</si>
  <si>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</si>
  <si>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</si>
  <si>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La Casa Nel Bosco App.To</t>
  </si>
  <si>
    <t>Contrada Ciapella 13</t>
  </si>
  <si>
    <t>Hotel Il Piceno</t>
  </si>
  <si>
    <t>Via Leopardi  12</t>
  </si>
  <si>
    <t>www.ilpiceno.eu</t>
  </si>
  <si>
    <t>info@hotelpiceno.eu</t>
  </si>
  <si>
    <t>B&amp;B L'Artista Di Moscardelli Patrizio</t>
  </si>
  <si>
    <t>Contrada Colle Di Vecchio 5</t>
  </si>
  <si>
    <t>www.artistabb.com</t>
  </si>
  <si>
    <t>artistabb@gmail.com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</si>
  <si>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</si>
  <si>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</si>
  <si>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</si>
  <si>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</si>
  <si>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</si>
  <si>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</si>
  <si>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</si>
  <si>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</si>
  <si>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Il Tuo Corbezzolo</t>
  </si>
  <si>
    <t>Via Sant'Egidio 25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</si>
  <si>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</si>
  <si>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</si>
  <si>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</si>
  <si>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</si>
  <si>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</si>
  <si>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</si>
  <si>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</si>
  <si>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</si>
  <si>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La Contrada</t>
  </si>
  <si>
    <t>Contrada Magazzini 9</t>
  </si>
  <si>
    <t>www.lacontrada.com</t>
  </si>
  <si>
    <t>info@lacontrada.com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</si>
  <si>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</si>
  <si>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</si>
  <si>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</si>
  <si>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</si>
  <si>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</si>
  <si>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</si>
  <si>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</si>
  <si>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</si>
  <si>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</si>
  <si>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</si>
  <si>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</si>
  <si>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</si>
  <si>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</si>
  <si>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</si>
  <si>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</si>
  <si>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Agriturismo Relais Del Colle</t>
  </si>
  <si>
    <t>Contrada San Gregorio 16</t>
  </si>
  <si>
    <t>www.relaisdelcolle.it</t>
  </si>
  <si>
    <t>info@relaisdelcolle.it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</si>
  <si>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</si>
  <si>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</si>
  <si>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</si>
  <si>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</si>
  <si>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</si>
  <si>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</si>
  <si>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La Torre Del Gallo</t>
  </si>
  <si>
    <t>C.Da Sant' Egidio 1</t>
  </si>
  <si>
    <t>www.torredelgallo.it</t>
  </si>
  <si>
    <t>info@torredelgallo.it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</si>
  <si>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</si>
  <si>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</si>
  <si>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</si>
  <si>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</si>
  <si>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</si>
  <si>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</si>
  <si>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</si>
  <si>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</si>
  <si>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</si>
  <si>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</si>
  <si>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</si>
  <si>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</si>
  <si>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</si>
  <si>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</si>
  <si>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</si>
  <si>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</si>
  <si>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</si>
  <si>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</si>
  <si>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</si>
  <si>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</si>
  <si>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</si>
  <si>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</si>
  <si>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</si>
  <si>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</si>
  <si>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</si>
  <si>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</si>
  <si>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</si>
  <si>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</si>
  <si>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</si>
  <si>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</si>
  <si>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</si>
  <si>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</si>
  <si>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</si>
  <si>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</si>
  <si>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</si>
  <si>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</si>
  <si>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</si>
  <si>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Monte Guscio</t>
  </si>
  <si>
    <t>cazippi@it</t>
  </si>
  <si>
    <t>Residenza Del Borgo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</si>
  <si>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</si>
  <si>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</si>
  <si>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</si>
  <si>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</si>
  <si>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</si>
  <si>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</si>
  <si>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</si>
  <si>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</si>
  <si>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</si>
  <si>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</si>
  <si>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B&amp;B La Spasella</t>
  </si>
  <si>
    <t>Sp 89 70</t>
  </si>
  <si>
    <t>Ponte Paoletti Strada Provinciale Sp89</t>
  </si>
  <si>
    <t>vinicioferracuti@libero.it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</si>
  <si>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</si>
  <si>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</si>
  <si>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</si>
  <si>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</si>
  <si>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</si>
  <si>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</si>
  <si>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</si>
  <si>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</si>
  <si>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</si>
  <si>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</si>
  <si>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</si>
  <si>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</si>
  <si>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</si>
  <si>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</si>
  <si>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</si>
  <si>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</si>
  <si>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</si>
  <si>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</si>
  <si>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</si>
  <si>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</si>
  <si>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</si>
  <si>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</si>
  <si>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</si>
  <si>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</si>
  <si>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</si>
  <si>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</si>
  <si>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</si>
  <si>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</si>
  <si>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</si>
  <si>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</si>
  <si>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</si>
  <si>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</si>
  <si>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</si>
  <si>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</si>
  <si>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</si>
  <si>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</si>
  <si>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</si>
  <si>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</si>
  <si>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</si>
  <si>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</si>
  <si>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</si>
  <si>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</si>
  <si>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</si>
  <si>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Il Rifugio Dei Marsi</t>
  </si>
  <si>
    <t>Frazione Caserine 8</t>
  </si>
  <si>
    <t>www.bedandbreakfastascolipiceno.eu</t>
  </si>
  <si>
    <t>info@ilrifugiodeimarsi.it</t>
  </si>
  <si>
    <t>Il Virginia</t>
  </si>
  <si>
    <t>Via Picena Superiore 25</t>
  </si>
  <si>
    <t>Al Massimo Country House</t>
  </si>
  <si>
    <t>Contrada Santa Maria 23</t>
  </si>
  <si>
    <t>almassimo@email.it</t>
  </si>
  <si>
    <t>B&amp;B Casa Delle Noci</t>
  </si>
  <si>
    <t>C.Da Santa Maria 9</t>
  </si>
  <si>
    <t>Rosora . C.Da  Santa Maria</t>
  </si>
  <si>
    <t>www.casadellenoci.it</t>
  </si>
  <si>
    <t>casa.noci@gmail.com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</si>
  <si>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</si>
  <si>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</si>
  <si>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</si>
  <si>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</si>
  <si>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</si>
  <si>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</si>
  <si>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</si>
  <si>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</si>
  <si>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</si>
  <si>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</si>
  <si>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</si>
  <si>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</si>
  <si>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</si>
  <si>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</si>
  <si>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</si>
  <si>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</si>
  <si>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</si>
  <si>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</si>
  <si>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</si>
  <si>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</si>
  <si>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</si>
  <si>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</si>
  <si>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</si>
  <si>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</si>
  <si>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</si>
  <si>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</si>
  <si>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</si>
  <si>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</si>
  <si>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Poggio Verde</t>
  </si>
  <si>
    <t>C.Da Colle 25</t>
  </si>
  <si>
    <t>mara.clementi@gmail.com</t>
  </si>
  <si>
    <t>Via Umberto I 1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</si>
  <si>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</si>
  <si>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</si>
  <si>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</si>
  <si>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</si>
  <si>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</si>
  <si>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</si>
  <si>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</si>
  <si>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</si>
  <si>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</si>
  <si>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</si>
  <si>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</si>
  <si>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</si>
  <si>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</si>
  <si>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</si>
  <si>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</si>
  <si>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Istituto Suore Discepole Di Gesu' Eucaristico</t>
  </si>
  <si>
    <t>Via San Francesco 8</t>
  </si>
  <si>
    <t>sdgesanfrancesco@libero.it</t>
  </si>
  <si>
    <t>Casa Borgaccio</t>
  </si>
  <si>
    <t>Via Buonarotti 11/C</t>
  </si>
  <si>
    <t>Borgaccio Di Saltara</t>
  </si>
  <si>
    <t>www.casaborgaccio.it</t>
  </si>
  <si>
    <t>info@casaborgaccio.it</t>
  </si>
  <si>
    <t>Via Buonarotti 11/B</t>
  </si>
  <si>
    <t>B&amp;B Antico Ulivo</t>
  </si>
  <si>
    <t>Via Cesare Pavese 1</t>
  </si>
  <si>
    <t>Calcinelli</t>
  </si>
  <si>
    <t>www.anticoulivo.com</t>
  </si>
  <si>
    <t>anticoulivo@libero.it</t>
  </si>
  <si>
    <t>Villa Romana</t>
  </si>
  <si>
    <t>Via Gambarelli 1</t>
  </si>
  <si>
    <t>www.agriturismovillaromana.it</t>
  </si>
  <si>
    <t>vr@agriturismovillaromana.it</t>
  </si>
  <si>
    <t>Borgaccio Di Saltara Via Buonarotti 13</t>
  </si>
  <si>
    <t>Borgaccio Di Saltra</t>
  </si>
  <si>
    <t>casaborgaccio@gmail.com</t>
  </si>
  <si>
    <t>Metauro</t>
  </si>
  <si>
    <t>Via Flaminia 278</t>
  </si>
  <si>
    <t>Calcinelli Di Saltara</t>
  </si>
  <si>
    <t>www.albergometauro.com</t>
  </si>
  <si>
    <t>info@albergometauro.com</t>
  </si>
  <si>
    <t>Locanda Del Borgo</t>
  </si>
  <si>
    <t>www.villasanmartino-countryhouse.it</t>
  </si>
  <si>
    <t>info@villasanmartino-countryhouse.it</t>
  </si>
  <si>
    <t>Good Truck La Sosta</t>
  </si>
  <si>
    <t>Contrada San Giovanni 1</t>
  </si>
  <si>
    <t>www.lasostaspa.it</t>
  </si>
  <si>
    <t>info@truckone.org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</si>
  <si>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</si>
  <si>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</si>
  <si>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</si>
  <si>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</si>
  <si>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</si>
  <si>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</si>
  <si>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</si>
  <si>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</si>
  <si>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</si>
  <si>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</si>
  <si>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</si>
  <si>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</si>
  <si>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</si>
  <si>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</si>
  <si>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</si>
  <si>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</si>
  <si>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</si>
  <si>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</si>
  <si>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</si>
  <si>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</si>
  <si>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</si>
  <si>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</si>
  <si>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</si>
  <si>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</si>
  <si>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</si>
  <si>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</si>
  <si>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</si>
  <si>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Lungomare Marconi 1 1</t>
  </si>
  <si>
    <t>Bagni Nik</t>
  </si>
  <si>
    <t>chaletnik@libero.it</t>
  </si>
  <si>
    <t>Pinguino</t>
  </si>
  <si>
    <t>Viale Rinascimento 6 6</t>
  </si>
  <si>
    <t>addolorata.bizzarri@alice.it</t>
  </si>
  <si>
    <t>Bagni Camiscioni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</si>
  <si>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</si>
  <si>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</si>
  <si>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</si>
  <si>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</si>
  <si>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</si>
  <si>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</si>
  <si>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</si>
  <si>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</si>
  <si>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</si>
  <si>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Porto D' Ascoli</t>
  </si>
  <si>
    <t>hotelfausto@aliceposta.it</t>
  </si>
  <si>
    <t>Chalet Degli Angeli</t>
  </si>
  <si>
    <t>Via San Giacomo 51 51</t>
  </si>
  <si>
    <t>Porto D'Ascoli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</si>
  <si>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</si>
  <si>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</si>
  <si>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</si>
  <si>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</si>
  <si>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</si>
  <si>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</si>
  <si>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</si>
  <si>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Bagni 007</t>
  </si>
  <si>
    <t>Ciao !!!!</t>
  </si>
  <si>
    <t>info@residencedolcemare.it</t>
  </si>
  <si>
    <t>Spiaggia 75</t>
  </si>
  <si>
    <t>Bossanova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</si>
  <si>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</si>
  <si>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</si>
  <si>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</si>
  <si>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</si>
  <si>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</si>
  <si>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</si>
  <si>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</si>
  <si>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</si>
  <si>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</si>
  <si>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</si>
  <si>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</si>
  <si>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</si>
  <si>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</si>
  <si>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</si>
  <si>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</si>
  <si>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</si>
  <si>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</si>
  <si>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</si>
  <si>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</si>
  <si>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</si>
  <si>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</si>
  <si>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</si>
  <si>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</si>
  <si>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</si>
  <si>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</si>
  <si>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</si>
  <si>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Via Domenico Cimarosa 5</t>
  </si>
  <si>
    <t>www.residenceoltremare.com</t>
  </si>
  <si>
    <t>info@residencemediterraneo.it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</si>
  <si>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</si>
  <si>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</si>
  <si>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</si>
  <si>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</si>
  <si>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</si>
  <si>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</si>
  <si>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</si>
  <si>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</si>
  <si>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</si>
  <si>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</si>
  <si>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</si>
  <si>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</si>
  <si>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</si>
  <si>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</si>
  <si>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</si>
  <si>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</si>
  <si>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</si>
  <si>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</si>
  <si>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</si>
  <si>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</si>
  <si>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</si>
  <si>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</si>
  <si>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</si>
  <si>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</si>
  <si>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</si>
  <si>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</si>
  <si>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</si>
  <si>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</si>
  <si>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www.lapacehotel.it</t>
  </si>
  <si>
    <t>info@lapacehotel.it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</si>
  <si>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</si>
  <si>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</si>
  <si>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</si>
  <si>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</si>
  <si>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</si>
  <si>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</si>
  <si>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</si>
  <si>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</si>
  <si>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</si>
  <si>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</si>
  <si>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</si>
  <si>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</si>
  <si>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Viale A. Scipioni 15 15</t>
  </si>
  <si>
    <t>Bagni Residence Cristallo</t>
  </si>
  <si>
    <t>Via San Giacomo 20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</si>
  <si>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</si>
  <si>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</si>
  <si>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</si>
  <si>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</si>
  <si>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</si>
  <si>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</si>
  <si>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</si>
  <si>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</si>
  <si>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</si>
  <si>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</si>
  <si>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</si>
  <si>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</si>
  <si>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</si>
  <si>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</si>
  <si>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</si>
  <si>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</si>
  <si>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</si>
  <si>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</si>
  <si>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</si>
  <si>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</si>
  <si>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</si>
  <si>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</si>
  <si>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</si>
  <si>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</si>
  <si>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</si>
  <si>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</si>
  <si>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</si>
  <si>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</si>
  <si>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</si>
  <si>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</si>
  <si>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</si>
  <si>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</si>
  <si>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</si>
  <si>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</si>
  <si>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</si>
  <si>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</si>
  <si>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</si>
  <si>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</si>
  <si>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</si>
  <si>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</si>
  <si>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</si>
  <si>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</si>
  <si>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</si>
  <si>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</si>
  <si>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</si>
  <si>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</si>
  <si>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</si>
  <si>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</si>
  <si>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</si>
  <si>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</si>
  <si>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</si>
  <si>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</si>
  <si>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</si>
  <si>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</si>
  <si>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</si>
  <si>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info@hotelhauscharlotte.it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</si>
  <si>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</si>
  <si>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</si>
  <si>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</si>
  <si>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</si>
  <si>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</si>
  <si>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</si>
  <si>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</si>
  <si>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</si>
  <si>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</si>
  <si>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</si>
  <si>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</si>
  <si>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</si>
  <si>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</si>
  <si>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</si>
  <si>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Brezza Marina</t>
  </si>
  <si>
    <t>Via Pio Ix 10</t>
  </si>
  <si>
    <t>Riviera Delle Palme</t>
  </si>
  <si>
    <t>www.brezzamarinabb.com</t>
  </si>
  <si>
    <t>ferrara.adele70@libero.it</t>
  </si>
  <si>
    <t>Smeraldo Suites &amp; Spa</t>
  </si>
  <si>
    <t>Viale Rinascimento 141</t>
  </si>
  <si>
    <t>www.smeraldosuitehotel.com</t>
  </si>
  <si>
    <t>info@smeraldosuitehotel.com</t>
  </si>
  <si>
    <t>Bed And Breakfast Vittorio Emanuele</t>
  </si>
  <si>
    <t>Via Luciano Manara 10</t>
  </si>
  <si>
    <t>bbvittorioemanuele@hotmail.it</t>
  </si>
  <si>
    <t>Acquamarina</t>
  </si>
  <si>
    <t>Via C. Maffei 68</t>
  </si>
  <si>
    <t>www.residenceacquamarina.com</t>
  </si>
  <si>
    <t>info@appartamentiacquamarina.it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</si>
  <si>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</si>
  <si>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</si>
  <si>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</si>
  <si>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</si>
  <si>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</si>
  <si>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Incanto Sotto Il Mare</t>
  </si>
  <si>
    <t>Via Faustina Maratta 1</t>
  </si>
  <si>
    <t>www.incantosottoilmare.it</t>
  </si>
  <si>
    <t>info@incantosottoilmare.it</t>
  </si>
  <si>
    <t>Santroni Emidio App.To</t>
  </si>
  <si>
    <t>kellysbtappartamento@gmail.com</t>
  </si>
  <si>
    <t>Hotel Arlecchino</t>
  </si>
  <si>
    <t>Viale Trieste 22</t>
  </si>
  <si>
    <t>www.hotelarlecchino.it</t>
  </si>
  <si>
    <t>info@hotelarlecchino.it</t>
  </si>
  <si>
    <t>Bagni Hotel Olimpo</t>
  </si>
  <si>
    <t>Viale Europa 78 78</t>
  </si>
  <si>
    <t>Villa Corallo</t>
  </si>
  <si>
    <t>Viale Europa 50</t>
  </si>
  <si>
    <t>www.hotelvillacorallo.com</t>
  </si>
  <si>
    <t>info@hotelvillacorallo.com</t>
  </si>
  <si>
    <t>Viale Europa 102</t>
  </si>
  <si>
    <t>www.hotelsolarium.it</t>
  </si>
  <si>
    <t>info@hotelsolarium.it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</si>
  <si>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</si>
  <si>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</si>
  <si>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</si>
  <si>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</si>
  <si>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</si>
  <si>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</si>
  <si>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</si>
  <si>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</si>
  <si>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</si>
  <si>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</si>
  <si>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</si>
  <si>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</si>
  <si>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</si>
  <si>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</si>
  <si>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</si>
  <si>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</si>
  <si>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</si>
  <si>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</si>
  <si>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</si>
  <si>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</si>
  <si>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</si>
  <si>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</si>
  <si>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</si>
  <si>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</si>
  <si>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</si>
  <si>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</si>
  <si>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www.ildiamantevacanze.it</t>
  </si>
  <si>
    <t>info@ildiamantevacanze.it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</si>
  <si>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</si>
  <si>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</si>
  <si>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</si>
  <si>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</si>
  <si>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</si>
  <si>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</si>
  <si>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info@hotelimperial.it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</si>
  <si>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</si>
  <si>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</si>
  <si>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</si>
  <si>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</si>
  <si>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</si>
  <si>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</si>
  <si>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</si>
  <si>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</si>
  <si>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</si>
  <si>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</si>
  <si>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</si>
  <si>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</si>
  <si>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</si>
  <si>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</si>
  <si>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</si>
  <si>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</si>
  <si>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www.residencemediterraneo.it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</si>
  <si>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</si>
  <si>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</si>
  <si>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</si>
  <si>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</si>
  <si>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</si>
  <si>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</si>
  <si>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</si>
  <si>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</si>
  <si>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</si>
  <si>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</si>
  <si>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</si>
  <si>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</si>
  <si>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</si>
  <si>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</si>
  <si>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</si>
  <si>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</si>
  <si>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</si>
  <si>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</si>
  <si>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</si>
  <si>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</si>
  <si>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</si>
  <si>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</si>
  <si>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</si>
  <si>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</si>
  <si>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</si>
  <si>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 Nicolo' Paganini 23</t>
  </si>
  <si>
    <t>www.hsporting.com</t>
  </si>
  <si>
    <t>info@hsporting.com</t>
  </si>
  <si>
    <t>Bagni Marconi</t>
  </si>
  <si>
    <t>Viale Europa 21 21</t>
  </si>
  <si>
    <t>marconi@hotel-marconi.it</t>
  </si>
  <si>
    <t>www.hotel-marconi.it</t>
  </si>
  <si>
    <t>Bagni Oltremare</t>
  </si>
  <si>
    <t>Lungomare Rinascimento 18 18</t>
  </si>
  <si>
    <t>Bagni Persico</t>
  </si>
  <si>
    <t>Viale Rinascimento 5 5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</si>
  <si>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</si>
  <si>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</si>
  <si>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</si>
  <si>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</si>
  <si>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</si>
  <si>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</si>
  <si>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</si>
  <si>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</si>
  <si>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</si>
  <si>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</si>
  <si>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</si>
  <si>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</si>
  <si>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</si>
  <si>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</si>
  <si>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</si>
  <si>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</si>
  <si>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</si>
  <si>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</si>
  <si>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</si>
  <si>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</si>
  <si>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</si>
  <si>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</si>
  <si>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</si>
  <si>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</si>
  <si>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</si>
  <si>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</si>
  <si>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</si>
  <si>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</si>
  <si>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</si>
  <si>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</si>
  <si>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Lungomare Marconi 41 41</t>
  </si>
  <si>
    <t>piersac@alice.it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</si>
  <si>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</si>
  <si>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</si>
  <si>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</si>
  <si>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</si>
  <si>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</si>
  <si>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</si>
  <si>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B&amp;B Renalba</t>
  </si>
  <si>
    <t>Contrada  Santa Lucia Alta 48</t>
  </si>
  <si>
    <t>www.renalba.it</t>
  </si>
  <si>
    <t>info@renalba.it</t>
  </si>
  <si>
    <t>B&amp;B La Canoa</t>
  </si>
  <si>
    <t>Via Guglielmo Oberdan 38</t>
  </si>
  <si>
    <t>www.bblacanoa.com</t>
  </si>
  <si>
    <t>violinoo@gmail.com</t>
  </si>
  <si>
    <t>Mavip Residence</t>
  </si>
  <si>
    <t>Via Sgambati 8</t>
  </si>
  <si>
    <t>www.mavipresidence.it</t>
  </si>
  <si>
    <t>info@mavip.it</t>
  </si>
  <si>
    <t>B&amp;B Adriatico</t>
  </si>
  <si>
    <t>Largo E. Fileni 13</t>
  </si>
  <si>
    <t>bbadriatico.altervista.org</t>
  </si>
  <si>
    <t>tatianacharnina@libero.it</t>
  </si>
  <si>
    <t>B&amp;B Happy Family</t>
  </si>
  <si>
    <t>Via Monte San Michele 30</t>
  </si>
  <si>
    <t>happyfamily.italy@gmail.com</t>
  </si>
  <si>
    <t>B&amp;B La Torretta Bianca</t>
  </si>
  <si>
    <t>Via Col Di Tenda 60</t>
  </si>
  <si>
    <t>www.bebtorre.com</t>
  </si>
  <si>
    <t>tchristel@bebtorre.com; info@bebtorre.com</t>
  </si>
  <si>
    <t>Seven Rooms</t>
  </si>
  <si>
    <t>Via Legnago 52</t>
  </si>
  <si>
    <t>www.7rooms.it</t>
  </si>
  <si>
    <t>info@7rooms.it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</si>
  <si>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</si>
  <si>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</si>
  <si>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</si>
  <si>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</si>
  <si>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</si>
  <si>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</si>
  <si>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</si>
  <si>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</si>
  <si>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</si>
  <si>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</si>
  <si>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</si>
  <si>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</si>
  <si>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</si>
  <si>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</si>
  <si>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</si>
  <si>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</si>
  <si>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</si>
  <si>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</si>
  <si>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</si>
  <si>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</si>
  <si>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</si>
  <si>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</si>
  <si>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</si>
  <si>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</si>
  <si>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</si>
  <si>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</si>
  <si>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</si>
  <si>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</si>
  <si>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</si>
  <si>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</si>
  <si>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</si>
  <si>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</si>
  <si>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</si>
  <si>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</si>
  <si>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</si>
  <si>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</si>
  <si>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</si>
  <si>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</si>
  <si>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</si>
  <si>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</si>
  <si>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</si>
  <si>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</si>
  <si>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</si>
  <si>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</si>
  <si>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</si>
  <si>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</si>
  <si>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</si>
  <si>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</si>
  <si>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</si>
  <si>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</si>
  <si>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</si>
  <si>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</si>
  <si>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</si>
  <si>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</si>
  <si>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</si>
  <si>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</si>
  <si>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</si>
  <si>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</si>
  <si>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</si>
  <si>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</si>
  <si>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</si>
  <si>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</si>
  <si>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</si>
  <si>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</si>
  <si>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</si>
  <si>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</si>
  <si>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</si>
  <si>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</si>
  <si>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</si>
  <si>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</si>
  <si>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</si>
  <si>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</si>
  <si>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</si>
  <si>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</si>
  <si>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</si>
  <si>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</si>
  <si>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</si>
  <si>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</si>
  <si>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B&amp;B Casa Felicia</t>
  </si>
  <si>
    <t>Conquiste 54 54/A</t>
  </si>
  <si>
    <t>San Benedetto Del Tronto I-63074 Ap</t>
  </si>
  <si>
    <t>Residence Mentana</t>
  </si>
  <si>
    <t>Via Mentana 30</t>
  </si>
  <si>
    <t>residencementanasbt@libero.it</t>
  </si>
  <si>
    <t>B&amp;B Palme In Riviera</t>
  </si>
  <si>
    <t>Via S. Formentini 74</t>
  </si>
  <si>
    <t>Bed And Breakfast San Benedetto Del Tronto</t>
  </si>
  <si>
    <t>Via Monte Verde 2</t>
  </si>
  <si>
    <t>bebsanbenedettodeltronto@gmail.com</t>
  </si>
  <si>
    <t>B&amp;B Il Pozzo (Lu Pòzze)</t>
  </si>
  <si>
    <t>Via Tronto 21/B</t>
  </si>
  <si>
    <t>santangelo.annalisa@gmail.com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</si>
  <si>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</si>
  <si>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</si>
  <si>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</si>
  <si>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</si>
  <si>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</si>
  <si>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</si>
  <si>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</si>
  <si>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Soraya</t>
  </si>
  <si>
    <t>Viale Rinascimento 31 31</t>
  </si>
  <si>
    <t>info@albergosoraya.it</t>
  </si>
  <si>
    <t>www.albergosoraya.it</t>
  </si>
  <si>
    <t>B&amp;B Il Faro</t>
  </si>
  <si>
    <t>Via Del Correggio, 27 27</t>
  </si>
  <si>
    <t>www.bbilfaro.net</t>
  </si>
  <si>
    <t>bebilfaro@gmail.com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</si>
  <si>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</si>
  <si>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</si>
  <si>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</si>
  <si>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</si>
  <si>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</si>
  <si>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</si>
  <si>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</si>
  <si>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</si>
  <si>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Il Diamante</t>
  </si>
  <si>
    <t>Via San Giacomo 5 5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</si>
  <si>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</si>
  <si>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</si>
  <si>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</si>
  <si>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</si>
  <si>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</si>
  <si>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</si>
  <si>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</si>
  <si>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</si>
  <si>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</si>
  <si>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</si>
  <si>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</si>
  <si>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</si>
  <si>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</si>
  <si>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</si>
  <si>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</si>
  <si>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</si>
  <si>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</si>
  <si>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</si>
  <si>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</si>
  <si>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</si>
  <si>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</si>
  <si>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</si>
  <si>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</si>
  <si>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</si>
  <si>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</si>
  <si>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</si>
  <si>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</si>
  <si>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</si>
  <si>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</si>
  <si>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</si>
  <si>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</si>
  <si>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</si>
  <si>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</si>
  <si>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Sabbia</t>
  </si>
  <si>
    <t>B&amp;B Sunbeach</t>
  </si>
  <si>
    <t>Via Sardegna 1/C</t>
  </si>
  <si>
    <t>http://bbsunbeach.it</t>
  </si>
  <si>
    <t>lusantori@gmail.com</t>
  </si>
  <si>
    <t>Viale Trieste 7 7</t>
  </si>
  <si>
    <t>Il Pescatore</t>
  </si>
  <si>
    <t>Viale Trieste 27 27</t>
  </si>
  <si>
    <t>info@ilpescatore.info</t>
  </si>
  <si>
    <t>www.ilpescatore.info</t>
  </si>
  <si>
    <t>B&amp;B Casa D'Amare</t>
  </si>
  <si>
    <t>Viale De Gasperi 46</t>
  </si>
  <si>
    <t>www.casadamarebb.com</t>
  </si>
  <si>
    <t>postmaster@casadamarebb.com</t>
  </si>
  <si>
    <t>Trattoria Del Mare</t>
  </si>
  <si>
    <t>Via Dei Laureati 4</t>
  </si>
  <si>
    <t>marisaruggieri@gmail.com</t>
  </si>
  <si>
    <t>Le 3 Caravelle</t>
  </si>
  <si>
    <t>B&amp;B Villa Cri Cri</t>
  </si>
  <si>
    <t>C.Da Santa Lucia 15</t>
  </si>
  <si>
    <t>info@villacricri.it</t>
  </si>
  <si>
    <t>B&amp;B Occhi Di Mare</t>
  </si>
  <si>
    <t>Via Nicola Copernico 34</t>
  </si>
  <si>
    <t>bbocchidimare@gmail.com</t>
  </si>
  <si>
    <t>B&amp;B Fuori Rotta</t>
  </si>
  <si>
    <t>Via Calatafimi 16</t>
  </si>
  <si>
    <t>www.bbfuorirotta.it</t>
  </si>
  <si>
    <t>carlo.chiaromonte@tin.it</t>
  </si>
  <si>
    <t>Residence Elisa</t>
  </si>
  <si>
    <t>Viale Europa 72/74</t>
  </si>
  <si>
    <t>www.residenceelisa.it</t>
  </si>
  <si>
    <t>info@residenceelisa.it</t>
  </si>
  <si>
    <t>B&amp;B Dreamtime</t>
  </si>
  <si>
    <t>Via Dei Laureati 86</t>
  </si>
  <si>
    <t>www.dreamtimebb.com</t>
  </si>
  <si>
    <t>info@dreamtimebb.com</t>
  </si>
  <si>
    <t>B&amp;B La Villetta</t>
  </si>
  <si>
    <t>Via Del Caravaggio 13</t>
  </si>
  <si>
    <t>www.bblavillettasbt.it</t>
  </si>
  <si>
    <t>bb.lavilletta@yahoo.it</t>
  </si>
  <si>
    <t>B&amp;B Idiana</t>
  </si>
  <si>
    <t>Via S. Voltattorni 3</t>
  </si>
  <si>
    <t>bbidiana.weebly.com</t>
  </si>
  <si>
    <t>bbidiana@libero.it</t>
  </si>
  <si>
    <t>B&amp;B Zia Elvira</t>
  </si>
  <si>
    <t>Largo Esperanto 5</t>
  </si>
  <si>
    <t>www.ziaelvira.it</t>
  </si>
  <si>
    <t>info@ziaelvira.it</t>
  </si>
  <si>
    <t>Piazza Del Redentore 1</t>
  </si>
  <si>
    <t>www.bblerondini.com</t>
  </si>
  <si>
    <t>bblerondini@gmail.com</t>
  </si>
  <si>
    <t>Residence Settebello Di Angellotti Leopoldo</t>
  </si>
  <si>
    <t>Via Dei Mille 21/23</t>
  </si>
  <si>
    <t>www.residencesettebello.it</t>
  </si>
  <si>
    <t>info@residencesettebello.it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</si>
  <si>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</si>
  <si>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</si>
  <si>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</si>
  <si>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</si>
  <si>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</si>
  <si>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</si>
  <si>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</si>
  <si>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</si>
  <si>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</si>
  <si>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</si>
  <si>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</si>
  <si>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</si>
  <si>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</si>
  <si>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</si>
  <si>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</si>
  <si>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</si>
  <si>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</si>
  <si>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</si>
  <si>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</si>
  <si>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</si>
  <si>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</si>
  <si>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</si>
  <si>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Americo Village</t>
  </si>
  <si>
    <t>Viale Rinascimento 16 16</t>
  </si>
  <si>
    <t>info@americovillage.com</t>
  </si>
  <si>
    <t>Bagni Excelsior</t>
  </si>
  <si>
    <t>Persico</t>
  </si>
  <si>
    <t>V.Le Rinascimento 5</t>
  </si>
  <si>
    <t>www.hotelpersico.com</t>
  </si>
  <si>
    <t>info@hotelpersico.com</t>
  </si>
  <si>
    <t>Quadrifoglio</t>
  </si>
  <si>
    <t>Via Pasubio 160</t>
  </si>
  <si>
    <t>quadrifoglio@fata.it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</si>
  <si>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</si>
  <si>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</si>
  <si>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</si>
  <si>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</si>
  <si>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</si>
  <si>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</si>
  <si>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</si>
  <si>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</si>
  <si>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</si>
  <si>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Bologna</t>
  </si>
  <si>
    <t>Via Cicerone 12</t>
  </si>
  <si>
    <t>www.hotelbolognapinko.it</t>
  </si>
  <si>
    <t>info@hotelbolognapinko.it</t>
  </si>
  <si>
    <t>B&amp;B Da Nonna Teresa</t>
  </si>
  <si>
    <t>C.So G.Mazzini 170</t>
  </si>
  <si>
    <t>danonnateresa@aol.fr</t>
  </si>
  <si>
    <t>Albergo-Ristorante Desiree</t>
  </si>
  <si>
    <t>Via Alessandro Volta 125</t>
  </si>
  <si>
    <t>www.hoteldesireesbt.it</t>
  </si>
  <si>
    <t>info@hoteldesireesbt.it</t>
  </si>
  <si>
    <t>Tamanaco</t>
  </si>
  <si>
    <t>Viale Rinascimento 105</t>
  </si>
  <si>
    <t>info@tamanacohotel.it</t>
  </si>
  <si>
    <t>Gioia</t>
  </si>
  <si>
    <t>Via Alessandro Volta 168</t>
  </si>
  <si>
    <t>www.hotelgioia.org</t>
  </si>
  <si>
    <t>hotelgioia@libero.it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</si>
  <si>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</si>
  <si>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</si>
  <si>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</si>
  <si>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</si>
  <si>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</si>
  <si>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</si>
  <si>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</si>
  <si>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</si>
  <si>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</si>
  <si>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</si>
  <si>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</si>
  <si>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</si>
  <si>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</si>
  <si>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</si>
  <si>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</si>
  <si>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</si>
  <si>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</si>
  <si>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</si>
  <si>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</si>
  <si>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</si>
  <si>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</si>
  <si>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</si>
  <si>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</si>
  <si>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Haiti</t>
  </si>
  <si>
    <t>Viale Europa 68</t>
  </si>
  <si>
    <t>www.haiti.it</t>
  </si>
  <si>
    <t>info@haiti.it</t>
  </si>
  <si>
    <t>Via San Giacomo 37</t>
  </si>
  <si>
    <t>Via San Giacomo 25</t>
  </si>
  <si>
    <t>webmail@hotelsunrise.it</t>
  </si>
  <si>
    <t>Sayonara</t>
  </si>
  <si>
    <t>Rinascimento 121 121</t>
  </si>
  <si>
    <t>www.hotelsayonara.it</t>
  </si>
  <si>
    <t>info@hotelsayonara.it</t>
  </si>
  <si>
    <t>Campanelli Tiziano</t>
  </si>
  <si>
    <t>Via Torino  13</t>
  </si>
  <si>
    <t>Bertolotti Liliana</t>
  </si>
  <si>
    <t>Via Del Sangallo 4</t>
  </si>
  <si>
    <t>B&amp;B Santa Lucia</t>
  </si>
  <si>
    <t>Via Santa Lucia  6</t>
  </si>
  <si>
    <t>www.bbsantaluciasbt.com</t>
  </si>
  <si>
    <t>bbsantaluciasbt@gmail.com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</si>
  <si>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</si>
  <si>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</si>
  <si>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</si>
  <si>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</si>
  <si>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</si>
  <si>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</si>
  <si>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</si>
  <si>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</si>
  <si>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Albergo Soraya</t>
  </si>
  <si>
    <t>Viale Rinascimento 31</t>
  </si>
  <si>
    <t>Residence Michelangelo</t>
  </si>
  <si>
    <t>Viale Rinascimento  27</t>
  </si>
  <si>
    <t>www.residencemichelangelo.it</t>
  </si>
  <si>
    <t>info@residencemichelangelo.it</t>
  </si>
  <si>
    <t>Parco</t>
  </si>
  <si>
    <t>Via Virgilio 2</t>
  </si>
  <si>
    <t>www.hparco.it</t>
  </si>
  <si>
    <t>info@hparco.it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</si>
  <si>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</si>
  <si>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</si>
  <si>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</si>
  <si>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</si>
  <si>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</si>
  <si>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</si>
  <si>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</si>
  <si>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</si>
  <si>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</si>
  <si>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</si>
  <si>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</si>
  <si>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</si>
  <si>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</si>
  <si>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</si>
  <si>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</si>
  <si>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Olimpo</t>
  </si>
  <si>
    <t>Viale Europa 78</t>
  </si>
  <si>
    <t>www.hotelolimpo.com</t>
  </si>
  <si>
    <t>info@hotelolimpo.com</t>
  </si>
  <si>
    <t>B&amp;Belvedere</t>
  </si>
  <si>
    <t>Via Belvedere 11</t>
  </si>
  <si>
    <t>www.bandbelvedere.eu</t>
  </si>
  <si>
    <t>bandbelvedere@libero.it</t>
  </si>
  <si>
    <t>Rina</t>
  </si>
  <si>
    <t>Via Tacito 20</t>
  </si>
  <si>
    <t>hotelpensionerina.it</t>
  </si>
  <si>
    <t>hotelrina@virgilio.it</t>
  </si>
  <si>
    <t>Hotel Madison</t>
  </si>
  <si>
    <t>www.hotelmadison.it</t>
  </si>
  <si>
    <t>info@hotelmadison.it</t>
  </si>
  <si>
    <t>Dream Fish</t>
  </si>
  <si>
    <t>Via G. Spontini 1</t>
  </si>
  <si>
    <t>bbdreamfish.com</t>
  </si>
  <si>
    <t>eleanora.colagiacomi@gmail.com</t>
  </si>
  <si>
    <t>Capolli Giampietro - App.To Via Fanfulla</t>
  </si>
  <si>
    <t>Via Fanfulla Da Lodi 21</t>
  </si>
  <si>
    <t>hferrara@katamail.com</t>
  </si>
  <si>
    <t>La Barchetta</t>
  </si>
  <si>
    <t>Via Monfalcone 23</t>
  </si>
  <si>
    <t>labarchettasbt@gmail.com</t>
  </si>
  <si>
    <t>B&amp;B Arcobaleno</t>
  </si>
  <si>
    <t>Via Due Giugno 9</t>
  </si>
  <si>
    <t>federica.perozzi@gmail.com</t>
  </si>
  <si>
    <t>Via G. Voltattorni 128</t>
  </si>
  <si>
    <t>lumarinelli@virgilio.it</t>
  </si>
  <si>
    <t>B&amp;B Albatros</t>
  </si>
  <si>
    <t>Via Todaro 18 18</t>
  </si>
  <si>
    <t>frisoli.ernesto@gmail.com</t>
  </si>
  <si>
    <t>Largo Fileni 7</t>
  </si>
  <si>
    <t>Largo Elio Fileni 7</t>
  </si>
  <si>
    <t>mariapiamascioli@gmail.com</t>
  </si>
  <si>
    <t>Hotel Il Maestrale</t>
  </si>
  <si>
    <t>Via Fosse Ardeatine 12</t>
  </si>
  <si>
    <t>www.hotelmaestrale.it</t>
  </si>
  <si>
    <t>info@maestralehotel.it</t>
  </si>
  <si>
    <t>Mario Al Borgo "Lu Medeche Piccione" Guest House</t>
  </si>
  <si>
    <t>Via Labirinto 11</t>
  </si>
  <si>
    <t>www.marioalborgo.it</t>
  </si>
  <si>
    <t>piccionigraziano@libero.it</t>
  </si>
  <si>
    <t>Hostal Al Porto</t>
  </si>
  <si>
    <t>Via Cristoforo Colombo 109</t>
  </si>
  <si>
    <t>hostalalporto@gmail.com</t>
  </si>
  <si>
    <t>Panella Gianluca</t>
  </si>
  <si>
    <t>Via Gaspare Spontini 3</t>
  </si>
  <si>
    <t>San Benedetto Deltronto</t>
  </si>
  <si>
    <t>irenepazzaglia@studiodps.it</t>
  </si>
  <si>
    <t>Trevisani Giuseppe</t>
  </si>
  <si>
    <t>Via R. Zandonai 6</t>
  </si>
  <si>
    <t>studio@patriziapalestini.it</t>
  </si>
  <si>
    <t>Capolli Giampietro - App.To Via Fosse Ardeatine</t>
  </si>
  <si>
    <t>Via Fosse Ardeatine 8</t>
  </si>
  <si>
    <t>B&amp;B Dolce Buongiorno</t>
  </si>
  <si>
    <t>Via S. Formentini 89</t>
  </si>
  <si>
    <t>giovannimenzietti@libero.it</t>
  </si>
  <si>
    <t>Tiziana</t>
  </si>
  <si>
    <t>Via Piemonte 107</t>
  </si>
  <si>
    <t>B&amp;B San Benedetto</t>
  </si>
  <si>
    <t>m.luisaurbani@gmail.com</t>
  </si>
  <si>
    <t>B&amp;B La Marina</t>
  </si>
  <si>
    <t>Via Pascoli 14/A</t>
  </si>
  <si>
    <t>bblamarina@gmail.com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</si>
  <si>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</si>
  <si>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</si>
  <si>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</si>
  <si>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</si>
  <si>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</si>
  <si>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</si>
  <si>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</si>
  <si>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</si>
  <si>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</si>
  <si>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</si>
  <si>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</si>
  <si>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</si>
  <si>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</si>
  <si>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</si>
  <si>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</si>
  <si>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</si>
  <si>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Casa Mia Di Attrice Andrea</t>
  </si>
  <si>
    <t>Via Fusinato 25</t>
  </si>
  <si>
    <t>info@casamiabb.it</t>
  </si>
  <si>
    <t>Turismo Rurale La Panoramica</t>
  </si>
  <si>
    <t>Via Panoramica 20</t>
  </si>
  <si>
    <t>www.la-panoramica.it</t>
  </si>
  <si>
    <t>info@la-panoramica.it</t>
  </si>
  <si>
    <t>Sole &amp; Sale</t>
  </si>
  <si>
    <t>Via L. Luciani 46/B</t>
  </si>
  <si>
    <t>solesalesbt@gmail.com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</si>
  <si>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</si>
  <si>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</si>
  <si>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</si>
  <si>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</si>
  <si>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</si>
  <si>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</si>
  <si>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</si>
  <si>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</si>
  <si>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</si>
  <si>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</si>
  <si>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</si>
  <si>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</si>
  <si>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</si>
  <si>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</si>
  <si>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</si>
  <si>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</si>
  <si>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</si>
  <si>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</si>
  <si>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</si>
  <si>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Erika</t>
  </si>
  <si>
    <t>Via A.Murri 15/A</t>
  </si>
  <si>
    <t>bberika_sbt@outlook.it</t>
  </si>
  <si>
    <t>Acquapazza Room</t>
  </si>
  <si>
    <t>Via San Martino 58</t>
  </si>
  <si>
    <t>info@acquapazzaristorante.it</t>
  </si>
  <si>
    <t>Agriturismo Colomboni</t>
  </si>
  <si>
    <t>Strada Vencareto 25</t>
  </si>
  <si>
    <t>www.agriturismocolomboni.it</t>
  </si>
  <si>
    <t>agriturismocolomboni@gmail.com</t>
  </si>
  <si>
    <t>Strada San Martino 20</t>
  </si>
  <si>
    <t>www.agriturismosanmartino.net</t>
  </si>
  <si>
    <t>info@agriturismosanmartino.net</t>
  </si>
  <si>
    <t>B&amp;B Casa Uno</t>
  </si>
  <si>
    <t>Via Vincareto 51</t>
  </si>
  <si>
    <t>www.casa-uno.it</t>
  </si>
  <si>
    <t>alisonscott@libero.it</t>
  </si>
  <si>
    <t>B&amp;B A Casa Di Mael</t>
  </si>
  <si>
    <t>Strada P.Nenni 4/6</t>
  </si>
  <si>
    <t>Loc. Cerasa</t>
  </si>
  <si>
    <t>acasadimael@gmail.com</t>
  </si>
  <si>
    <t>B&amp;B Casa Sorgente</t>
  </si>
  <si>
    <t>Strada Acqua Sorgente 2</t>
  </si>
  <si>
    <t>www.casasorgente.nl</t>
  </si>
  <si>
    <t>info@casasorgente.nl</t>
  </si>
  <si>
    <t>Strada San Vitale 86</t>
  </si>
  <si>
    <t>info@ilglicinefano.it</t>
  </si>
  <si>
    <t>B&amp;B Giorgini Marinella</t>
  </si>
  <si>
    <t>Strada Belvedere 1</t>
  </si>
  <si>
    <t>www.beb-marinella.jimdo.com</t>
  </si>
  <si>
    <t>massimofranchini53@gmail.com</t>
  </si>
  <si>
    <t>Da Paolo E Milena</t>
  </si>
  <si>
    <t>paul.esposto@libero.it</t>
  </si>
  <si>
    <t>B&amp;B Villa Dolce Vita</t>
  </si>
  <si>
    <t>Via B. Croce  22</t>
  </si>
  <si>
    <t>www.villadolcevitamarche.it</t>
  </si>
  <si>
    <t>villadolcevitamarche@gmail.com</t>
  </si>
  <si>
    <t>Via Borghetto 11</t>
  </si>
  <si>
    <t>Borghetto</t>
  </si>
  <si>
    <t>silvialip@libero.it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</si>
  <si>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</si>
  <si>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</si>
  <si>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</si>
  <si>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</si>
  <si>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</si>
  <si>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</si>
  <si>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</si>
  <si>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</si>
  <si>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</si>
  <si>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</si>
  <si>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</si>
  <si>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</si>
  <si>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</si>
  <si>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</si>
  <si>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</si>
  <si>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</si>
  <si>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</si>
  <si>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</si>
  <si>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</si>
  <si>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Mock Harry</t>
  </si>
  <si>
    <t>Localita' San Giovanni In Vencareto 60</t>
  </si>
  <si>
    <t>San Giovanni In Vencareto</t>
  </si>
  <si>
    <t>robertacastellani@libero.it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</si>
  <si>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</si>
  <si>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</si>
  <si>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</si>
  <si>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</si>
  <si>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</si>
  <si>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</si>
  <si>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Campanelli Giacomo</t>
  </si>
  <si>
    <t>Strada San Costanzo Torrette 62</t>
  </si>
  <si>
    <t>B&amp;B Casagatti</t>
  </si>
  <si>
    <t>Contrada Casagatti 27</t>
  </si>
  <si>
    <t>casagatti27@alice.it</t>
  </si>
  <si>
    <t>Foresteria Comunale</t>
  </si>
  <si>
    <t>Zona Tinta 51</t>
  </si>
  <si>
    <t>http://www.ostellosanginesio.it/</t>
  </si>
  <si>
    <t>roberto.ostello@hotmail.it</t>
  </si>
  <si>
    <t>Shambala Country House</t>
  </si>
  <si>
    <t>Via C. Da Nocciano 29</t>
  </si>
  <si>
    <t>info@shambala-retreat.com</t>
  </si>
  <si>
    <t>Le Rondini</t>
  </si>
  <si>
    <t>Contrada Cerreto 20</t>
  </si>
  <si>
    <t>www.lerondinidisanginesio.it</t>
  </si>
  <si>
    <t>info@lerondinidisanginesio.it</t>
  </si>
  <si>
    <t>Il Castellano</t>
  </si>
  <si>
    <t>Contrada Casagatti 32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</si>
  <si>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</si>
  <si>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</si>
  <si>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</si>
  <si>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</si>
  <si>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</si>
  <si>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La Cesa</t>
  </si>
  <si>
    <t>Contrada Ferrantini S.N. Snc</t>
  </si>
  <si>
    <t>Comtrada Ferrantini</t>
  </si>
  <si>
    <t>www.lacesa.it</t>
  </si>
  <si>
    <t>Agriturismo La Torre</t>
  </si>
  <si>
    <t>Contrada Torre Di Morro 1</t>
  </si>
  <si>
    <t>B&amp;B Casa Nostra</t>
  </si>
  <si>
    <t>Contrada Moline 1</t>
  </si>
  <si>
    <t>www.bbcasanostra.com</t>
  </si>
  <si>
    <t>info@bbcasanostra.com</t>
  </si>
  <si>
    <t>Il Casolare</t>
  </si>
  <si>
    <t>Contrada Vallimestre 1</t>
  </si>
  <si>
    <t>il.casolare@tiscali.it</t>
  </si>
  <si>
    <t>La Cioppa</t>
  </si>
  <si>
    <t>Contrada Gualduccio 3</t>
  </si>
  <si>
    <t>www.lacioppa.it</t>
  </si>
  <si>
    <t>info@lacioppa.it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</si>
  <si>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</si>
  <si>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</si>
  <si>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</si>
  <si>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</si>
  <si>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</si>
  <si>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</si>
  <si>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</si>
  <si>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</si>
  <si>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</si>
  <si>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</si>
  <si>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</si>
  <si>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</si>
  <si>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</si>
  <si>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Valle Del Lupo</t>
  </si>
  <si>
    <t>Contrada Santa Maria 11</t>
  </si>
  <si>
    <t>www.lobo.it</t>
  </si>
  <si>
    <t>info@lobo.it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</si>
  <si>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</si>
  <si>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</si>
  <si>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</si>
  <si>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</si>
  <si>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</si>
  <si>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</si>
  <si>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</si>
  <si>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</si>
  <si>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Campugiani Giammario</t>
  </si>
  <si>
    <t>Albergo Centrale</t>
  </si>
  <si>
    <t>Piazza A.Gentili 10</t>
  </si>
  <si>
    <t>www.albergocentralesanginesio.com</t>
  </si>
  <si>
    <t>info@albergocentralesanginesio.com</t>
  </si>
  <si>
    <t>Infiniti Orizzonti</t>
  </si>
  <si>
    <t>Contrada Torre Di Morro 27</t>
  </si>
  <si>
    <t>mariateresaeleuteri@virgilio.it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</si>
  <si>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</si>
  <si>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</si>
  <si>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</si>
  <si>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</si>
  <si>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</si>
  <si>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</si>
  <si>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</si>
  <si>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</si>
  <si>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</si>
  <si>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</si>
  <si>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</si>
  <si>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</si>
  <si>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</si>
  <si>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</si>
  <si>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</si>
  <si>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</si>
  <si>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</si>
  <si>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</si>
  <si>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</si>
  <si>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</si>
  <si>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</si>
  <si>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</si>
  <si>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</si>
  <si>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</si>
  <si>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</si>
  <si>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</si>
  <si>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</si>
  <si>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</si>
  <si>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</si>
  <si>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</si>
  <si>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</si>
  <si>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</si>
  <si>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</si>
  <si>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</si>
  <si>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www.sanginesio.sinp.net</t>
  </si>
  <si>
    <t>info@sanginesio.sinp.net</t>
  </si>
  <si>
    <t>B&amp;B Spicello Di Cingolani Sandro</t>
  </si>
  <si>
    <t>Strada Spicello 24</t>
  </si>
  <si>
    <t>www.cingolanisandro.it</t>
  </si>
  <si>
    <t>info@cingolanisandro.it</t>
  </si>
  <si>
    <t>B&amp;B Montecucco</t>
  </si>
  <si>
    <t>Montecucco 15</t>
  </si>
  <si>
    <t>sabi.roberti@gmail.com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</si>
  <si>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</si>
  <si>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</si>
  <si>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</si>
  <si>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</si>
  <si>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</si>
  <si>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</si>
  <si>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</si>
  <si>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Casa Religiosa Di Ospitalita' Don Stefano Lamera</t>
  </si>
  <si>
    <t>Via Spicello Snc</t>
  </si>
  <si>
    <t>radiciluciano@tin.it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</si>
  <si>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</si>
  <si>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</si>
  <si>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</si>
  <si>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</si>
  <si>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</si>
  <si>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</si>
  <si>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</si>
  <si>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</si>
  <si>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</si>
  <si>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</si>
  <si>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</si>
  <si>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</si>
  <si>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</si>
  <si>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</si>
  <si>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</si>
  <si>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</si>
  <si>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</si>
  <si>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</si>
  <si>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</si>
  <si>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</si>
  <si>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</si>
  <si>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</si>
  <si>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</si>
  <si>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Casale Ulivo</t>
  </si>
  <si>
    <t>lupa8994@libero.it</t>
  </si>
  <si>
    <t>B&amp;B Casale Vega</t>
  </si>
  <si>
    <t>Via San Vito Sul Cesano 44</t>
  </si>
  <si>
    <t>info@casalevega.it</t>
  </si>
  <si>
    <t>B&amp;B San Vito</t>
  </si>
  <si>
    <t>Via San Vito Sul Cesano 74</t>
  </si>
  <si>
    <t>B&amp;B Montanari Marina</t>
  </si>
  <si>
    <t>Piazza San Martino 14</t>
  </si>
  <si>
    <t>info@locandasanmartino.it;</t>
  </si>
  <si>
    <t>Casale Don Dome'</t>
  </si>
  <si>
    <t>Via San Severo 46</t>
  </si>
  <si>
    <t>mi.cantiani@alice.it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</si>
  <si>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</si>
  <si>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</si>
  <si>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</si>
  <si>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</si>
  <si>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</si>
  <si>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</si>
  <si>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</si>
  <si>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</si>
  <si>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</si>
  <si>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</si>
  <si>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</si>
  <si>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</si>
  <si>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</si>
  <si>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</si>
  <si>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</si>
  <si>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</si>
  <si>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</si>
  <si>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</si>
  <si>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</si>
  <si>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</si>
  <si>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</si>
  <si>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</si>
  <si>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</si>
  <si>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</si>
  <si>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</si>
  <si>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</si>
  <si>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</si>
  <si>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</si>
  <si>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</si>
  <si>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</si>
  <si>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</si>
  <si>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Fattoria Le Origini</t>
  </si>
  <si>
    <t>Cesolo Comone 127</t>
  </si>
  <si>
    <t>www.fattorialeorigini.it</t>
  </si>
  <si>
    <t>info@fattorialeorigini.it</t>
  </si>
  <si>
    <t>Montesi Francesca</t>
  </si>
  <si>
    <t>Via Corta Di Serripola 63</t>
  </si>
  <si>
    <t>francescamontesi@libero.it</t>
  </si>
  <si>
    <t>B&amp;B Giovanni Dellacasa</t>
  </si>
  <si>
    <t>Loc. Cesolo 134</t>
  </si>
  <si>
    <t>prehistoricfuture@hotmail.com</t>
  </si>
  <si>
    <t>Pino Nero</t>
  </si>
  <si>
    <t>Via Brenta 1</t>
  </si>
  <si>
    <t>Loc. Serripola</t>
  </si>
  <si>
    <t>www.pinonero.it</t>
  </si>
  <si>
    <t>info@pinonero.it</t>
  </si>
  <si>
    <t>L'Isola Che Non C'Era</t>
  </si>
  <si>
    <t>Loc. Isola 58</t>
  </si>
  <si>
    <t>www.lisolachenoncera.eu</t>
  </si>
  <si>
    <t>info@lisolachenoncera.eu</t>
  </si>
  <si>
    <t>Vallesi Enrico</t>
  </si>
  <si>
    <t>Via San Giovanni 1</t>
  </si>
  <si>
    <t>italfoodagency@gmail.com</t>
  </si>
  <si>
    <t>Bravi Norina</t>
  </si>
  <si>
    <t>vaniacipolletti@libero.it</t>
  </si>
  <si>
    <t>Septempeda Hills</t>
  </si>
  <si>
    <t>Località Pieve 15</t>
  </si>
  <si>
    <t>Località Pieve</t>
  </si>
  <si>
    <t>www.septempedahills.com</t>
  </si>
  <si>
    <t>info@septempedahills.com</t>
  </si>
  <si>
    <t>B&amp;B Da Sugari'</t>
  </si>
  <si>
    <t>Viale Mazzini 6</t>
  </si>
  <si>
    <t>www.dasugari.it</t>
  </si>
  <si>
    <t>cadia.carloni@alice.it; cadia.carloni@indesit.com</t>
  </si>
  <si>
    <t>Bagni Di Pitino</t>
  </si>
  <si>
    <t>C.Da Bagno Snc</t>
  </si>
  <si>
    <t>Loc. Pitino</t>
  </si>
  <si>
    <t>francesco.corneli@gmail.com</t>
  </si>
  <si>
    <t>B&amp;B A Casa Di Lucia</t>
  </si>
  <si>
    <t>Via Giulio Scampoli 4</t>
  </si>
  <si>
    <t>Sassuglio</t>
  </si>
  <si>
    <t>www.acasadilucia.com</t>
  </si>
  <si>
    <t>info@acasadilucia.com</t>
  </si>
  <si>
    <t>Case Ed Appartamenti Per Vacanze Via San Mauro (Sant'Elena)</t>
  </si>
  <si>
    <t>Via San Mauro 60</t>
  </si>
  <si>
    <t>immobiliare@sicit.com</t>
  </si>
  <si>
    <t>Case Ed Appartamenti Per Vacanze C.Da Rocchetta</t>
  </si>
  <si>
    <t>Loc. Rocchetta 3</t>
  </si>
  <si>
    <t>aspio@icisrl.net</t>
  </si>
  <si>
    <t>B&amp;B Bianchini Antonia</t>
  </si>
  <si>
    <t>Loc. Gagliannuovo 21</t>
  </si>
  <si>
    <t>www.casaleilcerqueto.it</t>
  </si>
  <si>
    <t>meschinimaria@alice.it</t>
  </si>
  <si>
    <t>B&amp;B La Villa</t>
  </si>
  <si>
    <t>Via Della Villa 20</t>
  </si>
  <si>
    <t>Loc.Cesolo</t>
  </si>
  <si>
    <t>www.lavillateloni.it</t>
  </si>
  <si>
    <t>teloniale@gmail.com</t>
  </si>
  <si>
    <t>B&amp;B La Rotonda In Collina</t>
  </si>
  <si>
    <t>Via Gaglianvecchio 15</t>
  </si>
  <si>
    <t>larotondaincollina@gmail.com</t>
  </si>
  <si>
    <t>Casa Benessere</t>
  </si>
  <si>
    <t>Località Ugliano 130</t>
  </si>
  <si>
    <t>Ugliano</t>
  </si>
  <si>
    <t>Cicco Bianco Di Schwarz Wolfang Alfred Wilhelm</t>
  </si>
  <si>
    <t>Località Cicco Bianco Snc</t>
  </si>
  <si>
    <t>Cicco Bianco</t>
  </si>
  <si>
    <t>info@cicco-bianco.de</t>
  </si>
  <si>
    <t>B&amp;B San Rocco</t>
  </si>
  <si>
    <t>Via San Rocco  31</t>
  </si>
  <si>
    <t>bebsanrocco@tiscali.it</t>
  </si>
  <si>
    <t>Scoderoni Cristina</t>
  </si>
  <si>
    <t>Via San Rocco 31</t>
  </si>
  <si>
    <t>Villa Del Cavaliere</t>
  </si>
  <si>
    <t>Viale Della Resistenza Snc</t>
  </si>
  <si>
    <t>info@hotelilfaro.net</t>
  </si>
  <si>
    <t>B&amp;B Il Cantuccio</t>
  </si>
  <si>
    <t>Località Elcito 104</t>
  </si>
  <si>
    <t>Elcito</t>
  </si>
  <si>
    <t>simona.cap@gmail.com</t>
  </si>
  <si>
    <t>Campeggio Del Poggio</t>
  </si>
  <si>
    <t>Località Castel San Pietro 55</t>
  </si>
  <si>
    <t>Castel San Pietro</t>
  </si>
  <si>
    <t>info@casadelpoggio.com</t>
  </si>
  <si>
    <t>La Villa Affittacamere</t>
  </si>
  <si>
    <t>sandro.teloni@semplicepec.it</t>
  </si>
  <si>
    <t>Palazzo Gentili Suites, Apartments, Wellness &amp; Spa</t>
  </si>
  <si>
    <t>Piazza Del Popolo 33</t>
  </si>
  <si>
    <t>www.palazzogentili.it</t>
  </si>
  <si>
    <t>info@palazzogentili.it</t>
  </si>
  <si>
    <t>B&amp;B Mezzobaiocco</t>
  </si>
  <si>
    <t>Via San Rocco 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</si>
  <si>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</si>
  <si>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</si>
  <si>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</si>
  <si>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</si>
  <si>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</si>
  <si>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Mezzobaiocco Appartamento</t>
  </si>
  <si>
    <t>Via San Rocco 17</t>
  </si>
  <si>
    <t>Vacanze Al Castello</t>
  </si>
  <si>
    <t>Via Giulio Scampoli 10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</si>
  <si>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</si>
  <si>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</si>
  <si>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</si>
  <si>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</si>
  <si>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</si>
  <si>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</si>
  <si>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</si>
  <si>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</si>
  <si>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</si>
  <si>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</si>
  <si>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</si>
  <si>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</si>
  <si>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</si>
  <si>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Via Cristoforo Colombo 21</t>
  </si>
  <si>
    <t>www.bedandbreakfast-sanseverino.it</t>
  </si>
  <si>
    <t>beb.lapieve@virgilio.it</t>
  </si>
  <si>
    <t>Le Borgianelle</t>
  </si>
  <si>
    <t>Localita' Gaglianvecchio 66</t>
  </si>
  <si>
    <t>www.agriturismoleborgianelle.it</t>
  </si>
  <si>
    <t>info@agriturismolaeborgianelle.it</t>
  </si>
  <si>
    <t>Localita' Gaglianvecchio 51</t>
  </si>
  <si>
    <t>juriappignanesi@alice.it</t>
  </si>
  <si>
    <t>L'Antico  Oliveto</t>
  </si>
  <si>
    <t>Localita' Cesolo 126</t>
  </si>
  <si>
    <t>www.anticooliveto.it</t>
  </si>
  <si>
    <t>info@anticooliveto.it</t>
  </si>
  <si>
    <t>Villarosetta</t>
  </si>
  <si>
    <t>Localita' Cesolo Colmone</t>
  </si>
  <si>
    <t>www.villarosetta.marche.it</t>
  </si>
  <si>
    <t>giulianarapaccioni@teletu.it</t>
  </si>
  <si>
    <t>Sorgente Verde Silenzio</t>
  </si>
  <si>
    <t>Localita' Granali 1</t>
  </si>
  <si>
    <t>www.bambingesu.org</t>
  </si>
  <si>
    <t>verdesilenzio@bambingesu.org</t>
  </si>
  <si>
    <t>Abbadia Di Elcito</t>
  </si>
  <si>
    <t>Localita' Elcito 1</t>
  </si>
  <si>
    <t>edo11@libero.it</t>
  </si>
  <si>
    <t>La Locanda Dei Comacini</t>
  </si>
  <si>
    <t>Via San Francesco 2</t>
  </si>
  <si>
    <t>www.turismo-marche.com; comacini</t>
  </si>
  <si>
    <t>gilla.c_@virgilio.it; gianna.pistoni@virgilio.it</t>
  </si>
  <si>
    <t>Teloni Sandro</t>
  </si>
  <si>
    <t>Via Della Villa  20</t>
  </si>
  <si>
    <t>sandro.teloni@gmail.com</t>
  </si>
  <si>
    <t>B&amp;B Alce Angelo</t>
  </si>
  <si>
    <t>Localita' Uvaiolo 28</t>
  </si>
  <si>
    <t>angelo.alce@alice.it</t>
  </si>
  <si>
    <t>Hotel Feronia</t>
  </si>
  <si>
    <t>Piazza Del Popolo 96</t>
  </si>
  <si>
    <t>massimanola@alice.it</t>
  </si>
  <si>
    <t>B&amp;B La Pieve</t>
  </si>
  <si>
    <t>Localita' Pieve 42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</si>
  <si>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</si>
  <si>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</si>
  <si>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</si>
  <si>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</si>
  <si>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</si>
  <si>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</si>
  <si>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Feronia - Case E Appartamenti Per Vacanze</t>
  </si>
  <si>
    <t>Pineta Country House</t>
  </si>
  <si>
    <t>Localita' Serripola 22</t>
  </si>
  <si>
    <t>Serripola</t>
  </si>
  <si>
    <t>www.pinetacountryhouse.it</t>
  </si>
  <si>
    <t>info@pinetacountryhouse.it</t>
  </si>
  <si>
    <t>Le Due Rose</t>
  </si>
  <si>
    <t>Localita' Rocchetta 41</t>
  </si>
  <si>
    <t>info@le2rose.com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</si>
  <si>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</si>
  <si>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</si>
  <si>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</si>
  <si>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</si>
  <si>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</si>
  <si>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</si>
  <si>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</si>
  <si>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</si>
  <si>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</si>
  <si>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</si>
  <si>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</si>
  <si>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</si>
  <si>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</si>
  <si>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</si>
  <si>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</si>
  <si>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B&amp;B Loggia Servanzi</t>
  </si>
  <si>
    <t>Piazza Del Popolo 98</t>
  </si>
  <si>
    <t>www.loggiaservanzi.it</t>
  </si>
  <si>
    <t>info@loggiaservanzi.it</t>
  </si>
  <si>
    <t>B&amp;B El Sito</t>
  </si>
  <si>
    <t>Localita'  Elcito  29</t>
  </si>
  <si>
    <t>Localita' Elcito</t>
  </si>
  <si>
    <t>Le Vallicelle</t>
  </si>
  <si>
    <t>Contrada Collezampone 23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</si>
  <si>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</si>
  <si>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</si>
  <si>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</si>
  <si>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</si>
  <si>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</si>
  <si>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</si>
  <si>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</si>
  <si>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</si>
  <si>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</si>
  <si>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</si>
  <si>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</si>
  <si>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</si>
  <si>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</si>
  <si>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</si>
  <si>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</si>
  <si>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B&amp;B La Fiorenzuola Di Truffi Tania E Ferri Alessandro</t>
  </si>
  <si>
    <t>Via Fiorenzuola 21</t>
  </si>
  <si>
    <t>www.lafiorenzuola.it</t>
  </si>
  <si>
    <t>lafiorenzuolabeb@gmail.com</t>
  </si>
  <si>
    <t>B&amp;B Calmancino</t>
  </si>
  <si>
    <t>Piazza Umberto I 4</t>
  </si>
  <si>
    <t>Loc.Cal Mancino</t>
  </si>
  <si>
    <t>info@calmancino.eu</t>
  </si>
  <si>
    <t>B&amp;B Piazza Del Papa</t>
  </si>
  <si>
    <t>Via S. Bernardino 1</t>
  </si>
  <si>
    <t>www.piazzadelpapa.it</t>
  </si>
  <si>
    <t>elibrinci@gmail.com</t>
  </si>
  <si>
    <t>Ca' Salvatore</t>
  </si>
  <si>
    <t>Loc.Cà Salvatore 22</t>
  </si>
  <si>
    <t>Loc. Cà Salvatore</t>
  </si>
  <si>
    <t>info@casalvatore.it</t>
  </si>
  <si>
    <t>B&amp;B Galli Enrico</t>
  </si>
  <si>
    <t>Via Giovanni Pascoli 1</t>
  </si>
  <si>
    <t>Sant' Angelo In Vado</t>
  </si>
  <si>
    <t>http://www.madonnagrande.com</t>
  </si>
  <si>
    <t>info@madonnagrande.com</t>
  </si>
  <si>
    <t>B&amp;B Cellavecchia</t>
  </si>
  <si>
    <t>Via Apecchiese 6</t>
  </si>
  <si>
    <t>www.cellavecchia.com</t>
  </si>
  <si>
    <t>info@cellavecchia.com</t>
  </si>
  <si>
    <t>B&amp;B Terra E Cielo</t>
  </si>
  <si>
    <t>Vocabolo Calmancino 4</t>
  </si>
  <si>
    <t>www.calmancino.eu</t>
  </si>
  <si>
    <t>Casa Per Vacanze Caresto</t>
  </si>
  <si>
    <t>Vocabolo Colombaro Caresto 1</t>
  </si>
  <si>
    <t>Loc. Caresto</t>
  </si>
  <si>
    <t>eremocaresto@libero.it</t>
  </si>
  <si>
    <t>B&amp;B Ca' Beto</t>
  </si>
  <si>
    <t>Loc.Cà Beto 12</t>
  </si>
  <si>
    <t>Loc.Cà Beto</t>
  </si>
  <si>
    <t>rolfingesmit@gmail.com</t>
  </si>
  <si>
    <t>Agriturismo Aiolina</t>
  </si>
  <si>
    <t>Loc.Aiolina 17</t>
  </si>
  <si>
    <t>www.aiolinamonti.com</t>
  </si>
  <si>
    <t>info@aiolinamonti.com</t>
  </si>
  <si>
    <t>La Tavola Marche</t>
  </si>
  <si>
    <t>info@latavolamarche.com</t>
  </si>
  <si>
    <t>Eremo San Donato</t>
  </si>
  <si>
    <t>Vocabolo Palazzi 1</t>
  </si>
  <si>
    <t>Loc.Palazzi</t>
  </si>
  <si>
    <t>www.caresto.it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</si>
  <si>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</si>
  <si>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</si>
  <si>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</si>
  <si>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</si>
  <si>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</si>
  <si>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Risto' Taddeo E Federico</t>
  </si>
  <si>
    <t>Via Mancini 4</t>
  </si>
  <si>
    <t>www.palazzobaldani.it</t>
  </si>
  <si>
    <t>info@palazzobaldani.it</t>
  </si>
  <si>
    <t>Santa Chiara</t>
  </si>
  <si>
    <t>Corso Garibaldi 26</t>
  </si>
  <si>
    <t>www.santachiarahotel.it</t>
  </si>
  <si>
    <t>info@santachiarahotel.it</t>
  </si>
  <si>
    <t>B&amp;B Degl'Innocenti Maria Alessandra</t>
  </si>
  <si>
    <t>Corso Garibaldi 20</t>
  </si>
  <si>
    <t>arpen@arpen.it</t>
  </si>
  <si>
    <t>B&amp;B Truffi E Ferri</t>
  </si>
  <si>
    <t>Agriturismo I Palazzi</t>
  </si>
  <si>
    <t>Loc. Palazzi Loc. Capanne</t>
  </si>
  <si>
    <t>www.agriturismoipalazzi.it</t>
  </si>
  <si>
    <t>info@agriturismoipalazzi.it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</si>
  <si>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</si>
  <si>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</si>
  <si>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</si>
  <si>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</si>
  <si>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</si>
  <si>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</si>
  <si>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</si>
  <si>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</si>
  <si>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</si>
  <si>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</si>
  <si>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</si>
  <si>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</si>
  <si>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</si>
  <si>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</si>
  <si>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</si>
  <si>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</si>
  <si>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</si>
  <si>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</si>
  <si>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</si>
  <si>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</si>
  <si>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</si>
  <si>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Via Ponte Rotto 36</t>
  </si>
  <si>
    <t>cameraconvistabb@gmail.com</t>
  </si>
  <si>
    <t>Azienda Agrituristica Murri</t>
  </si>
  <si>
    <t>Via Molino  1</t>
  </si>
  <si>
    <t>bernardo.belvederi@fastwebnet.it</t>
  </si>
  <si>
    <t>Via Angeli 1</t>
  </si>
  <si>
    <t>Loc.Capoluogo</t>
  </si>
  <si>
    <t>bebdegliangeli@libero.it</t>
  </si>
  <si>
    <t>B&amp;B Agrifoglio</t>
  </si>
  <si>
    <t>Via Faleriense 3921</t>
  </si>
  <si>
    <t>barbarasimonelli24@gmail.com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</si>
  <si>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</si>
  <si>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</si>
  <si>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</si>
  <si>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</si>
  <si>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</si>
  <si>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</si>
  <si>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</si>
  <si>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</si>
  <si>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</si>
  <si>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</si>
  <si>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</si>
  <si>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</si>
  <si>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</si>
  <si>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Merendero</t>
  </si>
  <si>
    <t>Via Iachini 94</t>
  </si>
  <si>
    <t>Casette D'Ete Di Sant'Elpidio A Mare (Fm)</t>
  </si>
  <si>
    <t>www.ilmerendero.com</t>
  </si>
  <si>
    <t>mail@ilmerendero.com</t>
  </si>
  <si>
    <t>Casa Elvezia B&amp;B</t>
  </si>
  <si>
    <t>Martiri Di Belfiore  28</t>
  </si>
  <si>
    <t>famigliadenardis@yahoo.it</t>
  </si>
  <si>
    <t>La Mezzina</t>
  </si>
  <si>
    <t>C.Da Piane D'Ete 1103</t>
  </si>
  <si>
    <t>lamezzina@libero.it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</si>
  <si>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</si>
  <si>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</si>
  <si>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</si>
  <si>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</si>
  <si>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</si>
  <si>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</si>
  <si>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Agriturismo Santa Croce</t>
  </si>
  <si>
    <t>Via Guido Rossa 285</t>
  </si>
  <si>
    <t>Loc.Bivio Cascinare</t>
  </si>
  <si>
    <t>www.agritursantacroce.com</t>
  </si>
  <si>
    <t>info@agritursantacroce.com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</si>
  <si>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</si>
  <si>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</si>
  <si>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</si>
  <si>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</si>
  <si>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</si>
  <si>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B&amp;B Del Gatto Maria</t>
  </si>
  <si>
    <t>Via Montegranarese  320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</si>
  <si>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</si>
  <si>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</si>
  <si>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</si>
  <si>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</si>
  <si>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</si>
  <si>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</si>
  <si>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</si>
  <si>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mildret@libero.it</t>
  </si>
  <si>
    <t>B&amp;B Campanella</t>
  </si>
  <si>
    <t>Via Campanella 210</t>
  </si>
  <si>
    <t>campanellatommaso210@gmail.com</t>
  </si>
  <si>
    <t>La Ritrovata</t>
  </si>
  <si>
    <t>Via Gessare Tarugo 9</t>
  </si>
  <si>
    <t>ferdonnini@pec.it; ferdonnini@gmail.com</t>
  </si>
  <si>
    <t>Agriturismo Poggiolivo</t>
  </si>
  <si>
    <t>Via Peglio 1</t>
  </si>
  <si>
    <t>Sant' Ippolito</t>
  </si>
  <si>
    <t>www.agriturismopoggiolivo.it</t>
  </si>
  <si>
    <t>info@agriturismopoggiolivo.it</t>
  </si>
  <si>
    <t>Via Fontanelle 15</t>
  </si>
  <si>
    <t>info@countryhouselefontanelle.it</t>
  </si>
  <si>
    <t>Via Alberici 1</t>
  </si>
  <si>
    <t>Agriturismo Samsara</t>
  </si>
  <si>
    <t>Via Pian Di Rose 3</t>
  </si>
  <si>
    <t>www.samsara-center.it</t>
  </si>
  <si>
    <t>info@samsara-center.it</t>
  </si>
  <si>
    <t>Country House Casa Londei</t>
  </si>
  <si>
    <t>Via Reforzate 7</t>
  </si>
  <si>
    <t>davidelondei@libero.it</t>
  </si>
  <si>
    <t>Bed&amp;Breakfast I Cipressi Ex Villa Maroncelli</t>
  </si>
  <si>
    <t>Via Raffaello 170</t>
  </si>
  <si>
    <t>www.bbcipressi.it</t>
  </si>
  <si>
    <t>vsrbe@libero.it</t>
  </si>
  <si>
    <t>Via Fontanelle 8</t>
  </si>
  <si>
    <t>www.lavalledelsole.it</t>
  </si>
  <si>
    <t>info@lavalledelsole.it</t>
  </si>
  <si>
    <t>Il Giardino Delle Rose</t>
  </si>
  <si>
    <t>Via Scarpara Alta  1/A</t>
  </si>
  <si>
    <t>www.giardinodellerose.eu</t>
  </si>
  <si>
    <t>gnitrati@studionitrati.it</t>
  </si>
  <si>
    <t>Montecchiesi Luciano Via Gramsci 10/B</t>
  </si>
  <si>
    <t>Via Gramsci 10/B</t>
  </si>
  <si>
    <t>montecchiesiluciano@yahoo.it</t>
  </si>
  <si>
    <t>Montecchiesi Luciano Via Gramsci 12</t>
  </si>
  <si>
    <t>Via Gramsci 12</t>
  </si>
  <si>
    <t>Via Roma 18</t>
  </si>
  <si>
    <t>I Duchi Pellegrini</t>
  </si>
  <si>
    <t>Via Scarpara Alta 16/A</t>
  </si>
  <si>
    <t>iduchipellegrini@libero.it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</si>
  <si>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</si>
  <si>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</si>
  <si>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</si>
  <si>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</si>
  <si>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</si>
  <si>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Vecchia Fornace Paradiso</t>
  </si>
  <si>
    <t>Contrada Bore  45</t>
  </si>
  <si>
    <t>www.vfparadiso.it</t>
  </si>
  <si>
    <t>info@vfparadiso.it</t>
  </si>
  <si>
    <t>La Tana Del Cinghiale</t>
  </si>
  <si>
    <t>C.Da Monte Radaldo 46</t>
  </si>
  <si>
    <t>www.latanadelcinghiale.it</t>
  </si>
  <si>
    <t>info@latanadelcinghiale.it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</si>
  <si>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</si>
  <si>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</si>
  <si>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</si>
  <si>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</si>
  <si>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</si>
  <si>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</si>
  <si>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</si>
  <si>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</si>
  <si>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</si>
  <si>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</si>
  <si>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</si>
  <si>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</si>
  <si>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</si>
  <si>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</si>
  <si>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</si>
  <si>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</si>
  <si>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</si>
  <si>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</si>
  <si>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</si>
  <si>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Villa Fontana</t>
  </si>
  <si>
    <t>Via San Salvatore - Viale Della Vittoria  7</t>
  </si>
  <si>
    <t>bebvillafontana@yahoo.it</t>
  </si>
  <si>
    <t>B&amp;B La Casita</t>
  </si>
  <si>
    <t>C.Da Monte Radaldo 60</t>
  </si>
  <si>
    <t>www.lacasitabb.it</t>
  </si>
  <si>
    <t>info@lacasitabb.it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</si>
  <si>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</si>
  <si>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</si>
  <si>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</si>
  <si>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</si>
  <si>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</si>
  <si>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</si>
  <si>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</si>
  <si>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</si>
  <si>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</si>
  <si>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</si>
  <si>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</si>
  <si>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</si>
  <si>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</si>
  <si>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</si>
  <si>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</si>
  <si>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</si>
  <si>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</si>
  <si>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Cascina Gabba</t>
  </si>
  <si>
    <t>C.Da Gabba 324</t>
  </si>
  <si>
    <t>www.cascinagabba.com</t>
  </si>
  <si>
    <t>tisasi@libero.it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</si>
  <si>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</si>
  <si>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</si>
  <si>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</si>
  <si>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</si>
  <si>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</si>
  <si>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</si>
  <si>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</si>
  <si>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Villa San Raffaello</t>
  </si>
  <si>
    <t>Contrada Case Rosse 278</t>
  </si>
  <si>
    <t>www.villasanraffaello.com</t>
  </si>
  <si>
    <t>info@villasanraffaello.com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</si>
  <si>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</si>
  <si>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</si>
  <si>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</si>
  <si>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</si>
  <si>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</si>
  <si>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</si>
  <si>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</si>
  <si>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</si>
  <si>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</si>
  <si>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</si>
  <si>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</si>
  <si>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</si>
  <si>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</si>
  <si>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</si>
  <si>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Terme</t>
  </si>
  <si>
    <t>Piazza Della Liberta' 82</t>
  </si>
  <si>
    <t>www.hoteltermesarnano.it</t>
  </si>
  <si>
    <t>info@hoteltermesarnano.it</t>
  </si>
  <si>
    <t>La Marchigiana</t>
  </si>
  <si>
    <t>Contrada Campanotico 199</t>
  </si>
  <si>
    <t>www.la-marchigiana.it</t>
  </si>
  <si>
    <t>info@la-marchigiana.it</t>
  </si>
  <si>
    <t>B&amp;B Il Rifugio Dei Cantici</t>
  </si>
  <si>
    <t>Via Del Colle  2/B</t>
  </si>
  <si>
    <t>www.ilrifugiodeicantici.it</t>
  </si>
  <si>
    <t>info@ilrifugiodeicantici.it</t>
  </si>
  <si>
    <t>Casa Vacanze Duca Schito</t>
  </si>
  <si>
    <t>Frazione Schito Snc</t>
  </si>
  <si>
    <t>Schito</t>
  </si>
  <si>
    <t>www.casavacanzeducaschito.com</t>
  </si>
  <si>
    <t>info@casavacanzeducaschito.com</t>
  </si>
  <si>
    <t>B&amp;B Ospiti</t>
  </si>
  <si>
    <t>Via Bruno Buozzi 47/A</t>
  </si>
  <si>
    <t>B&amp;B La Fonte</t>
  </si>
  <si>
    <t>C.Da Campanotico 240</t>
  </si>
  <si>
    <t>portofranco.sx@gmail.com</t>
  </si>
  <si>
    <t>Antico Palazzo Dal Pero</t>
  </si>
  <si>
    <t>Via Oberdan 197</t>
  </si>
  <si>
    <t>www.anticopalazzodalpero.com</t>
  </si>
  <si>
    <t>anticopalazzodalpero@gmail.com</t>
  </si>
  <si>
    <t>Hotel Ristorante Ai Pini</t>
  </si>
  <si>
    <t>Via Filippo Corridoni 101</t>
  </si>
  <si>
    <t>Hotel Hermitage</t>
  </si>
  <si>
    <t>Frazione Sassotetto 1</t>
  </si>
  <si>
    <t>www.albergohermitage.eu</t>
  </si>
  <si>
    <t>hotel.hermitage@virgilio.it</t>
  </si>
  <si>
    <t>Residenze Verdequiete</t>
  </si>
  <si>
    <t>www.residenzeverdequiete.it</t>
  </si>
  <si>
    <t>info@residenzeverdequiete.it</t>
  </si>
  <si>
    <t>Residence Il Glicine - Via Del Colle</t>
  </si>
  <si>
    <t>Via Del Colle 31</t>
  </si>
  <si>
    <t>Residence Il Serafino</t>
  </si>
  <si>
    <t>Via Oberdan 198/A</t>
  </si>
  <si>
    <t>euroimmobiliare.98@libero.it</t>
  </si>
  <si>
    <t>Il Rifugio Dei Cantici</t>
  </si>
  <si>
    <t>Via Colle  2/B</t>
  </si>
  <si>
    <t>Perugini Fiorenzo</t>
  </si>
  <si>
    <t>Contrada Margani 37</t>
  </si>
  <si>
    <t>info@villadelleacacie.it</t>
  </si>
  <si>
    <t>Serpanera</t>
  </si>
  <si>
    <t>Località Schito  447</t>
  </si>
  <si>
    <t>Località Schito</t>
  </si>
  <si>
    <t>www.serpanera.com</t>
  </si>
  <si>
    <t>info@serpanera.com</t>
  </si>
  <si>
    <t>Azienda Agricola Le Borette S.A.S. Di Pierobon Arnaldo E C.</t>
  </si>
  <si>
    <t>info@leborette.it</t>
  </si>
  <si>
    <t>Fontemarta</t>
  </si>
  <si>
    <t>C.Da Rinci 20</t>
  </si>
  <si>
    <t>t.marialuisa@email.it</t>
  </si>
  <si>
    <t>Via Alcide De Gasperi 28</t>
  </si>
  <si>
    <t>Malavolpe</t>
  </si>
  <si>
    <t>Contrada Poggio 78</t>
  </si>
  <si>
    <t>www.antica-dimora.net</t>
  </si>
  <si>
    <t>info@antica-dimora.net</t>
  </si>
  <si>
    <t>B&amp;B Il Portico Di Frolloni Giuseppe</t>
  </si>
  <si>
    <t>Contrada Grisciotti 389 B</t>
  </si>
  <si>
    <t>lucia.frolloni@yahoo.it</t>
  </si>
  <si>
    <t>La Castellana</t>
  </si>
  <si>
    <t>Via Alcide De Gasperi 26</t>
  </si>
  <si>
    <t>www.novidra.com</t>
  </si>
  <si>
    <t>hotel@novidra.com</t>
  </si>
  <si>
    <t>La Sibilla</t>
  </si>
  <si>
    <t>www.hotelsibilla.com</t>
  </si>
  <si>
    <t>info@hotelsibilla.com</t>
  </si>
  <si>
    <t>Centro Turistico Montanaria</t>
  </si>
  <si>
    <t>Contrada Marinella 1</t>
  </si>
  <si>
    <t>www.montanaria.it</t>
  </si>
  <si>
    <t>info@montanaria.it</t>
  </si>
  <si>
    <t>Angela Pesci</t>
  </si>
  <si>
    <t>C.Da Cardagnano 297</t>
  </si>
  <si>
    <t>angela.psc@gmail.com</t>
  </si>
  <si>
    <t>Ca' Cellino</t>
  </si>
  <si>
    <t>Via Cacellino 15</t>
  </si>
  <si>
    <t>Piandalberi</t>
  </si>
  <si>
    <t>www.cacellino.it</t>
  </si>
  <si>
    <t>info@cacellino.it</t>
  </si>
  <si>
    <t>B&amp;B Villaggio Ranco</t>
  </si>
  <si>
    <t>Loc. Ranco 18</t>
  </si>
  <si>
    <t>www.villaggioranco.it</t>
  </si>
  <si>
    <t>a.sartorio@libero.it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</si>
  <si>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</si>
  <si>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</si>
  <si>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</si>
  <si>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</si>
  <si>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</si>
  <si>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</si>
  <si>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Via Nuova  155</t>
  </si>
  <si>
    <t>Mercatale</t>
  </si>
  <si>
    <t>www.artbb.onweb.it</t>
  </si>
  <si>
    <t>riminucci@gmail.com</t>
  </si>
  <si>
    <t>Agriturismo Ca' Cecchino</t>
  </si>
  <si>
    <t>Loc. Ca' Cecchino</t>
  </si>
  <si>
    <t>germana.perella@gmail.com</t>
  </si>
  <si>
    <t>Hotel Arca</t>
  </si>
  <si>
    <t>Via Circonvallazione 69</t>
  </si>
  <si>
    <t>www.hotelarca.it</t>
  </si>
  <si>
    <t>info@hotelarca.it</t>
  </si>
  <si>
    <t>B&amp;B Ca' Agostino Di Jorg Peter</t>
  </si>
  <si>
    <t>Via Ca' Agostino (S.M. Val Di Loto) 12</t>
  </si>
  <si>
    <t>ca-agostino.it</t>
  </si>
  <si>
    <t>caagostinobeb@libero.it</t>
  </si>
  <si>
    <t>Via Calciurro 45</t>
  </si>
  <si>
    <t>Via Cà La Palma 2</t>
  </si>
  <si>
    <t>info@bbbettybike.it</t>
  </si>
  <si>
    <t>B&amp;B La Serra Del Sasso</t>
  </si>
  <si>
    <t>Via A. Battelli 8</t>
  </si>
  <si>
    <t>http://www.laserradelsasso.it</t>
  </si>
  <si>
    <t>odecca@email.it</t>
  </si>
  <si>
    <t>Agriturismo Ca' Maggio</t>
  </si>
  <si>
    <t>Via Cà Maggio 1</t>
  </si>
  <si>
    <t>Mulino Renzini</t>
  </si>
  <si>
    <t>www.agriturismocamaggio.it</t>
  </si>
  <si>
    <t>info@agriturismocamaggio.it</t>
  </si>
  <si>
    <t>B&amp;B Rose E Merletti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</si>
  <si>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</si>
  <si>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</si>
  <si>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</si>
  <si>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</si>
  <si>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</si>
  <si>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</si>
  <si>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Corso Europa 25</t>
  </si>
  <si>
    <t>ilgelsomino25@alice.it</t>
  </si>
  <si>
    <t>Lilliput</t>
  </si>
  <si>
    <t>Via La Pace 17</t>
  </si>
  <si>
    <t>info@officinatonialdo.com</t>
  </si>
  <si>
    <t>Country Hotel Sassoferrato</t>
  </si>
  <si>
    <t>Località Piano 114/G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</si>
  <si>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</si>
  <si>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</si>
  <si>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</si>
  <si>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</si>
  <si>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</si>
  <si>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</si>
  <si>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</si>
  <si>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</si>
  <si>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</si>
  <si>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</si>
  <si>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</si>
  <si>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</si>
  <si>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</si>
  <si>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</si>
  <si>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</si>
  <si>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</si>
  <si>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</si>
  <si>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</si>
  <si>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</si>
  <si>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</si>
  <si>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</si>
  <si>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</si>
  <si>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</si>
  <si>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</si>
  <si>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</si>
  <si>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</si>
  <si>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</si>
  <si>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</si>
  <si>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Coldemagna</t>
  </si>
  <si>
    <t>Via Coldemagna 31</t>
  </si>
  <si>
    <t>coldemagna@gmail.com</t>
  </si>
  <si>
    <t>Via Sassetello 6</t>
  </si>
  <si>
    <t>Sassetello</t>
  </si>
  <si>
    <t>iltiglio2015@gmail.com</t>
  </si>
  <si>
    <t>Il Sogno Di Tino</t>
  </si>
  <si>
    <t>Via Croce  18</t>
  </si>
  <si>
    <t>Cabernardi</t>
  </si>
  <si>
    <t>sole.cav@virgilio.it</t>
  </si>
  <si>
    <t>Affittacamere Pettinelli</t>
  </si>
  <si>
    <t>Via Merolli 10</t>
  </si>
  <si>
    <t>Biducci Azienda Agricola</t>
  </si>
  <si>
    <t>Via Cerqueto 1</t>
  </si>
  <si>
    <t>biducci@libero.it</t>
  </si>
  <si>
    <t>B&amp;B Volti Di Pietra</t>
  </si>
  <si>
    <t>Località Monte 1</t>
  </si>
  <si>
    <t>Località Monte</t>
  </si>
  <si>
    <t>http://www.voltidipietra.com</t>
  </si>
  <si>
    <t>info@voltidipietra.com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</si>
  <si>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</si>
  <si>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</si>
  <si>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</si>
  <si>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</si>
  <si>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</si>
  <si>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</si>
  <si>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</si>
  <si>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</si>
  <si>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</si>
  <si>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</si>
  <si>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</si>
  <si>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casatartufo@gmail.com</t>
  </si>
  <si>
    <t>Mass-Hans Valdifiori Di Cipriani</t>
  </si>
  <si>
    <t>Via Torre Di Murazzano Snc</t>
  </si>
  <si>
    <t>Torre Di Murazzano</t>
  </si>
  <si>
    <t>info@valdifiori.nl</t>
  </si>
  <si>
    <t>Antico Muro</t>
  </si>
  <si>
    <t>Via Sentinate 3</t>
  </si>
  <si>
    <t>Parco Archeologico Di Sentinum</t>
  </si>
  <si>
    <t>www.agriturismoanticomuro.it</t>
  </si>
  <si>
    <t>agriturismoanticomuro@gmail.com</t>
  </si>
  <si>
    <t>Villa Di Monterosso</t>
  </si>
  <si>
    <t>Loc.Villa 1</t>
  </si>
  <si>
    <t>Loc.Villa</t>
  </si>
  <si>
    <t>info@villadimonterosso.it</t>
  </si>
  <si>
    <t>studio.mazen@libero.it</t>
  </si>
  <si>
    <t>Cristina B&amp;B</t>
  </si>
  <si>
    <t>www.bb-cristina.it</t>
  </si>
  <si>
    <t>info@bb-cristina.it</t>
  </si>
  <si>
    <t>Federico I</t>
  </si>
  <si>
    <t>Largo San Cristoforo 2</t>
  </si>
  <si>
    <t>info@countryhousefederico.it</t>
  </si>
  <si>
    <t>Country Residence</t>
  </si>
  <si>
    <t>Localita' Piano 134/I</t>
  </si>
  <si>
    <t>Albergo Della Strega</t>
  </si>
  <si>
    <t>Loc.Valdomo 9</t>
  </si>
  <si>
    <t>Localita' Valdomo</t>
  </si>
  <si>
    <t>www.albergodellastrega.it</t>
  </si>
  <si>
    <t>info@albergodellastrega.it</t>
  </si>
  <si>
    <t>Casa Vacanze Il Tartufo Di Stroo Benjamin</t>
  </si>
  <si>
    <t>Loc. Bosco Rotondo 3</t>
  </si>
  <si>
    <t>Localita' Bosco</t>
  </si>
  <si>
    <t>Palazzo Bentivoglio</t>
  </si>
  <si>
    <t>Via Bentivoglio 14</t>
  </si>
  <si>
    <t>http://palazzobentivoglio.blogspot.it</t>
  </si>
  <si>
    <t>palazzobentivoglio@gmail.com</t>
  </si>
  <si>
    <t>Via Butino 1</t>
  </si>
  <si>
    <t>La Cascata</t>
  </si>
  <si>
    <t>Via Roma 58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</si>
  <si>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</si>
  <si>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</si>
  <si>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</si>
  <si>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</si>
  <si>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</si>
  <si>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</si>
  <si>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</si>
  <si>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</si>
  <si>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Lungomare Leonardo Da Vinci 46Bis</t>
  </si>
  <si>
    <t>www.campingholiday.net</t>
  </si>
  <si>
    <t>info@campingholiday.net</t>
  </si>
  <si>
    <t>Lungomare Leonardo Da Vinci 11</t>
  </si>
  <si>
    <t>www.hotelmetropolsenigallia.it  e  com</t>
  </si>
  <si>
    <t>info@hotelmetropolsenigallia.it</t>
  </si>
  <si>
    <t>Hotel Ritz</t>
  </si>
  <si>
    <t>Lungomare Alighieri 142</t>
  </si>
  <si>
    <t>www.hritz.it</t>
  </si>
  <si>
    <t>info@hritz.it</t>
  </si>
  <si>
    <t>Lungomare Alighieri 118</t>
  </si>
  <si>
    <t>wallypower1182009@hotmail.it</t>
  </si>
  <si>
    <t>Duchi Della Rovere</t>
  </si>
  <si>
    <t>Via Filippo Corridoni 3</t>
  </si>
  <si>
    <t>www.hotelduchidellarovere.it</t>
  </si>
  <si>
    <t>info@hotelduchidellarovere.it</t>
  </si>
  <si>
    <t>Senbhotel</t>
  </si>
  <si>
    <t>Viale Pietro Bonopera 32</t>
  </si>
  <si>
    <t>www.senbhotel.it</t>
  </si>
  <si>
    <t>info@senbhotel.it</t>
  </si>
  <si>
    <t>Via La Spezia 1</t>
  </si>
  <si>
    <t>www.hotelazzurrasenigallia.it</t>
  </si>
  <si>
    <t>info@hotelazzurrasenigallia.com</t>
  </si>
  <si>
    <t>Hotel Sabra</t>
  </si>
  <si>
    <t>Via Puglie 4</t>
  </si>
  <si>
    <t>www.hotelsabra.it</t>
  </si>
  <si>
    <t>info@hotelsabra.it</t>
  </si>
  <si>
    <t>Grand Hotel Excelsior</t>
  </si>
  <si>
    <t>Lungomare Alighieri 150</t>
  </si>
  <si>
    <t>www.ghe.it</t>
  </si>
  <si>
    <t>info@ghe.it</t>
  </si>
  <si>
    <t>Lungomare Leonardo Da Vinci 91</t>
  </si>
  <si>
    <t>www.gabbiano-senigallia.com</t>
  </si>
  <si>
    <t>hotelgabbiano@gmail.com</t>
  </si>
  <si>
    <t>Bice</t>
  </si>
  <si>
    <t>Viale Giacomo Leopardi 105</t>
  </si>
  <si>
    <t>www.albergobice.it</t>
  </si>
  <si>
    <t>info@albergobice.it</t>
  </si>
  <si>
    <t>Hamburg</t>
  </si>
  <si>
    <t>Via Rieti 104</t>
  </si>
  <si>
    <t>www.hotelhamburg.it</t>
  </si>
  <si>
    <t>hotelhamburg@libero.it</t>
  </si>
  <si>
    <t>Dei Galli</t>
  </si>
  <si>
    <t>Lungomare Mameli 226</t>
  </si>
  <si>
    <t>www.hoteldeigalli.it</t>
  </si>
  <si>
    <t>info@hoteldeigalli.it</t>
  </si>
  <si>
    <t>Centro Le Dune</t>
  </si>
  <si>
    <t>Lungomare Leonardo Da Vinci 6</t>
  </si>
  <si>
    <t>senigallia@uisp.it</t>
  </si>
  <si>
    <t>Caggiari</t>
  </si>
  <si>
    <t>Lungomare Alighieri 130</t>
  </si>
  <si>
    <t>www.hotelcaggiari.it</t>
  </si>
  <si>
    <t>info@hotelcaggiari.it</t>
  </si>
  <si>
    <t>B&amp;B Mistretta Rossana</t>
  </si>
  <si>
    <t>Frazione San Silvestro Strada Squartagallo 131</t>
  </si>
  <si>
    <t>rossanamistretta@hotmail.it</t>
  </si>
  <si>
    <t>Giulietta</t>
  </si>
  <si>
    <t>Via Rieti 56</t>
  </si>
  <si>
    <t>www.hotelgiulietta.it</t>
  </si>
  <si>
    <t>info@hotelgiulietta.it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</si>
  <si>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</si>
  <si>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</si>
  <si>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</si>
  <si>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</si>
  <si>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</si>
  <si>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</si>
  <si>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</si>
  <si>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</si>
  <si>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</si>
  <si>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</si>
  <si>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</si>
  <si>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</si>
  <si>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Marconi 35</t>
  </si>
  <si>
    <t>www.h-delaville.it</t>
  </si>
  <si>
    <t>info@h-delaville.it</t>
  </si>
  <si>
    <t>Cristina</t>
  </si>
  <si>
    <t>Via Rieti 10</t>
  </si>
  <si>
    <t>www.hotelcristina.net</t>
  </si>
  <si>
    <t>info@hotelcristina.net</t>
  </si>
  <si>
    <t>Lungomare Mameli 66</t>
  </si>
  <si>
    <t>www.hcorallo.it</t>
  </si>
  <si>
    <t>info@hcorallo.it</t>
  </si>
  <si>
    <t>Lungomare Alighieri 11</t>
  </si>
  <si>
    <t>www.hoteleuropa-an.it</t>
  </si>
  <si>
    <t>info@hoteleuropa-an.it</t>
  </si>
  <si>
    <t>Albergo Elena</t>
  </si>
  <si>
    <t>Via Carlo Goldoni 22</t>
  </si>
  <si>
    <t>www.hotelelena.net</t>
  </si>
  <si>
    <t>info@hotelelena.net</t>
  </si>
  <si>
    <t>Delfino</t>
  </si>
  <si>
    <t>Lungomare Mameli 43</t>
  </si>
  <si>
    <t>www.hoteldelfino.net</t>
  </si>
  <si>
    <t>info@hoteldelfino.net</t>
  </si>
  <si>
    <t>Hotel Trieste</t>
  </si>
  <si>
    <t>Via Trieste 27</t>
  </si>
  <si>
    <t>www.hotelpensionetrieste.com</t>
  </si>
  <si>
    <t>info@hotelpensionetrieste.com</t>
  </si>
  <si>
    <t>Hotel Vienna</t>
  </si>
  <si>
    <t>Via Rieti 41</t>
  </si>
  <si>
    <t>www.vienna-hotel.it</t>
  </si>
  <si>
    <t>info@vienna-hotel.it</t>
  </si>
  <si>
    <t>Moretti</t>
  </si>
  <si>
    <t>Via Raffaello Sanzio 82</t>
  </si>
  <si>
    <t>www.hotelmoretti.com</t>
  </si>
  <si>
    <t>info@hotelmoretti.com</t>
  </si>
  <si>
    <t>Primavera</t>
  </si>
  <si>
    <t>Lungomare Mameli 136</t>
  </si>
  <si>
    <t>www.albergoprimaverasenigallia.it</t>
  </si>
  <si>
    <t>info@albergoprimaverasenigallia.it</t>
  </si>
  <si>
    <t>Simona</t>
  </si>
  <si>
    <t>Via Pisa 4</t>
  </si>
  <si>
    <t>www.albergosimona.it</t>
  </si>
  <si>
    <t>info@albergosimona.it</t>
  </si>
  <si>
    <t>Rita</t>
  </si>
  <si>
    <t>Lungomare Mameli  138</t>
  </si>
  <si>
    <t>www.raggiazzurro.it</t>
  </si>
  <si>
    <t>prenotazioni@raggiazzurro.it</t>
  </si>
  <si>
    <t>Trocadero</t>
  </si>
  <si>
    <t>Via Carlo Goldoni 46</t>
  </si>
  <si>
    <t>corradopianelli@gmail.com</t>
  </si>
  <si>
    <t>Lungomare Mameli 114</t>
  </si>
  <si>
    <t>www.hotelsayonarasenigallia.it</t>
  </si>
  <si>
    <t>info@hotelsayonarasenigallia.it</t>
  </si>
  <si>
    <t>Lungomare Alighieri 126</t>
  </si>
  <si>
    <t>www.ilcontinental.com</t>
  </si>
  <si>
    <t>info@ilcontinental.com</t>
  </si>
  <si>
    <t>B&amp;B Raggio Di Luna</t>
  </si>
  <si>
    <t>Localita' Casini Soccorso 29</t>
  </si>
  <si>
    <t>www.ilraggiodiluna.it</t>
  </si>
  <si>
    <t>bbraggiodiluna@alice.it</t>
  </si>
  <si>
    <t>La Quercia Del Saggio</t>
  </si>
  <si>
    <t>Strada Comunale Morro D' Alba 5</t>
  </si>
  <si>
    <t>www.laquerciadelsaggio.it</t>
  </si>
  <si>
    <t>laquerciadelsaggio@gmail.com</t>
  </si>
  <si>
    <t>Lunazzurra</t>
  </si>
  <si>
    <t>Via A. Caro 31</t>
  </si>
  <si>
    <t>https://sites.google.com/site/bblunazzurrasenigallia/</t>
  </si>
  <si>
    <t>lunazzurra.b.b@gmail.com</t>
  </si>
  <si>
    <t>La Nave</t>
  </si>
  <si>
    <t>Lungomare Leonardo Da Vinci N 13 13</t>
  </si>
  <si>
    <t>www.residencelanave.it</t>
  </si>
  <si>
    <t>info@residencelanave.it</t>
  </si>
  <si>
    <t>Via Strada Terza 28</t>
  </si>
  <si>
    <t>ginmaur1@tin.it</t>
  </si>
  <si>
    <t>Avana</t>
  </si>
  <si>
    <t>Via Perugia 5</t>
  </si>
  <si>
    <t>info@residenceavana.it</t>
  </si>
  <si>
    <t>B&amp;B Nonna Rina</t>
  </si>
  <si>
    <t>Via Mazzini 38</t>
  </si>
  <si>
    <t>Loc. Montignano</t>
  </si>
  <si>
    <t>www.nonnarina.altervista.org</t>
  </si>
  <si>
    <t>buccisabrina@virgilio.it</t>
  </si>
  <si>
    <t>Hotel Trieste Dipendenza 3</t>
  </si>
  <si>
    <t>Via Trieste 32</t>
  </si>
  <si>
    <t>Hotel Trieste Dipendenza 2</t>
  </si>
  <si>
    <t>Via Trieste 29</t>
  </si>
  <si>
    <t>Hotel Trieste Dipendenza 1</t>
  </si>
  <si>
    <t>Via Trieste 25</t>
  </si>
  <si>
    <t>B&amp;B Villa Giulia</t>
  </si>
  <si>
    <t>Strada Com.Le Filetto 1</t>
  </si>
  <si>
    <t>villagiuliasenigallia@gmail.com</t>
  </si>
  <si>
    <t>Residence America</t>
  </si>
  <si>
    <t>Lungomare Alighieri 84</t>
  </si>
  <si>
    <t>studio.verdini@libero.it</t>
  </si>
  <si>
    <t>B&amp;B La Rosa Di Sabbia</t>
  </si>
  <si>
    <t>Lungomare Marconi 30</t>
  </si>
  <si>
    <t>B&amp;B Al Vivere Verde</t>
  </si>
  <si>
    <t>Via Bramante  9/C</t>
  </si>
  <si>
    <t>alvivereverde@virgilio.it</t>
  </si>
  <si>
    <t>B&amp;B La Parisienne</t>
  </si>
  <si>
    <t>G. Fiorini 13</t>
  </si>
  <si>
    <t>www.bblaparisienne.it</t>
  </si>
  <si>
    <t>luciano.girolimetti@tiscali.it</t>
  </si>
  <si>
    <t>Tenenti Rosanna</t>
  </si>
  <si>
    <t>Via Lungomare Da Vinci 95</t>
  </si>
  <si>
    <t>stpellegrini_daniele@tiscali.it</t>
  </si>
  <si>
    <t>The Nello'S Holiday Houses</t>
  </si>
  <si>
    <t>Via Lungomare 95</t>
  </si>
  <si>
    <t>Il Campetto</t>
  </si>
  <si>
    <t>Strada Torre Campetto  130</t>
  </si>
  <si>
    <t>info@bertigroup.it</t>
  </si>
  <si>
    <t>B&amp;B Via Della Marina 3</t>
  </si>
  <si>
    <t>Strada Della Marina 3</t>
  </si>
  <si>
    <t>vmontesi@yahoo.com</t>
  </si>
  <si>
    <t>Hotel Villa Sorriso</t>
  </si>
  <si>
    <t>Lungomare Alighieri 98</t>
  </si>
  <si>
    <t>hotelvillasorriso.altervista.org</t>
  </si>
  <si>
    <t>hotelvillasorrisosenigallia@gmail.com</t>
  </si>
  <si>
    <t>Pensione Licia</t>
  </si>
  <si>
    <t>Lungomare Leonardo Da Vinci 50</t>
  </si>
  <si>
    <t>www.pensionelicia.it</t>
  </si>
  <si>
    <t>pensione-licia@libero.it</t>
  </si>
  <si>
    <t>B&amp;B La Pennica</t>
  </si>
  <si>
    <t>Strada Berardinelli Scapezzano 294</t>
  </si>
  <si>
    <t>info@lapennica.it</t>
  </si>
  <si>
    <t>B&amp;B Antico Gelso</t>
  </si>
  <si>
    <t>Strada Della Donnella 116</t>
  </si>
  <si>
    <t>info@bbanticogelso.it</t>
  </si>
  <si>
    <t>Villaggio Camping Blu</t>
  </si>
  <si>
    <t>Lungomare Italia 3/B</t>
  </si>
  <si>
    <t>www.villaggiocampingblu.com</t>
  </si>
  <si>
    <t>info@villaggiocampingblu.com</t>
  </si>
  <si>
    <t>B&amp;B Lo Scornabecco</t>
  </si>
  <si>
    <t>Via Antonio Fratti 18</t>
  </si>
  <si>
    <t>Scapezzano</t>
  </si>
  <si>
    <t>www.loscornabecco.it</t>
  </si>
  <si>
    <t>loscornabecco@alice.it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</si>
  <si>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</si>
  <si>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</si>
  <si>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</si>
  <si>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</si>
  <si>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</si>
  <si>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La Cercua</t>
  </si>
  <si>
    <t>Cannella</t>
  </si>
  <si>
    <t>www.lacercua.com</t>
  </si>
  <si>
    <t>info@lacercua.com</t>
  </si>
  <si>
    <t>Country House Sant'Angelo</t>
  </si>
  <si>
    <t>Strada Costa Dei Fabbri 221</t>
  </si>
  <si>
    <t>Sant'Angelo</t>
  </si>
  <si>
    <t>www.countryhousesantangelo.it</t>
  </si>
  <si>
    <t>pamelabacolini@libero.it</t>
  </si>
  <si>
    <t>Domus Marina</t>
  </si>
  <si>
    <t>Lungomare Italia 84</t>
  </si>
  <si>
    <t>Marzocca</t>
  </si>
  <si>
    <t>Il Vecchio Scornabecco</t>
  </si>
  <si>
    <t>Strada Scornabecco 85</t>
  </si>
  <si>
    <t>www.ilvecchioscornabecco.com</t>
  </si>
  <si>
    <t>info@ilvecchioscornabecco.com</t>
  </si>
  <si>
    <t>B&amp;B Il Gelso</t>
  </si>
  <si>
    <t>Strada Fabbrici Ville 60</t>
  </si>
  <si>
    <t>info@gelsoincollina.it</t>
  </si>
  <si>
    <t>B&amp;B A Casa Di Mauro</t>
  </si>
  <si>
    <t>Strada Querciabella 179</t>
  </si>
  <si>
    <t>Vallone</t>
  </si>
  <si>
    <t>maurowiller@alice.it</t>
  </si>
  <si>
    <t>Via Francesco Podesti 234</t>
  </si>
  <si>
    <t>B&amp;B Una Rotonda Sul Mare</t>
  </si>
  <si>
    <t>Lungomare Marconi 16</t>
  </si>
  <si>
    <t>marinella.marchetti3@gmail.com</t>
  </si>
  <si>
    <t>Taverna Dei Guelfi</t>
  </si>
  <si>
    <t>Strada Provinciale Corinaldese 57</t>
  </si>
  <si>
    <t>info@tavernadeiguelfi.com</t>
  </si>
  <si>
    <t>B&amp;B A Casa Di Sara</t>
  </si>
  <si>
    <t>Frazione San Silvestro Strada Intercomunale 146</t>
  </si>
  <si>
    <t>www.acasadisara.com</t>
  </si>
  <si>
    <t>acasadisara@libero.it</t>
  </si>
  <si>
    <t>Casa Onda</t>
  </si>
  <si>
    <t>Via Cannella 26</t>
  </si>
  <si>
    <t>Loc. Scapezzano</t>
  </si>
  <si>
    <t>http://www.casaonda.com</t>
  </si>
  <si>
    <t>info@casaonda.com</t>
  </si>
  <si>
    <t>B&amp;B Flat</t>
  </si>
  <si>
    <t>Via Marche 83</t>
  </si>
  <si>
    <t>B&amp;B A Mare Di Paladini Patrizia</t>
  </si>
  <si>
    <t>Lungomare Italia 8</t>
  </si>
  <si>
    <t>amarebedandbreakfast.wordpress.com</t>
  </si>
  <si>
    <t>bbamare@gmail.com</t>
  </si>
  <si>
    <t>B&amp;B Fonte Antica</t>
  </si>
  <si>
    <t>Strada Dei Cappuccini 11</t>
  </si>
  <si>
    <t>marilenamoroni@libero.it</t>
  </si>
  <si>
    <t>Hotel Souvenir</t>
  </si>
  <si>
    <t>Lungomare Leonardo Da Vinci 21</t>
  </si>
  <si>
    <t>www.hotelsouvenir.it</t>
  </si>
  <si>
    <t>info@hotelsouvenir.it</t>
  </si>
  <si>
    <t>Raggio Di Luna</t>
  </si>
  <si>
    <t>Lungomare Leonardo Da Vinci 60</t>
  </si>
  <si>
    <t>Albergo Bice Dependance</t>
  </si>
  <si>
    <t>Finis Africae</t>
  </si>
  <si>
    <t>Strada Provinciale Sant' Angelo 155</t>
  </si>
  <si>
    <t>www.finisafricae.com</t>
  </si>
  <si>
    <t>info@finisafricae.info</t>
  </si>
  <si>
    <t>Antica Armonia</t>
  </si>
  <si>
    <t>Strada Del Soccorso 17</t>
  </si>
  <si>
    <t>www.anticarmonia.it</t>
  </si>
  <si>
    <t>anticaarmonia@libero.it</t>
  </si>
  <si>
    <t>Locanda Strada Della Marina</t>
  </si>
  <si>
    <t>Strada Della Marina 265</t>
  </si>
  <si>
    <t>astro.gest_@libero.it</t>
  </si>
  <si>
    <t>Turistica</t>
  </si>
  <si>
    <t>Via Rieti 14</t>
  </si>
  <si>
    <t>www.hotelturistica.it</t>
  </si>
  <si>
    <t>hotelturistica@libero.it</t>
  </si>
  <si>
    <t>Via Abruzzi 7</t>
  </si>
  <si>
    <t>www.hotelparadisosenigallia.it</t>
  </si>
  <si>
    <t>info@hotelparadisosenigallia.it</t>
  </si>
  <si>
    <t>Agriturismo La Marazzana</t>
  </si>
  <si>
    <t>Strada Provinciale Corinaldese 105</t>
  </si>
  <si>
    <t>www.lamarazzana.it</t>
  </si>
  <si>
    <t>info@lamarazzana.it</t>
  </si>
  <si>
    <t>Venezia</t>
  </si>
  <si>
    <t>Via Rieti 68</t>
  </si>
  <si>
    <t>www.hotelveneziasenigallia.com</t>
  </si>
  <si>
    <t>hotel.venezia@libero.it</t>
  </si>
  <si>
    <t>Ancore</t>
  </si>
  <si>
    <t>Lungomare Mameli 243</t>
  </si>
  <si>
    <t>www.hotelancore.it</t>
  </si>
  <si>
    <t>info@hotelancore.it</t>
  </si>
  <si>
    <t>Faro</t>
  </si>
  <si>
    <t>Lungomare Mameli 110</t>
  </si>
  <si>
    <t>www.hotel-faro.it</t>
  </si>
  <si>
    <t>mily80@libero.it</t>
  </si>
  <si>
    <t>Lungomare Italia 67</t>
  </si>
  <si>
    <t>www.hotelrexsenigallia.it</t>
  </si>
  <si>
    <t>info@hotelrexsenigallia.it</t>
  </si>
  <si>
    <t>Lungomare Alighieri 5</t>
  </si>
  <si>
    <t>www.albergoregina.it</t>
  </si>
  <si>
    <t>info@albergoregina.it</t>
  </si>
  <si>
    <t>Prima Strada 23</t>
  </si>
  <si>
    <t>Cesano</t>
  </si>
  <si>
    <t>www.caraibihotel.it</t>
  </si>
  <si>
    <t>info@caraibihotel.it</t>
  </si>
  <si>
    <t>Fiorella</t>
  </si>
  <si>
    <t>Via Puglia 12</t>
  </si>
  <si>
    <t>www.hotel-fiorella.it</t>
  </si>
  <si>
    <t>info@hotel-fiorella.it</t>
  </si>
  <si>
    <t>Conchiglia</t>
  </si>
  <si>
    <t>Via Rieti 132</t>
  </si>
  <si>
    <t>www.hconchiglia.com</t>
  </si>
  <si>
    <t>info@hconchiglia.com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</si>
  <si>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</si>
  <si>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</si>
  <si>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</si>
  <si>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</si>
  <si>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</si>
  <si>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</si>
  <si>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</si>
  <si>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N° 77</t>
  </si>
  <si>
    <t>Lungomare Alighieri 77 77</t>
  </si>
  <si>
    <t>filippo.borioni@hotmail.it</t>
  </si>
  <si>
    <t>Bagni N° 64 - Apapaya</t>
  </si>
  <si>
    <t>Lungomare Alighieri 64 64</t>
  </si>
  <si>
    <t>Bagni Cinquantuno N° 20</t>
  </si>
  <si>
    <t>Bagni Elena N° 45</t>
  </si>
  <si>
    <t>Agriturismo Oasi  Bio Verde Marina</t>
  </si>
  <si>
    <t>Strada Del Ferriero 247</t>
  </si>
  <si>
    <t>www.oasibioverdemarina.it</t>
  </si>
  <si>
    <t>oasibioverdemarina@libero.it</t>
  </si>
  <si>
    <t>B&amp;B "Il Grano E Le Stelle" Relais</t>
  </si>
  <si>
    <t>Strada Fabbrici Ville 92</t>
  </si>
  <si>
    <t>www.ilgranoelestelle.com</t>
  </si>
  <si>
    <t>ilgranoelestelle@gmail.com</t>
  </si>
  <si>
    <t>Localita' Casini Soccorso 7</t>
  </si>
  <si>
    <t>www.acasamiavacanze.it</t>
  </si>
  <si>
    <t>a.casamia@virgilio.it</t>
  </si>
  <si>
    <t>B&amp;B Casa Fuori Casa</t>
  </si>
  <si>
    <t>Via G.Vico 7</t>
  </si>
  <si>
    <t>www.casafuoricasa.it</t>
  </si>
  <si>
    <t>info@casafuoricasa.it</t>
  </si>
  <si>
    <t>Country House La Madonnina</t>
  </si>
  <si>
    <t>Frazione Filetto Via Cavallo Montirone 211</t>
  </si>
  <si>
    <t>www.countryhouselamadonnina.it</t>
  </si>
  <si>
    <t>info@countryhouselamadonnina.it</t>
  </si>
  <si>
    <t>B&amp;B Querciabella</t>
  </si>
  <si>
    <t>Strada Querciabella 185</t>
  </si>
  <si>
    <t>www.bbquerciabella.it</t>
  </si>
  <si>
    <t>querciabella@hotmail.it</t>
  </si>
  <si>
    <t>Terrazza Marconi</t>
  </si>
  <si>
    <t>Lungomare Marconi 37</t>
  </si>
  <si>
    <t>www.terrazzamarconi.it</t>
  </si>
  <si>
    <t>info@terrazzamarconi.it</t>
  </si>
  <si>
    <t>Bagni Bano N.114</t>
  </si>
  <si>
    <t>Lungomare Leonardo Da Vinci 114 114</t>
  </si>
  <si>
    <t>rirogemma@gmail.it</t>
  </si>
  <si>
    <t>Bagni N.107 Stella Marina</t>
  </si>
  <si>
    <t>Lungomare Leonardo Da Vinci 107 107</t>
  </si>
  <si>
    <t>Bagni Lucia N.139</t>
  </si>
  <si>
    <t>info@albergolucia.net</t>
  </si>
  <si>
    <t>www.albergolucia.net</t>
  </si>
  <si>
    <t>Bagni N.130</t>
  </si>
  <si>
    <t>Lungomare Leonardo Da Vinci 130 130</t>
  </si>
  <si>
    <t>Lucia</t>
  </si>
  <si>
    <t>Lungomare Leonardo Da Vinci 19</t>
  </si>
  <si>
    <t>www.hotelnettuno.org</t>
  </si>
  <si>
    <t>info@hotelnettuno.org</t>
  </si>
  <si>
    <t>Massi</t>
  </si>
  <si>
    <t>Piazzale Rosa Morandi 10</t>
  </si>
  <si>
    <t>www.italiaabc.it</t>
  </si>
  <si>
    <t>hotelmassi@virgilio.it</t>
  </si>
  <si>
    <t>Lungomare Leonardo Da Vinci 1</t>
  </si>
  <si>
    <t>www.hotelolympiasenigallia.it</t>
  </si>
  <si>
    <t>info@hotelolympiasenigallia.it</t>
  </si>
  <si>
    <t>Il Rifugio</t>
  </si>
  <si>
    <t>Strada Provinciale Sant'Angelo 210/A</t>
  </si>
  <si>
    <t>www.agriturismoilrifugio.com</t>
  </si>
  <si>
    <t>info@agriturismoilrifugio.com</t>
  </si>
  <si>
    <t>Pancotti Alessandro</t>
  </si>
  <si>
    <t>Strada San Michele Molinello 1</t>
  </si>
  <si>
    <t>a.pancotti@alice.it</t>
  </si>
  <si>
    <t>Lungomare Leonardo Da Vinci 54</t>
  </si>
  <si>
    <t>www.campingliana.it</t>
  </si>
  <si>
    <t>info@campingliana.it</t>
  </si>
  <si>
    <t>Mare Verde</t>
  </si>
  <si>
    <t>Lungomare Leonardo Da Vinci 95</t>
  </si>
  <si>
    <t>Villaggio Turistico Benvivere</t>
  </si>
  <si>
    <t>Lungomare Leonardo Da Vinci 54 Bis</t>
  </si>
  <si>
    <t>www.benvivere.com</t>
  </si>
  <si>
    <t>benvivere@libero.it</t>
  </si>
  <si>
    <t>Camping Adriatico</t>
  </si>
  <si>
    <t>Strada Statale Adriatica Sud 264/B</t>
  </si>
  <si>
    <t>www.campeggioadriatico.com</t>
  </si>
  <si>
    <t>info@campeggioadriatico.com</t>
  </si>
  <si>
    <t>Cortina</t>
  </si>
  <si>
    <t>Lungomare Italia 1</t>
  </si>
  <si>
    <t>www.campingcortina.com www.campingcortina.net</t>
  </si>
  <si>
    <t>camping.cortina@libero.it</t>
  </si>
  <si>
    <t>Green Camping</t>
  </si>
  <si>
    <t>Strada Alderana 8</t>
  </si>
  <si>
    <t>www.greencamping.it</t>
  </si>
  <si>
    <t>info@greencamping.it</t>
  </si>
  <si>
    <t>Appartamenti Regni</t>
  </si>
  <si>
    <t>Via Francesco Podesti 149</t>
  </si>
  <si>
    <t>www.residenceregni.it</t>
  </si>
  <si>
    <t>fabregni@tin.it</t>
  </si>
  <si>
    <t>Residence Mare Verde (Ferro Giovanni Francesco &amp; C. S.A.S)</t>
  </si>
  <si>
    <t>Via Umberto Giordano 44</t>
  </si>
  <si>
    <t>www.mareverde.it</t>
  </si>
  <si>
    <t>info@mareverde.it - mareverde@netpec.net</t>
  </si>
  <si>
    <t>Smeraldo</t>
  </si>
  <si>
    <t>Lungomare Leonardo Da Vinci 44/F</t>
  </si>
  <si>
    <t>campingsmeraldo1@hotmail.it</t>
  </si>
  <si>
    <t>Playa</t>
  </si>
  <si>
    <t>Lungomare Leonardo Da Vinci 72</t>
  </si>
  <si>
    <t>baruccarenato@gmail.com</t>
  </si>
  <si>
    <t>Lungomare Leonardo Da Vinci 75</t>
  </si>
  <si>
    <t>Summerland</t>
  </si>
  <si>
    <t>Via Francesco Podesti 236</t>
  </si>
  <si>
    <t>www.campingsummerland.it</t>
  </si>
  <si>
    <t>info@campingsummerland.it</t>
  </si>
  <si>
    <t>Spiaggia Di Velluto</t>
  </si>
  <si>
    <t>www.campingspiaggiadivelluto.it</t>
  </si>
  <si>
    <t>info@campingspiaggiadivelluto.it</t>
  </si>
  <si>
    <t>Lungomare Leonardo Da Vinci 20</t>
  </si>
  <si>
    <t>www.hotelroma.net</t>
  </si>
  <si>
    <t>info@hotelroma.net</t>
  </si>
  <si>
    <t>Lungomare Alighieri 124</t>
  </si>
  <si>
    <t>www.hmajestic.com</t>
  </si>
  <si>
    <t>info@hmajestic.com</t>
  </si>
  <si>
    <t>Lungomare Alighieri 34</t>
  </si>
  <si>
    <t>www.hotelsenigallia.net</t>
  </si>
  <si>
    <t>info@hotelsenigallia.net</t>
  </si>
  <si>
    <t>Lungomare Leonardo Da Vinci 18</t>
  </si>
  <si>
    <t>www.hoteltritone.net</t>
  </si>
  <si>
    <t>info@hoteltritone.net</t>
  </si>
  <si>
    <t>Argentina</t>
  </si>
  <si>
    <t>Lungomare Alighieri 82</t>
  </si>
  <si>
    <t>www.hargentina.com</t>
  </si>
  <si>
    <t>info@hargentina.com</t>
  </si>
  <si>
    <t>Lungomare Mameli 50</t>
  </si>
  <si>
    <t>www.hotel-mareblu.it</t>
  </si>
  <si>
    <t>info@hotel-mareblu.it</t>
  </si>
  <si>
    <t>Lungomare Mameli 44</t>
  </si>
  <si>
    <t>www.hotelinternationalsenigallia.com</t>
  </si>
  <si>
    <t>info@hotelinternationalsenigallia.com</t>
  </si>
  <si>
    <t>Lungomare Dante Alighieri 108</t>
  </si>
  <si>
    <t>www.hotelitalia-senigallia.it</t>
  </si>
  <si>
    <t>hotelitalia.senigallia@gmail.com</t>
  </si>
  <si>
    <t>Lungomare Leonardo Da Vinci 22</t>
  </si>
  <si>
    <t>www.hotel-perla.net</t>
  </si>
  <si>
    <t>hotelperla2003@libero.it</t>
  </si>
  <si>
    <t>Hotel Beaurivage</t>
  </si>
  <si>
    <t>Lungomare Marconi 28</t>
  </si>
  <si>
    <t>www.hotelbeaurivagesenigallia.com</t>
  </si>
  <si>
    <t>info@hotelbeaurivagesenigallia.com</t>
  </si>
  <si>
    <t>www.atlantic-hotel.it</t>
  </si>
  <si>
    <t>info@atlantic-hotel.it</t>
  </si>
  <si>
    <t>Ambasciatori</t>
  </si>
  <si>
    <t>Lungomare Leonardo Da Vinci 92</t>
  </si>
  <si>
    <t>www.ambasciatorisenigallia.it</t>
  </si>
  <si>
    <t>info@ambasciatorisenigallia.it</t>
  </si>
  <si>
    <t>Lungomare Mameli 57</t>
  </si>
  <si>
    <t>www.hbologna.net</t>
  </si>
  <si>
    <t>info@hbologna.net</t>
  </si>
  <si>
    <t>Hotel Bel Sit</t>
  </si>
  <si>
    <t>Via Dei Cappuccini  15</t>
  </si>
  <si>
    <t>www.belsit.net</t>
  </si>
  <si>
    <t>info@belsit.net</t>
  </si>
  <si>
    <t>Lungomare Alighieri 90</t>
  </si>
  <si>
    <t>www.hotelbalticsenigallia.it</t>
  </si>
  <si>
    <t>info@hotelbalticsenigallia.it</t>
  </si>
  <si>
    <t>Piazzale Nino Bixio 35</t>
  </si>
  <si>
    <t>www.lavelasenigallia.it</t>
  </si>
  <si>
    <t>info@lavelasenigallia.it</t>
  </si>
  <si>
    <t>Via Umberto Giordano 20</t>
  </si>
  <si>
    <t>www.hotellequerce.com</t>
  </si>
  <si>
    <t>info@hotellequerce.com</t>
  </si>
  <si>
    <t>Hotel Lori</t>
  </si>
  <si>
    <t>Lungomare Italia 28</t>
  </si>
  <si>
    <t>www.hotellori.com</t>
  </si>
  <si>
    <t>hotellori@gmail.com</t>
  </si>
  <si>
    <t>Hollywood</t>
  </si>
  <si>
    <t>Lungomare Alighieri 62</t>
  </si>
  <si>
    <t>www.hotel-hollywood.it</t>
  </si>
  <si>
    <t>info@hotel-hollywood.it</t>
  </si>
  <si>
    <t>Lungomare Alighieri 78</t>
  </si>
  <si>
    <t>www.hotelsirena.com</t>
  </si>
  <si>
    <t>info@hotelsirena.com</t>
  </si>
  <si>
    <t>B&amp;B Casatorricelli</t>
  </si>
  <si>
    <t>Via Torricelli 11/A</t>
  </si>
  <si>
    <t>info@casatorricelli.it</t>
  </si>
  <si>
    <t>B&amp;B Il Papavero</t>
  </si>
  <si>
    <t>Strada Provinciale Arceviese 98</t>
  </si>
  <si>
    <t>claudia.b@lemarche.it</t>
  </si>
  <si>
    <t>Villa Savignano</t>
  </si>
  <si>
    <t>Strada Di Savignano 253</t>
  </si>
  <si>
    <t>Grottino</t>
  </si>
  <si>
    <t>www.agriturismovillasavignano.it</t>
  </si>
  <si>
    <t>borisbart@alice.it</t>
  </si>
  <si>
    <t>Gasperini Donatella</t>
  </si>
  <si>
    <t>Via Puccini 4</t>
  </si>
  <si>
    <t>affittiestivi@belenchia.com</t>
  </si>
  <si>
    <t>Simonetti Lorella</t>
  </si>
  <si>
    <t>Via Delle Genziane 14</t>
  </si>
  <si>
    <t>affittestivi@belenchia.com</t>
  </si>
  <si>
    <t>Baldini Giovanni App.To Piano Primo</t>
  </si>
  <si>
    <t>Via Podesti 226</t>
  </si>
  <si>
    <t>La Viola</t>
  </si>
  <si>
    <t>Piazzale Cairoli 2</t>
  </si>
  <si>
    <t>bologninifabrizio@libero.it</t>
  </si>
  <si>
    <t>Bevilacqua Alessandra</t>
  </si>
  <si>
    <t>Viale Bonopera 34</t>
  </si>
  <si>
    <t>Mattoli Maria</t>
  </si>
  <si>
    <t>Via Puglie  7</t>
  </si>
  <si>
    <t>Pieralisi Gianna</t>
  </si>
  <si>
    <t>Via Lungomare Alighieri  28</t>
  </si>
  <si>
    <t>Burattini Nazzareno</t>
  </si>
  <si>
    <t>Lungomare Mameli 93</t>
  </si>
  <si>
    <t>Porfido Luigi</t>
  </si>
  <si>
    <t>Lungomare Mameli  265</t>
  </si>
  <si>
    <t>Santolini Stefania</t>
  </si>
  <si>
    <t>Via Zara 6</t>
  </si>
  <si>
    <t>Errico Vincenzo</t>
  </si>
  <si>
    <t>Via Sardegna 1</t>
  </si>
  <si>
    <t>titti@cedsbarbati.it</t>
  </si>
  <si>
    <t>Simonetti Luciana</t>
  </si>
  <si>
    <t>Via Spontini 48</t>
  </si>
  <si>
    <t>Via Spontini, 48</t>
  </si>
  <si>
    <t>Bacchiocchi Carlo</t>
  </si>
  <si>
    <t>Via S. Giovanni  5</t>
  </si>
  <si>
    <t>annamaria.bocconi@gmail.it</t>
  </si>
  <si>
    <t>Andriani Anna</t>
  </si>
  <si>
    <t>Via Istria 1</t>
  </si>
  <si>
    <t>Bilei Maria Teresa</t>
  </si>
  <si>
    <t>Lungomare Alighieri 28</t>
  </si>
  <si>
    <t>Marmugi Mauro</t>
  </si>
  <si>
    <t>Via Mameli 242/B</t>
  </si>
  <si>
    <t>info@dimoraimmobiliare.it</t>
  </si>
  <si>
    <t>Ripesi Rolando</t>
  </si>
  <si>
    <t>Lungomare Italia 123</t>
  </si>
  <si>
    <t>rolandoripesi@libero.it</t>
  </si>
  <si>
    <t>Manfredi Viviana</t>
  </si>
  <si>
    <t>Via Mondolfo 22</t>
  </si>
  <si>
    <t>Marcantoni Alberto</t>
  </si>
  <si>
    <t>Silvestrini Liviana App.To Via Degli Ulivi</t>
  </si>
  <si>
    <t>Via Degli Ulivi 77</t>
  </si>
  <si>
    <t>Silvestrini Liviana App.To Viale Sorrento</t>
  </si>
  <si>
    <t>Viale Sorrento 23/A</t>
  </si>
  <si>
    <t>Marchegiani Paolo</t>
  </si>
  <si>
    <t>Lungomare Italia 30/A</t>
  </si>
  <si>
    <t>Benelli Andrea</t>
  </si>
  <si>
    <t>Via Tagliamento 7</t>
  </si>
  <si>
    <t>affitiestivi@belenchia.com</t>
  </si>
  <si>
    <t>Quadrini Lorenza Paola</t>
  </si>
  <si>
    <t>Via Bologna  2/B</t>
  </si>
  <si>
    <t>Mazzanti Elena App.To Via Rieti</t>
  </si>
  <si>
    <t>Via Rieti 50</t>
  </si>
  <si>
    <t>Contini Mirco</t>
  </si>
  <si>
    <t>Via Basilicata 3/C</t>
  </si>
  <si>
    <t>Mazzanti Elena App.To Via Basilicata</t>
  </si>
  <si>
    <t>Via Rieti  50</t>
  </si>
  <si>
    <t>Casabianca Paola</t>
  </si>
  <si>
    <t>Via Montegrappa 16</t>
  </si>
  <si>
    <t>paola.gasperini@confartigianatoimprese.net</t>
  </si>
  <si>
    <t>Simoncelli Paola</t>
  </si>
  <si>
    <t>Via Feltrini 15</t>
  </si>
  <si>
    <t>vangelina@alice.it</t>
  </si>
  <si>
    <t>Il Nido Sul Tetto Di Marchetti Anna</t>
  </si>
  <si>
    <t>Via R. Sanzio 353/A</t>
  </si>
  <si>
    <t>annamarchetti56@libero.it</t>
  </si>
  <si>
    <t>Mecocci Andrea</t>
  </si>
  <si>
    <t>Via Terza Strada 47/A</t>
  </si>
  <si>
    <t>Mazzanti Gianfranco</t>
  </si>
  <si>
    <t>Via Bari  1/A</t>
  </si>
  <si>
    <t>Ripesi Angela</t>
  </si>
  <si>
    <t>angela@eos-web.it</t>
  </si>
  <si>
    <t>Bigelli Giancarlo</t>
  </si>
  <si>
    <t>Via Mameli 1</t>
  </si>
  <si>
    <t>bigelli.giancarlo@pec.it</t>
  </si>
  <si>
    <t>Balducci Cristina</t>
  </si>
  <si>
    <t>Via Renato Ciucci 13</t>
  </si>
  <si>
    <t>cristina.balducci@hotmail.it</t>
  </si>
  <si>
    <t>Piergentili Emanuela</t>
  </si>
  <si>
    <t>Via Podesti 133</t>
  </si>
  <si>
    <t>emanuela.piergentili@interno.it</t>
  </si>
  <si>
    <t>Bartolini Egidio</t>
  </si>
  <si>
    <t>Strada Della Marina-Scapezzano 266/C</t>
  </si>
  <si>
    <t>bartolini.egidio@gmail.com</t>
  </si>
  <si>
    <t>B&amp;B Corrado Raffaele</t>
  </si>
  <si>
    <t>Via F.Lli Bandiera 28</t>
  </si>
  <si>
    <t>consorzio.costruttori@legalmail.it</t>
  </si>
  <si>
    <t>Lanterna Blu</t>
  </si>
  <si>
    <t>S.S. Adriatica 132</t>
  </si>
  <si>
    <t>www.affittacamerelanternablu.it</t>
  </si>
  <si>
    <t>marco.quattrini@alice.it</t>
  </si>
  <si>
    <t>B&amp;B Sotto Le Logge</t>
  </si>
  <si>
    <t>Via Portici Ercolani 53</t>
  </si>
  <si>
    <t>kimmiky@tiscali.it</t>
  </si>
  <si>
    <t>B&amp;B Vista Mare</t>
  </si>
  <si>
    <t>Via Villanova 2/B</t>
  </si>
  <si>
    <t>Montignano</t>
  </si>
  <si>
    <t>sylvanacatalani@gmail.com</t>
  </si>
  <si>
    <t>Residence Senbhotel 2</t>
  </si>
  <si>
    <t>Via Bonopera 32</t>
  </si>
  <si>
    <t>Residence Senbhotel 1</t>
  </si>
  <si>
    <t>Viale Bonopera 32</t>
  </si>
  <si>
    <t>Mencucci Carlo</t>
  </si>
  <si>
    <t>Via Ugo Bassi  15/A</t>
  </si>
  <si>
    <t>carlo.mencucci@teletu.it</t>
  </si>
  <si>
    <t>Hotel Villa Del Mare</t>
  </si>
  <si>
    <t>Via Sardegna 4</t>
  </si>
  <si>
    <t>www.villadelmare.it</t>
  </si>
  <si>
    <t>hotel@villadelmare.it</t>
  </si>
  <si>
    <t>B&amp;B Rosella</t>
  </si>
  <si>
    <t>Via Vespucci 5/C</t>
  </si>
  <si>
    <t>fede.brt@libero.it</t>
  </si>
  <si>
    <t>Hotel Ristorante Pizzeria Chiar Di Luna</t>
  </si>
  <si>
    <t>Via A.Panzini 19</t>
  </si>
  <si>
    <t>http://ginnoxp.wix.com/chiardiluna</t>
  </si>
  <si>
    <t>solesoridente@gmail.com</t>
  </si>
  <si>
    <t>B&amp;B La Rana</t>
  </si>
  <si>
    <t>Via Camposanto Vecchio 53</t>
  </si>
  <si>
    <t>marcosignoriluigi@alice.it</t>
  </si>
  <si>
    <t>Hotel Cristallo</t>
  </si>
  <si>
    <t>Lungomare Alighieri 2</t>
  </si>
  <si>
    <t>info@mastruccizoppini.it</t>
  </si>
  <si>
    <t>L'Arca Di Sabrina</t>
  </si>
  <si>
    <t>Strada Del Cavallo  79</t>
  </si>
  <si>
    <t>Portone</t>
  </si>
  <si>
    <t>larcadisabrina@sicurezzapostale.it</t>
  </si>
  <si>
    <t>Agriturismo I Ciliegi</t>
  </si>
  <si>
    <t>Via Del Casale 3</t>
  </si>
  <si>
    <t>www.agriturismoiciliegi.it</t>
  </si>
  <si>
    <t>tiziana-c@libero.it</t>
  </si>
  <si>
    <t>Hotel Nuovo Diana</t>
  </si>
  <si>
    <t>Lungomare Leonardo Da Vinci 81</t>
  </si>
  <si>
    <t>hotelnuovodiana@adriatic-sea.com</t>
  </si>
  <si>
    <t>Il Gallo Senone Resort</t>
  </si>
  <si>
    <t>Strada Del Crocifisso 171</t>
  </si>
  <si>
    <t>www.ilgallosenone.it</t>
  </si>
  <si>
    <t>info@ilgallosenone.it</t>
  </si>
  <si>
    <t>Riccardi Sandro</t>
  </si>
  <si>
    <t>Via Raffaello Sanzio 186</t>
  </si>
  <si>
    <t>sandro.riccardi@alice.it</t>
  </si>
  <si>
    <t>Beatrice</t>
  </si>
  <si>
    <t>Via San Gaudenzio 1</t>
  </si>
  <si>
    <t>lanuovabraceria@libero.it</t>
  </si>
  <si>
    <t>Villa Sabra</t>
  </si>
  <si>
    <t>sabrahotel@yahoo.com</t>
  </si>
  <si>
    <t>Spadini Alice App.To Piano Terra</t>
  </si>
  <si>
    <t>Lungomare Italia 78</t>
  </si>
  <si>
    <t>83alicespadini@libero.it</t>
  </si>
  <si>
    <t>Spadini Alice App.To Piano Secondo</t>
  </si>
  <si>
    <t>Lungomare Italia 80</t>
  </si>
  <si>
    <t>Contardi Giovanni</t>
  </si>
  <si>
    <t>Via Istria 4</t>
  </si>
  <si>
    <t>g.contardi@pcprocessingcenter.191.it</t>
  </si>
  <si>
    <t>Mauro Mancini</t>
  </si>
  <si>
    <t>Via B. Buozzi 10</t>
  </si>
  <si>
    <t>mauro_mancini@hotmail.it</t>
  </si>
  <si>
    <t>Alfonsi Stefania</t>
  </si>
  <si>
    <t>Via Ariosto 5</t>
  </si>
  <si>
    <t>fiorettileonardo@libero.it</t>
  </si>
  <si>
    <t>Consoli Anna Rita</t>
  </si>
  <si>
    <t>Lungomare Mameli 265</t>
  </si>
  <si>
    <t>Casagrande Albano Carla</t>
  </si>
  <si>
    <t>Lungomare Mameli 251/A</t>
  </si>
  <si>
    <t>Mori Giancarlo App.To Mameli 112 (2)</t>
  </si>
  <si>
    <t>Lungomare Mameli 112</t>
  </si>
  <si>
    <t>carlobelli2013@gmail.com</t>
  </si>
  <si>
    <t>Mori Giancarlo App.To Mameli 112 (1)</t>
  </si>
  <si>
    <t>Mori Giancarlo App.To Mameli 113</t>
  </si>
  <si>
    <t>Lungomare Mameli 113</t>
  </si>
  <si>
    <t>Lulicanda</t>
  </si>
  <si>
    <t>Via Scornabecco 82</t>
  </si>
  <si>
    <t>lulicanda@gmail.com</t>
  </si>
  <si>
    <t>Mazzarini Danilo</t>
  </si>
  <si>
    <t>Via Raffaello Sanzio 203/2E</t>
  </si>
  <si>
    <t>danilomazzarini@alice.it</t>
  </si>
  <si>
    <t>Pianelli Susi Maria</t>
  </si>
  <si>
    <t>Via R. Sanzio  223</t>
  </si>
  <si>
    <t>susy.pianelli@libero.it</t>
  </si>
  <si>
    <t>Magi Maria App.To Via Fogazzaro</t>
  </si>
  <si>
    <t>Via Fogazzaro 3</t>
  </si>
  <si>
    <t>livi55@libero.it</t>
  </si>
  <si>
    <t>Magi Maria App.To Via Ariosto</t>
  </si>
  <si>
    <t>Via Ariosto 2</t>
  </si>
  <si>
    <t>B&amp;B La Casa Del Viaggiatore</t>
  </si>
  <si>
    <t>Via Quintino Sella 19</t>
  </si>
  <si>
    <t>www.casadelviaggiatoresenigallia.it</t>
  </si>
  <si>
    <t>info@casadelviaggiatoresenigallia.it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</si>
  <si>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</si>
  <si>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</si>
  <si>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</si>
  <si>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</si>
  <si>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</si>
  <si>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</si>
  <si>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</si>
  <si>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</si>
  <si>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</si>
  <si>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Mazzaola Angelo</t>
  </si>
  <si>
    <t>Via L'Aquila  9</t>
  </si>
  <si>
    <t>Sartini Pino</t>
  </si>
  <si>
    <t>Lungomare Italia 44</t>
  </si>
  <si>
    <t>sara.sartini@libero.it</t>
  </si>
  <si>
    <t>Cioni Isabella Margherita</t>
  </si>
  <si>
    <t>Via Rieti 11</t>
  </si>
  <si>
    <t>Ruzziconi Maria Paola</t>
  </si>
  <si>
    <t>Lungomare Mameli - Terzo Piano 265</t>
  </si>
  <si>
    <t>Casagrande Gigliola</t>
  </si>
  <si>
    <t>Via Raffaello Sanzio 399</t>
  </si>
  <si>
    <t>fulvia.fratesi@gmail.com</t>
  </si>
  <si>
    <t>Lungomare Alighieri 146</t>
  </si>
  <si>
    <t>www.hotelroyalsenigallia.it</t>
  </si>
  <si>
    <t>info@hotelroyalsenigallia.it</t>
  </si>
  <si>
    <t>Trecentolivi</t>
  </si>
  <si>
    <t>Strada Torre Campetto  105</t>
  </si>
  <si>
    <t>niki31@inwind.it;</t>
  </si>
  <si>
    <t>Villa Pina</t>
  </si>
  <si>
    <t>Via Podesti 158</t>
  </si>
  <si>
    <t>www.villapina.it</t>
  </si>
  <si>
    <t>Casa Margherita</t>
  </si>
  <si>
    <t>Amendola  25</t>
  </si>
  <si>
    <t>catipernini@gmail.com</t>
  </si>
  <si>
    <t>Vici Mauro</t>
  </si>
  <si>
    <t>Via Tommaseo 12</t>
  </si>
  <si>
    <t>vicimauro9@gmail.com</t>
  </si>
  <si>
    <t>A Casa Di Nonna Linda</t>
  </si>
  <si>
    <t>Via Gherardi 54</t>
  </si>
  <si>
    <t>info@acasadinonnalinda.it</t>
  </si>
  <si>
    <t>Mancini Mauro</t>
  </si>
  <si>
    <t>Lungomare D. Alighieri 22/B</t>
  </si>
  <si>
    <t>Principi Emiliano</t>
  </si>
  <si>
    <t>Piazza Andrea Doria 2</t>
  </si>
  <si>
    <t>Ciunci Renato Pasquale</t>
  </si>
  <si>
    <t>Lungomare Da Vinci 63</t>
  </si>
  <si>
    <t>Angelini Giuliana</t>
  </si>
  <si>
    <t>Via Puglie 1</t>
  </si>
  <si>
    <t>Favi Umberto</t>
  </si>
  <si>
    <t>Via Pierelli 29</t>
  </si>
  <si>
    <t>Roberti Luca</t>
  </si>
  <si>
    <t>Lungomare Mameli 240</t>
  </si>
  <si>
    <t>Marchetti Alessandra</t>
  </si>
  <si>
    <t>Lungomare Leonardo Da Vinci 21/A</t>
  </si>
  <si>
    <t>senigallia@confcommerciomarchecentrali.it</t>
  </si>
  <si>
    <t>De Angelis Rosalba</t>
  </si>
  <si>
    <t>Via Mondolfo 32</t>
  </si>
  <si>
    <t>Da Adamo Osteria  E Locanda</t>
  </si>
  <si>
    <t>Strada Comunale Grazie 8</t>
  </si>
  <si>
    <t>osteriadadamo@icloud.com</t>
  </si>
  <si>
    <t>Lungomare Leonardo Da Vinci 8</t>
  </si>
  <si>
    <t>www.campingdomus.it</t>
  </si>
  <si>
    <t>campingdomus@gmail.com</t>
  </si>
  <si>
    <t>B&amp;B Tra La Rocca E Il Mare</t>
  </si>
  <si>
    <t>Via Bonopera 1</t>
  </si>
  <si>
    <t>carottip@gmail.com</t>
  </si>
  <si>
    <t>Ostello Le Dune</t>
  </si>
  <si>
    <t>www.uisp.it/senigallia</t>
  </si>
  <si>
    <t>Appartamenti Lungomare Alighieri</t>
  </si>
  <si>
    <t>Lungomare Alighieri 14/A</t>
  </si>
  <si>
    <t>Appartamenti Lungomare Italia</t>
  </si>
  <si>
    <t>Hotel Mastai</t>
  </si>
  <si>
    <t>Via Abbagnano 12</t>
  </si>
  <si>
    <t>www.hotelmastaisenigallia.it</t>
  </si>
  <si>
    <t>info@hotelmastai.it</t>
  </si>
  <si>
    <t>B&amp;B Centro Storico</t>
  </si>
  <si>
    <t>Via Mastai Ferretti 54</t>
  </si>
  <si>
    <t>pcicetti@libero.it</t>
  </si>
  <si>
    <t>Calvino Brozzesi</t>
  </si>
  <si>
    <t>Lungomare G. Marconi 25</t>
  </si>
  <si>
    <t>calvinobrozzesi@tin.it</t>
  </si>
  <si>
    <t>Sbrozzi Emilio</t>
  </si>
  <si>
    <t>Concettoni Lucia</t>
  </si>
  <si>
    <t>Piazzale Della Liberta'  4/B</t>
  </si>
  <si>
    <t>Benigni Michela</t>
  </si>
  <si>
    <t>Via Lungomare Mameli 242/B</t>
  </si>
  <si>
    <t>essepic@sicurezzapostale.it</t>
  </si>
  <si>
    <t>Bellagamba Rita</t>
  </si>
  <si>
    <t>Via R. Ciucci 8</t>
  </si>
  <si>
    <t>rita.bellagamba@gmail.com</t>
  </si>
  <si>
    <t>Sagrati Alberto App.To Via Puglie</t>
  </si>
  <si>
    <t>Via Puglie 7</t>
  </si>
  <si>
    <t>Ilari Serenella</t>
  </si>
  <si>
    <t>Lungomare Dante Alighieri 14</t>
  </si>
  <si>
    <t>Pierantoni Gabriella</t>
  </si>
  <si>
    <t>Spritz Beach</t>
  </si>
  <si>
    <t>elisa21@alice.it</t>
  </si>
  <si>
    <t>Roberti Lucio</t>
  </si>
  <si>
    <t>Cingolani Mirella</t>
  </si>
  <si>
    <t>Lungomare Italia 8/A</t>
  </si>
  <si>
    <t>susysartini@gmail.com</t>
  </si>
  <si>
    <t>Pancotti Luca</t>
  </si>
  <si>
    <t>Via Solferino 14</t>
  </si>
  <si>
    <t>avv.lucapancotti@trianieassociati.it</t>
  </si>
  <si>
    <t>Galli Giancarlo</t>
  </si>
  <si>
    <t>Piazza Giordano Bruno 14</t>
  </si>
  <si>
    <t>unotredigalli@gmail.com</t>
  </si>
  <si>
    <t>Gramaccioni Gianfranco</t>
  </si>
  <si>
    <t>Via Mercantini 15</t>
  </si>
  <si>
    <t>Micci Lamberto</t>
  </si>
  <si>
    <t>Via Strada Terza 34/C</t>
  </si>
  <si>
    <t>lamberto_micci@libero.it</t>
  </si>
  <si>
    <t>Principi Leonardo</t>
  </si>
  <si>
    <t>Via Gramsci 29</t>
  </si>
  <si>
    <t>Ciarrocchi Anna Rita</t>
  </si>
  <si>
    <t>Piazza Cameranesi 2</t>
  </si>
  <si>
    <t>annaritaciarrocchi@yahoo.it</t>
  </si>
  <si>
    <t>Sagrati Enza</t>
  </si>
  <si>
    <t>affittiestivi@senigallia.it</t>
  </si>
  <si>
    <t>Fosci Antonio</t>
  </si>
  <si>
    <t>Viale Dei Gerani 11</t>
  </si>
  <si>
    <t>Schiaroli Valentina</t>
  </si>
  <si>
    <t>Via Prima Strada  35</t>
  </si>
  <si>
    <t>orietta_59@libero.it</t>
  </si>
  <si>
    <t>Sagrati Alberto App.To Via Pierelli</t>
  </si>
  <si>
    <t>Via Pierelli 41</t>
  </si>
  <si>
    <t>Cappelletti Elsa</t>
  </si>
  <si>
    <t>Zaccaro Roberto</t>
  </si>
  <si>
    <t>Via R. Sanzio 10/1</t>
  </si>
  <si>
    <t>savino.zaccaro@ingpec.eu</t>
  </si>
  <si>
    <t>B&amp;B Le Grazie</t>
  </si>
  <si>
    <t>Strada Comunale Grazie 14/C</t>
  </si>
  <si>
    <t>Moruzzi Sara (App. N. 45)</t>
  </si>
  <si>
    <t>Via Pergolesi 45</t>
  </si>
  <si>
    <t>Moruzzi Sara (App. N. 51)</t>
  </si>
  <si>
    <t>Via Pergolesi  51</t>
  </si>
  <si>
    <t>Zaccaro Savino 125/B</t>
  </si>
  <si>
    <t>Via R. Sanzio 125/B</t>
  </si>
  <si>
    <t>ing.savinozaccaro@gmail.com</t>
  </si>
  <si>
    <t>Ambrogi Claudio</t>
  </si>
  <si>
    <t>Piazzale Libertà 12</t>
  </si>
  <si>
    <t>Zaccaro Savino 125/C</t>
  </si>
  <si>
    <t>Via R. Sanzio 125/C</t>
  </si>
  <si>
    <t>Maiolatesi Giampaolo</t>
  </si>
  <si>
    <t>Via Pierelli 33</t>
  </si>
  <si>
    <t>Azzaroni Liliana</t>
  </si>
  <si>
    <t>Via Volta 29</t>
  </si>
  <si>
    <t>Catani Stefano</t>
  </si>
  <si>
    <t>Bruschi Leonello</t>
  </si>
  <si>
    <t>Via Gioberti 17/B</t>
  </si>
  <si>
    <t>bruschileonello@sicurezzapostale.it</t>
  </si>
  <si>
    <t>Brun Maria</t>
  </si>
  <si>
    <t>Via Podesti 71</t>
  </si>
  <si>
    <t>Galimberti Ilaria</t>
  </si>
  <si>
    <t>Via Pierelli  1A</t>
  </si>
  <si>
    <t>ilariagal@hotmail.it</t>
  </si>
  <si>
    <t>Scarpone Nicola</t>
  </si>
  <si>
    <t>Via Verdi 103/D</t>
  </si>
  <si>
    <t>nicolamarev@libero.it</t>
  </si>
  <si>
    <t>Manieri Primo</t>
  </si>
  <si>
    <t>Via Vi Strada Cesano 11</t>
  </si>
  <si>
    <t>elegant@tin.it</t>
  </si>
  <si>
    <t>Cursi Quinto</t>
  </si>
  <si>
    <t>Lungomare Mameli 118/B</t>
  </si>
  <si>
    <t>quinto.cursi@email.it</t>
  </si>
  <si>
    <t>Santini Paolo</t>
  </si>
  <si>
    <t>Via Mameli 229/A</t>
  </si>
  <si>
    <t>paolo.santini@cisl.it</t>
  </si>
  <si>
    <t>Manizza Marco</t>
  </si>
  <si>
    <t>Via Trieste 16</t>
  </si>
  <si>
    <t>Simoncioni Rossana App.To 25</t>
  </si>
  <si>
    <t>Via Gioberti 25</t>
  </si>
  <si>
    <t>maxcecchini@libero.it</t>
  </si>
  <si>
    <t>Simoncioni Rossana App.To 27</t>
  </si>
  <si>
    <t>Via Gioberti 27</t>
  </si>
  <si>
    <t>Gori Laura</t>
  </si>
  <si>
    <t>Moroni Giancarlo</t>
  </si>
  <si>
    <t>Via Fratti-Scapezzano 30</t>
  </si>
  <si>
    <t>moroni.tataio@libero.it</t>
  </si>
  <si>
    <t>Morganti Valter</t>
  </si>
  <si>
    <t>Lungomare Mameli 9</t>
  </si>
  <si>
    <t>valter.morganti@tin.it</t>
  </si>
  <si>
    <t>Piazzolla Adriana</t>
  </si>
  <si>
    <t>Via Vivaldi 4</t>
  </si>
  <si>
    <t>Stella Marina N 65</t>
  </si>
  <si>
    <t>Lungomare Alighieri 65 65</t>
  </si>
  <si>
    <t>Bagni Roby N° 26</t>
  </si>
  <si>
    <t>robcur@libero.it</t>
  </si>
  <si>
    <t>Hotel Hollywood - Bagni N° 76</t>
  </si>
  <si>
    <t>Lungomare Alighieri 76 76</t>
  </si>
  <si>
    <t>Bagni N° 17 - Baia Del Faro</t>
  </si>
  <si>
    <t>info@baiadelfaro.it</t>
  </si>
  <si>
    <t>www.baiadelfaro.it</t>
  </si>
  <si>
    <t>Bagni Italo N° 92</t>
  </si>
  <si>
    <t>Lungomare Alighieri 92 92</t>
  </si>
  <si>
    <t>Bagni N° 93</t>
  </si>
  <si>
    <t>Lungomare Alighieri  93</t>
  </si>
  <si>
    <t>Bagni Hotel Bologna N° 29</t>
  </si>
  <si>
    <t>Lungomare Mameli 57 57</t>
  </si>
  <si>
    <t>Bagni Andrea N° 37</t>
  </si>
  <si>
    <t>Bagni Pat N° 89</t>
  </si>
  <si>
    <t>Lungomare Alighieri 89 89</t>
  </si>
  <si>
    <t>Bagni Bruna N° 69</t>
  </si>
  <si>
    <t>Lungomare Alighieri 69 69</t>
  </si>
  <si>
    <t>Bagni Cristina N° 70/71</t>
  </si>
  <si>
    <t>Lungomare Alighieri 70 70</t>
  </si>
  <si>
    <t>Bagni Maria N° 21</t>
  </si>
  <si>
    <t>Teresa Bagni N° 142</t>
  </si>
  <si>
    <t>Lungomare Leonardo Da Vinci  95</t>
  </si>
  <si>
    <t>Bagni Andrea N° 24</t>
  </si>
  <si>
    <t>Bagni Maracaibo N° 128</t>
  </si>
  <si>
    <t>Lungomare Leonardo Da Vinci 1 1</t>
  </si>
  <si>
    <t>Bagni Nella N° 49</t>
  </si>
  <si>
    <t>Hotel Mareblu' - Bagni N° 31</t>
  </si>
  <si>
    <t>Lungomare Mameli 50 50</t>
  </si>
  <si>
    <t>Bagni Virgilio N 83</t>
  </si>
  <si>
    <t>Lungomare Alighieri 83 83</t>
  </si>
  <si>
    <t>Bagni Renato N° 133</t>
  </si>
  <si>
    <t>g.barucca@uniupn.it</t>
  </si>
  <si>
    <t>Bagni Armando (Solo Rimessaggio)</t>
  </si>
  <si>
    <t>Lungomare Alighieri 15 15</t>
  </si>
  <si>
    <t>Bagni Dino N 96</t>
  </si>
  <si>
    <t>Lungomare Alighieri 96 96</t>
  </si>
  <si>
    <t>Soleado - Bagni N 146</t>
  </si>
  <si>
    <t>Bagni Hotel Universal N 33</t>
  </si>
  <si>
    <t>Bagni Firmina N° 84</t>
  </si>
  <si>
    <t>Lungomare Alighieri 84 84</t>
  </si>
  <si>
    <t>Hawaii Beach - Bagni N° 29 Bis</t>
  </si>
  <si>
    <t>Bagni Albergo Regina</t>
  </si>
  <si>
    <t>Lungomare Alighieri 20 20</t>
  </si>
  <si>
    <t>Lido Bagni N° 82</t>
  </si>
  <si>
    <t>Lungomare Alighieri 82 82</t>
  </si>
  <si>
    <t>robyangletti@libero.it</t>
  </si>
  <si>
    <t>Bagni Hotel International N° 34</t>
  </si>
  <si>
    <t>Bagni Mario N° 121</t>
  </si>
  <si>
    <t>Bagni Armando N° 98</t>
  </si>
  <si>
    <t>Lungomare Alighieri 98 98</t>
  </si>
  <si>
    <t>sssteambro@hotmail.it</t>
  </si>
  <si>
    <t>Bagni N° 159</t>
  </si>
  <si>
    <t>Giallo Sole S.A.S Di Mancini Simone &amp; C. - Bagni N° 40</t>
  </si>
  <si>
    <t>infobagnigiallosole@tiscali.it</t>
  </si>
  <si>
    <t>Bagni N° 86</t>
  </si>
  <si>
    <t>Giovanni E Olga - Bagni N° 11</t>
  </si>
  <si>
    <t>Bagni Gisella &amp; Ivano N° 111</t>
  </si>
  <si>
    <t>matias81@fastwebnet.it</t>
  </si>
  <si>
    <t>Bagni Bora Bora N° 42</t>
  </si>
  <si>
    <t>Bagni Caterina N° 41</t>
  </si>
  <si>
    <t>Bagni Anna Maria N° 47</t>
  </si>
  <si>
    <t>Bagni  Beach Break N° 160</t>
  </si>
  <si>
    <t>Lungomare Italia 160 160</t>
  </si>
  <si>
    <t>Bagni Gabbiano N° 25</t>
  </si>
  <si>
    <t>Lungomare Mameli 77 77</t>
  </si>
  <si>
    <t>L'Ily Beach - Bagni N° 36</t>
  </si>
  <si>
    <t>Bagni N° 7</t>
  </si>
  <si>
    <t>Bagni Gabriella N° 66</t>
  </si>
  <si>
    <t>Lungomare Alighieri 66 66</t>
  </si>
  <si>
    <t>Bagni Di Sole N° 27</t>
  </si>
  <si>
    <t>Bagni Massimo N° 112</t>
  </si>
  <si>
    <t>menotti.massimo@alice.it</t>
  </si>
  <si>
    <t>Bagni Carlo E Armanda N° 79</t>
  </si>
  <si>
    <t>Lungomare Alighieri 79 79</t>
  </si>
  <si>
    <t>piva@bagni79.it</t>
  </si>
  <si>
    <t>www.bagni79.it</t>
  </si>
  <si>
    <t>Bagni Florisa N° 8</t>
  </si>
  <si>
    <t>Blue Note Beach  N° 158</t>
  </si>
  <si>
    <t>Lungomare Italia 28 28</t>
  </si>
  <si>
    <t>Bagni Nettuno N° 113</t>
  </si>
  <si>
    <t>Bagni Paradiso N° 62</t>
  </si>
  <si>
    <t>Lungomare Alighieri 62 62</t>
  </si>
  <si>
    <t>simodesa@libero.it</t>
  </si>
  <si>
    <t>Bagni N° 117 La Perla</t>
  </si>
  <si>
    <t>Bagni N° 87 Da Flaviana</t>
  </si>
  <si>
    <t>Lungomare Alighieri 87 87</t>
  </si>
  <si>
    <t>Baia Di Ponente - Bagni N° 28</t>
  </si>
  <si>
    <t>Bagni 2000 N° 53</t>
  </si>
  <si>
    <t>Lungomare Alighieri 53 53</t>
  </si>
  <si>
    <t>Bagni Renato N° 148</t>
  </si>
  <si>
    <t>Bagni Alda - Bagni N° 88</t>
  </si>
  <si>
    <t>Lungomare Alighieri 88 88</t>
  </si>
  <si>
    <t>Sole 2000 - Bagni N° 134</t>
  </si>
  <si>
    <t>Bagni Paola N° 122</t>
  </si>
  <si>
    <t>Lungomare Leonardo Da Vinci 122 122</t>
  </si>
  <si>
    <t>Bagni M.  N. 48</t>
  </si>
  <si>
    <t>Bagni Gabriele N° 115</t>
  </si>
  <si>
    <t>Bagni N° 14</t>
  </si>
  <si>
    <t>Lungomare Mameli 14 14</t>
  </si>
  <si>
    <t>info@bagni14.it</t>
  </si>
  <si>
    <t>www.bagni14.it</t>
  </si>
  <si>
    <t>Ollie Club - Bagni N° 120</t>
  </si>
  <si>
    <t>Bahya Blanca</t>
  </si>
  <si>
    <t>Lungomare Italia 151 151</t>
  </si>
  <si>
    <t>www.campingcortina.net</t>
  </si>
  <si>
    <t>Villaggio Turistico Benvivere - Bagni 127</t>
  </si>
  <si>
    <t>Lungomare Leonardo Da Vinci 54 54</t>
  </si>
  <si>
    <t>Bagni Da Claudio N° 137</t>
  </si>
  <si>
    <t>Eurobeach - Albonetti Silvana - Bagni N° 161</t>
  </si>
  <si>
    <t>info@hotelrex.tv</t>
  </si>
  <si>
    <t>Bagni Licia N° 99</t>
  </si>
  <si>
    <t>Lungomare Alighieri 99 99</t>
  </si>
  <si>
    <t>Bagni N° 141</t>
  </si>
  <si>
    <t>Lungomare Leonardo Da Vinci 92 92</t>
  </si>
  <si>
    <t>Via Delle Vigne 273</t>
  </si>
  <si>
    <t>Frazione Scapezzano</t>
  </si>
  <si>
    <t>verdemarech@tiscali.it</t>
  </si>
  <si>
    <t>Bagni Onda Blu N° 74</t>
  </si>
  <si>
    <t>Lungomare Alighieri 74 74</t>
  </si>
  <si>
    <t>Bagni Vittoria N 105/106</t>
  </si>
  <si>
    <t>bagnivittoria105@gmail.com</t>
  </si>
  <si>
    <t>Il Piccolo Lido - Bagni N° 68</t>
  </si>
  <si>
    <t>Bagni Mara N° 80/81</t>
  </si>
  <si>
    <t>Lungomare Alighieri 80 80</t>
  </si>
  <si>
    <t>La Collina Del Lago</t>
  </si>
  <si>
    <t>Frazione Montignano Via Della Draga 9</t>
  </si>
  <si>
    <t>Bagni Le Palme N° 61</t>
  </si>
  <si>
    <t>Lungomare Alighieri 61 61</t>
  </si>
  <si>
    <t>Bagni Billy N° 54</t>
  </si>
  <si>
    <t>Lungomare Alighieri 54 54</t>
  </si>
  <si>
    <t>Bagni Mare Mio N° 50</t>
  </si>
  <si>
    <t>Bagni Giuliana N° 12</t>
  </si>
  <si>
    <t>Bagni Paola N° 58 - Un Posto Al Sole</t>
  </si>
  <si>
    <t>Lungomare Alighieri 58 58</t>
  </si>
  <si>
    <t>Bagni Carlini N° 51</t>
  </si>
  <si>
    <t>Lungomare Marconi 51 51</t>
  </si>
  <si>
    <t>Bagni Blasco N° 132</t>
  </si>
  <si>
    <t>Lungomare Leonardo Da Vinci 132 132</t>
  </si>
  <si>
    <t>bagniblasco@bagniblasco.it</t>
  </si>
  <si>
    <t>www.bagniblasco.it</t>
  </si>
  <si>
    <t>Bagni Mafalda N° 56</t>
  </si>
  <si>
    <t>Lungomare Alighieri 56 56</t>
  </si>
  <si>
    <t>Bagni Club Tre C N° 30</t>
  </si>
  <si>
    <t>Lungomare Mameli 30 30</t>
  </si>
  <si>
    <t>super3c@libero.it</t>
  </si>
  <si>
    <t>Bagni N° 5</t>
  </si>
  <si>
    <t>Bagni N° 4 Mille Bolle Blu</t>
  </si>
  <si>
    <t>Lungomare Mameli 4 4</t>
  </si>
  <si>
    <t>Bagni Marta N° 55</t>
  </si>
  <si>
    <t>Lungomare Alighieri 55 55</t>
  </si>
  <si>
    <t>Bagni Roberto N° 44</t>
  </si>
  <si>
    <t>Bagni Arcobaleno N 52</t>
  </si>
  <si>
    <t>Piazzale Della Liberta' 1 1</t>
  </si>
  <si>
    <t>Senigallia Beach Bagni N° 63</t>
  </si>
  <si>
    <t>Lungomare Alighieri 63 63</t>
  </si>
  <si>
    <t>Bagni Onda Verde N° 13</t>
  </si>
  <si>
    <t>Bagni Atlantic N° 157</t>
  </si>
  <si>
    <t>Tommi  38</t>
  </si>
  <si>
    <t>Lungomare Mameli 38 38</t>
  </si>
  <si>
    <t>info@bagnitommi.it</t>
  </si>
  <si>
    <t>www.bagnitommi.it</t>
  </si>
  <si>
    <t>Crazy Beach - Ciacci Mauro - Bagni N° 131</t>
  </si>
  <si>
    <t>Bagni Paola &amp; Roberto N° 138</t>
  </si>
  <si>
    <t>Lungomare Leonardo Da Vinci 138 138</t>
  </si>
  <si>
    <t>leonnam@libero.it</t>
  </si>
  <si>
    <t>Bagni Lucarelli Uliano N 135/136</t>
  </si>
  <si>
    <t>Bagni N° 118</t>
  </si>
  <si>
    <t>Bagni Maria N° 94</t>
  </si>
  <si>
    <t>Lungomare Alighieri 94 94</t>
  </si>
  <si>
    <t>Bagni Ciro N° 19</t>
  </si>
  <si>
    <t>Eurobeach - Bagni N° 162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</si>
  <si>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</si>
  <si>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</si>
  <si>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</si>
  <si>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</si>
  <si>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</si>
  <si>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</si>
  <si>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</si>
  <si>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</si>
  <si>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</si>
  <si>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</si>
  <si>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</si>
  <si>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</si>
  <si>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</si>
  <si>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</si>
  <si>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</si>
  <si>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</si>
  <si>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</si>
  <si>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</si>
  <si>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</si>
  <si>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</si>
  <si>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</si>
  <si>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</si>
  <si>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</si>
  <si>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Sole Blu N° 60</t>
  </si>
  <si>
    <t>Lungomare Alighieri 7 7</t>
  </si>
  <si>
    <t>massimo@bagnisoleblu.it</t>
  </si>
  <si>
    <t>www.bagnisoleblu.it</t>
  </si>
  <si>
    <t>Bagni Irma N° 75</t>
  </si>
  <si>
    <t>Lungomare Alighieri 75 75</t>
  </si>
  <si>
    <t>Bagni Delfino N° 2</t>
  </si>
  <si>
    <t>Via Strada Prima 7 7</t>
  </si>
  <si>
    <t>Bagni Miami Beach N° 100</t>
  </si>
  <si>
    <t>Lungomare Leonardo Da Vinci 2 2</t>
  </si>
  <si>
    <t>Bagni Sirena N° 78</t>
  </si>
  <si>
    <t>Lungomare Alighieri 78 78</t>
  </si>
  <si>
    <t>Albergo Del Sole - Bagni N° 90</t>
  </si>
  <si>
    <t>Lungomare Alighieri 100 100</t>
  </si>
  <si>
    <t>Bagni 102 N° 85</t>
  </si>
  <si>
    <t>Lungomare Alighieri 85 85</t>
  </si>
  <si>
    <t>Bagni Hotel Caraibi N 3</t>
  </si>
  <si>
    <t>I Strada 23  3</t>
  </si>
  <si>
    <t>Il Piccolo Lido - Bagni N° 67</t>
  </si>
  <si>
    <t>Lungomare Alighieri 67 67</t>
  </si>
  <si>
    <t>Bagni Bikini Beach N° 39</t>
  </si>
  <si>
    <t>Agriturist La Fonte</t>
  </si>
  <si>
    <t>Via Farneto 20</t>
  </si>
  <si>
    <t>www.agrituristlafonte.it</t>
  </si>
  <si>
    <t>lafonte@agrituristlafonte.it</t>
  </si>
  <si>
    <t>La Tana Del Ghiro</t>
  </si>
  <si>
    <t>Via Spineto 2</t>
  </si>
  <si>
    <t>appartamenti@latanadelghiro.net</t>
  </si>
  <si>
    <t>Via Fornace 4</t>
  </si>
  <si>
    <t>info@linfinitocountry.it</t>
  </si>
  <si>
    <t>Coquus Fornacis</t>
  </si>
  <si>
    <t>Via Fornace 7</t>
  </si>
  <si>
    <t>www.coquusfornacis.it</t>
  </si>
  <si>
    <t>info@coquusfornacis.it</t>
  </si>
  <si>
    <t>Borgo Farneto</t>
  </si>
  <si>
    <t>Via Farneto 24</t>
  </si>
  <si>
    <t>Borgo Farneto - Serra De Conti</t>
  </si>
  <si>
    <t>www.borgofarneto.it</t>
  </si>
  <si>
    <t>sabine.telser@virgilio.it</t>
  </si>
  <si>
    <t>B&amp;B Palazzo Del Podesta'</t>
  </si>
  <si>
    <t>Via G. Garibaldi 63</t>
  </si>
  <si>
    <t>www.bebpalazzodelpodesta.altervista.org</t>
  </si>
  <si>
    <t>federici.ico@gmail.com; federici.ico@libero.it</t>
  </si>
  <si>
    <t>B&amp;B Le Stanze Del Chiostro</t>
  </si>
  <si>
    <t>Piazza Gramsci 15</t>
  </si>
  <si>
    <t>lestanzedelchiostro@gmail.com</t>
  </si>
  <si>
    <t>La Giara Di Tenuta Mattei</t>
  </si>
  <si>
    <t>Via San Paterniano 18</t>
  </si>
  <si>
    <t>stefania.palazzesi@gmail.com</t>
  </si>
  <si>
    <t>Giancamilli Lino</t>
  </si>
  <si>
    <t>Via Roccuccio 7</t>
  </si>
  <si>
    <t>lino.giancamilli@libero.it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</si>
  <si>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</si>
  <si>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</si>
  <si>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</si>
  <si>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</si>
  <si>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</si>
  <si>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</si>
  <si>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</si>
  <si>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B&amp;B Il Pozzo Di Vivalpa</t>
  </si>
  <si>
    <t>Via S. Sebastiano  6</t>
  </si>
  <si>
    <t>www.ilpozzodivivalpa.com</t>
  </si>
  <si>
    <t>vivalpabandb@gmail.com; vito.valente@alice.it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</si>
  <si>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</si>
  <si>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</si>
  <si>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</si>
  <si>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</si>
  <si>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</si>
  <si>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</si>
  <si>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</si>
  <si>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</si>
  <si>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</si>
  <si>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</si>
  <si>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</si>
  <si>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</si>
  <si>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</si>
  <si>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</si>
  <si>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</si>
  <si>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Fattoria Italia</t>
  </si>
  <si>
    <t>Contrada Serralta 1</t>
  </si>
  <si>
    <t>arnaldo.micciarelli@libero.it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</si>
  <si>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</si>
  <si>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</si>
  <si>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</si>
  <si>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</si>
  <si>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</si>
  <si>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</si>
  <si>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</si>
  <si>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</si>
  <si>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</si>
  <si>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</si>
  <si>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</si>
  <si>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B&amp;B Casa Del Pellegrino Da Franci</t>
  </si>
  <si>
    <t>Via Antonio Gramsci 2</t>
  </si>
  <si>
    <t>www.lemarcheaserra.it</t>
  </si>
  <si>
    <t>neri_tonino@yahoo.it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</si>
  <si>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</si>
  <si>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</si>
  <si>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</si>
  <si>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</si>
  <si>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</si>
  <si>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</si>
  <si>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</si>
  <si>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</si>
  <si>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</si>
  <si>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</si>
  <si>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</si>
  <si>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</si>
  <si>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</si>
  <si>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</si>
  <si>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</si>
  <si>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</si>
  <si>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</si>
  <si>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</si>
  <si>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</si>
  <si>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</si>
  <si>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</si>
  <si>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L'Alboreto Salvatico</t>
  </si>
  <si>
    <t>Contrada Forchiusa 62</t>
  </si>
  <si>
    <t>www.lalboretosalvatico.com</t>
  </si>
  <si>
    <t>merciaiait@hotmail.it</t>
  </si>
  <si>
    <t>Casa Per Ferie Palazzo Menarini</t>
  </si>
  <si>
    <t>www.teatrogiovani.eu</t>
  </si>
  <si>
    <t>atg@teatrogiovani.com</t>
  </si>
  <si>
    <t>Su Nuraghe</t>
  </si>
  <si>
    <t>Via Esinate Castellaro 11</t>
  </si>
  <si>
    <t>C.Da Bruscara</t>
  </si>
  <si>
    <t>Martelletto</t>
  </si>
  <si>
    <t>Certine 12</t>
  </si>
  <si>
    <t>Certine</t>
  </si>
  <si>
    <t>www.martelletto.it</t>
  </si>
  <si>
    <t>info@martelletto.it</t>
  </si>
  <si>
    <t>Mercanti Enrica</t>
  </si>
  <si>
    <t>Contrada Forchiusa 99</t>
  </si>
  <si>
    <t>gilberto.sorci@libero.it</t>
  </si>
  <si>
    <t>B&amp;B Il Grande Albero</t>
  </si>
  <si>
    <t>C.Da Forchiusa 99</t>
  </si>
  <si>
    <t>Country House Le Grazie</t>
  </si>
  <si>
    <t>C.Da Forchiusa 101</t>
  </si>
  <si>
    <t>www.countryhouselegrazie.it</t>
  </si>
  <si>
    <t>info@countryhouselegrazie.it</t>
  </si>
  <si>
    <t>B&amp;B Abbazia Sant'Elena</t>
  </si>
  <si>
    <t>Via Sant'Elena 34</t>
  </si>
  <si>
    <t>Sant'Elena</t>
  </si>
  <si>
    <t>info@abbaziasantelena.com</t>
  </si>
  <si>
    <t>B&amp;B Fontecorona</t>
  </si>
  <si>
    <t>www.fontecorona.it</t>
  </si>
  <si>
    <t>loretta.cantiani@gmail.com</t>
  </si>
  <si>
    <t>B&amp;B Il Poggetto Di Carbonari Luisa</t>
  </si>
  <si>
    <t>Via Poggetto 41</t>
  </si>
  <si>
    <t>Loc.Poggetto</t>
  </si>
  <si>
    <t>bebilpoggetto@libero.it</t>
  </si>
  <si>
    <t>B&amp;B Via Degli Orti</t>
  </si>
  <si>
    <t>Via Petrarca 23</t>
  </si>
  <si>
    <t>sam.ilgobbo@alice.it</t>
  </si>
  <si>
    <t>B&amp;B La Casa Di Cencio</t>
  </si>
  <si>
    <t>Corso Dante Alighieri 39</t>
  </si>
  <si>
    <t>vitdiam@tin.it</t>
  </si>
  <si>
    <t>Agriturismo Bellavista</t>
  </si>
  <si>
    <t>Via Montevecchio 41</t>
  </si>
  <si>
    <t>www.ristorobellavista.it</t>
  </si>
  <si>
    <t>info@ristorobellavista.it</t>
  </si>
  <si>
    <t>B&amp;B Via Pradella</t>
  </si>
  <si>
    <t>Via Pradella 58/B</t>
  </si>
  <si>
    <t>Via Fonte Avellana 7</t>
  </si>
  <si>
    <t>Serra Sant' Abbondio</t>
  </si>
  <si>
    <t>www.agriturismolaloggia.it</t>
  </si>
  <si>
    <t>info@agriturismolaloggia.it</t>
  </si>
  <si>
    <t>Casadei Erica</t>
  </si>
  <si>
    <t>erica.casadei@virgilio.it</t>
  </si>
  <si>
    <t>Romantico B&amp;B</t>
  </si>
  <si>
    <t>Via Mazzini 3</t>
  </si>
  <si>
    <t>www.romanticobeb.it</t>
  </si>
  <si>
    <t>vittorio.biancarosa@gmail.com</t>
  </si>
  <si>
    <t>Area Di Sosta Di Serra Sant'Abbondio</t>
  </si>
  <si>
    <t>Agriturismo Colli Di Serrapetrona</t>
  </si>
  <si>
    <t>Via Colli 7/8</t>
  </si>
  <si>
    <t>www.tenutacollidiserrapetrona.it</t>
  </si>
  <si>
    <t>info@tenutacollidiserrapetrona.it</t>
  </si>
  <si>
    <t>Paolo Tallei</t>
  </si>
  <si>
    <t>Via Colli 128</t>
  </si>
  <si>
    <t>paolotallei@gmail.com</t>
  </si>
  <si>
    <t>Lucrezia &amp; Cesare Borgia Di Sandro Marchionni</t>
  </si>
  <si>
    <t>Via Cameraldo 38</t>
  </si>
  <si>
    <t>lucreziacesareborgia@libero.it</t>
  </si>
  <si>
    <t>Oltre La Siepe</t>
  </si>
  <si>
    <t>Via Villa D' Aria 16</t>
  </si>
  <si>
    <t>oltrelasiepe@tiscali.it</t>
  </si>
  <si>
    <t>Caravanserraglio</t>
  </si>
  <si>
    <t>Via Colli 10</t>
  </si>
  <si>
    <t>www.caravanserraglio.com</t>
  </si>
  <si>
    <t>info@caravanserraglio.com</t>
  </si>
  <si>
    <t>Ferranti</t>
  </si>
  <si>
    <t>Via Nazionale 60</t>
  </si>
  <si>
    <t>www.hotelferranti.it</t>
  </si>
  <si>
    <t>hotelferranti@yahoo.it</t>
  </si>
  <si>
    <t>Agriturismo L' Arenaria</t>
  </si>
  <si>
    <t>Via Borgo 15</t>
  </si>
  <si>
    <t>agriturismo.arenaria@live.it</t>
  </si>
  <si>
    <t>Baglio Della Luna</t>
  </si>
  <si>
    <t>Via Colli 84</t>
  </si>
  <si>
    <t>www.ilbagliodellaluna.com</t>
  </si>
  <si>
    <t>ilbagliodellaluna@ilbagliodellaluna.com</t>
  </si>
  <si>
    <t>Via Case Sparse 25</t>
  </si>
  <si>
    <t>Caccamo Sul Lago</t>
  </si>
  <si>
    <t>www.soleelunabb.it</t>
  </si>
  <si>
    <t>emanuela.seri@libero.it</t>
  </si>
  <si>
    <t>Albergo Ristorante Bar Da Lore'</t>
  </si>
  <si>
    <t>Via Nazionale 34</t>
  </si>
  <si>
    <t>gionat.ma@tiscali.it</t>
  </si>
  <si>
    <t>B&amp;B Villa Cappelletti</t>
  </si>
  <si>
    <t>Vicino Colfiorito</t>
  </si>
  <si>
    <t>http://nuke.villacappelletti.it</t>
  </si>
  <si>
    <t>biandbi@villacappelletti.it; maxkap57@yahoo.it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</si>
  <si>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</si>
  <si>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</si>
  <si>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</si>
  <si>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</si>
  <si>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</si>
  <si>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</si>
  <si>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</si>
  <si>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</si>
  <si>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B&amp;B Fonte Dell'Aria</t>
  </si>
  <si>
    <t>Loc. Dignano</t>
  </si>
  <si>
    <t>federicabartolibabu@yahoo.it</t>
  </si>
  <si>
    <t>B&amp;B Blandin Frederique</t>
  </si>
  <si>
    <t>Via Monticelli 6</t>
  </si>
  <si>
    <t>frederique.blandin@alice.it</t>
  </si>
  <si>
    <t>Symposium Resort</t>
  </si>
  <si>
    <t>Cartoceto 38/A</t>
  </si>
  <si>
    <t>www.symposium4stagioni.it</t>
  </si>
  <si>
    <t>cristina@symposium4stagioni.it</t>
  </si>
  <si>
    <t>Casa Di Mi</t>
  </si>
  <si>
    <t>Via Della Fonte Snc</t>
  </si>
  <si>
    <t>info@casadimi.it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</si>
  <si>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</si>
  <si>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</si>
  <si>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</si>
  <si>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</si>
  <si>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</si>
  <si>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</si>
  <si>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</si>
  <si>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</si>
  <si>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Casa Oliva</t>
  </si>
  <si>
    <t>Via Castello 19</t>
  </si>
  <si>
    <t>www.casaoliva.it</t>
  </si>
  <si>
    <t>casaoliva@casaoliva.it</t>
  </si>
  <si>
    <t>Al Mandorlo</t>
  </si>
  <si>
    <t>Via Tomba 57</t>
  </si>
  <si>
    <t>La Meridiana 2 - "Palazzo" Di Purcaro Valeria</t>
  </si>
  <si>
    <t>Via Bargni 9</t>
  </si>
  <si>
    <t>Agriturismo La Meridiana Di Purcaro Ariberto</t>
  </si>
  <si>
    <t>Via Bargni  16</t>
  </si>
  <si>
    <t>www.agriturismolameridiana.com</t>
  </si>
  <si>
    <t>info@agriturismolameridiana.com</t>
  </si>
  <si>
    <t>Hotel Flaminio</t>
  </si>
  <si>
    <t>Via Flaminia 12</t>
  </si>
  <si>
    <t>www.hotelflaminiotavernelle.com</t>
  </si>
  <si>
    <t>info@hotelflaminiotavernelle.com</t>
  </si>
  <si>
    <t>Agriturismo Pozzuolo</t>
  </si>
  <si>
    <t>Via Di Mezzo 31</t>
  </si>
  <si>
    <t>www.agriturismopozzuolo.com</t>
  </si>
  <si>
    <t>info@agriturismopozzuolo.com</t>
  </si>
  <si>
    <t>Piazza B. Serafini 7</t>
  </si>
  <si>
    <t>Villa Ottani</t>
  </si>
  <si>
    <t>Via Cartoceto 40</t>
  </si>
  <si>
    <t>villaottani@yahoo.it</t>
  </si>
  <si>
    <t>Ca' Ginestra</t>
  </si>
  <si>
    <t>Via Montebruciato 4</t>
  </si>
  <si>
    <t>www.marcheholiday.it</t>
  </si>
  <si>
    <t>gennari68@gmail.com</t>
  </si>
  <si>
    <t>Il Noceto</t>
  </si>
  <si>
    <t>Via Tomba 50</t>
  </si>
  <si>
    <t>www.il-noceto.it</t>
  </si>
  <si>
    <t>info@il-noceto.it</t>
  </si>
  <si>
    <t>B&amp;B Angela Garden</t>
  </si>
  <si>
    <t>Contrada San Pietro 2</t>
  </si>
  <si>
    <t>www.angelagarden.it</t>
  </si>
  <si>
    <t>info@angelagarden.it</t>
  </si>
  <si>
    <t>Villa Miramonti</t>
  </si>
  <si>
    <t>Via Valentella 2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</si>
  <si>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</si>
  <si>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</si>
  <si>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</si>
  <si>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</si>
  <si>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</si>
  <si>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</si>
  <si>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</si>
  <si>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</si>
  <si>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</si>
  <si>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</si>
  <si>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</si>
  <si>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</si>
  <si>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</si>
  <si>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</si>
  <si>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</si>
  <si>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</si>
  <si>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</si>
  <si>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</si>
  <si>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</si>
  <si>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</si>
  <si>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</si>
  <si>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</si>
  <si>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</si>
  <si>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</si>
  <si>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</si>
  <si>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</si>
  <si>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</si>
  <si>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</si>
  <si>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</si>
  <si>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</si>
  <si>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</si>
  <si>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</si>
  <si>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</si>
  <si>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</si>
  <si>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</si>
  <si>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</si>
  <si>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</si>
  <si>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</si>
  <si>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</si>
  <si>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</si>
  <si>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</si>
  <si>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</si>
  <si>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</si>
  <si>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</si>
  <si>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</si>
  <si>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</si>
  <si>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</si>
  <si>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</si>
  <si>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</si>
  <si>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</si>
  <si>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</si>
  <si>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</si>
  <si>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</si>
  <si>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Villa Ghirardelli</t>
  </si>
  <si>
    <t>Via Pescheria 32</t>
  </si>
  <si>
    <t>www.villaghirardelli.it</t>
  </si>
  <si>
    <t>villaghirardelli@gmail.com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</si>
  <si>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</si>
  <si>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</si>
  <si>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</si>
  <si>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</si>
  <si>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</si>
  <si>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</si>
  <si>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</si>
  <si>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</si>
  <si>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</si>
  <si>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</si>
  <si>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</si>
  <si>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</si>
  <si>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</si>
  <si>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</si>
  <si>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</si>
  <si>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</si>
  <si>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</si>
  <si>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</si>
  <si>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</si>
  <si>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</si>
  <si>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</si>
  <si>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</si>
  <si>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</si>
  <si>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</si>
  <si>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lalavandadelborgo@libero.it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</si>
  <si>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</si>
  <si>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</si>
  <si>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</si>
  <si>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</si>
  <si>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</si>
  <si>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</si>
  <si>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</si>
  <si>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Le Note Del Conero</t>
  </si>
  <si>
    <t>Via Del Corbezzolo 6</t>
  </si>
  <si>
    <t>rosanna.nicoletti@gmail.com</t>
  </si>
  <si>
    <t>B&amp;B La Lavanda Del Borgo Bis</t>
  </si>
  <si>
    <t>Via San Lorenzo 5</t>
  </si>
  <si>
    <t>B&amp;B Alle Pendici Del Conero</t>
  </si>
  <si>
    <t>Via Montecolombo 32</t>
  </si>
  <si>
    <t>www.conerobedandbreakfast.it</t>
  </si>
  <si>
    <t>info@allependicidelconero.it</t>
  </si>
  <si>
    <t>Camere Zimmer Sirolo</t>
  </si>
  <si>
    <t>Via Giulietti 46</t>
  </si>
  <si>
    <t>www.zimmersirolo.it</t>
  </si>
  <si>
    <t>info@zimmersirolo.it</t>
  </si>
  <si>
    <t>B&amp;B Al Coppo</t>
  </si>
  <si>
    <t>Via Coppo 22/A</t>
  </si>
  <si>
    <t>www.alcoppo.com</t>
  </si>
  <si>
    <t>info@alcoppo.com</t>
  </si>
  <si>
    <t>Camping Internazionale</t>
  </si>
  <si>
    <t>Via San Michele 10</t>
  </si>
  <si>
    <t>www.campinginternazionale.com</t>
  </si>
  <si>
    <t>info@campinginternazionale.com</t>
  </si>
  <si>
    <t>Appartamenti Annalisa Mengani</t>
  </si>
  <si>
    <t>Via Marconi 2</t>
  </si>
  <si>
    <t>www.campingreno.eu</t>
  </si>
  <si>
    <t>info@campingreno.eu</t>
  </si>
  <si>
    <t>Valcastagno Residence</t>
  </si>
  <si>
    <t>Via Monte Freddo 11</t>
  </si>
  <si>
    <t>www.valcastagno.it</t>
  </si>
  <si>
    <t>info@valcastagno.it</t>
  </si>
  <si>
    <t>Reno</t>
  </si>
  <si>
    <t>Via Morricone 7</t>
  </si>
  <si>
    <t>Camere La Fonte</t>
  </si>
  <si>
    <t>Via La Fonte 15</t>
  </si>
  <si>
    <t>camerelafonte.sirolo@alice.it</t>
  </si>
  <si>
    <t>Camere Da Aldo</t>
  </si>
  <si>
    <t>Via Giulietti 60</t>
  </si>
  <si>
    <t>www.daaldo.it</t>
  </si>
  <si>
    <t>aldo.camere@libero.it</t>
  </si>
  <si>
    <t>Camere Alisa</t>
  </si>
  <si>
    <t>Via Moricone 7</t>
  </si>
  <si>
    <t>Il Betellico Di Camilletti Luigi</t>
  </si>
  <si>
    <t>Via Betellico 15</t>
  </si>
  <si>
    <t>Coppo</t>
  </si>
  <si>
    <t>roberto.camilletti@alice.it</t>
  </si>
  <si>
    <t>Il Ritorno</t>
  </si>
  <si>
    <t>Via Piani D' Aspio 12</t>
  </si>
  <si>
    <t>www.ilritorno.com</t>
  </si>
  <si>
    <t>info@ilritorno.com</t>
  </si>
  <si>
    <t>Hotel Monteconero</t>
  </si>
  <si>
    <t>Via Monteconero 26</t>
  </si>
  <si>
    <t>www.hotelmonteconero.it</t>
  </si>
  <si>
    <t>info@hotelmonteconero.it</t>
  </si>
  <si>
    <t>Rocco Locanda &amp; Ristorante</t>
  </si>
  <si>
    <t>Via Torrione 1</t>
  </si>
  <si>
    <t>www.locandarocco.it</t>
  </si>
  <si>
    <t>info@locandarocco.it</t>
  </si>
  <si>
    <t>Hotel Stella</t>
  </si>
  <si>
    <t>Via Giulietti 9</t>
  </si>
  <si>
    <t>www.stellahotel.it</t>
  </si>
  <si>
    <t>info@stellahotel.it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</si>
  <si>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</si>
  <si>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</si>
  <si>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</si>
  <si>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</si>
  <si>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</si>
  <si>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</si>
  <si>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www.hotelemiliana.it</t>
  </si>
  <si>
    <t>info@hotelemiliana.it</t>
  </si>
  <si>
    <t>Arturo</t>
  </si>
  <si>
    <t>Via Spiaggia 1</t>
  </si>
  <si>
    <t>www.arturoresidencesirolo.com</t>
  </si>
  <si>
    <t>arturoresidence@hotmail.it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</si>
  <si>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</si>
  <si>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</si>
  <si>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</si>
  <si>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</si>
  <si>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</si>
  <si>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</si>
  <si>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</si>
  <si>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</si>
  <si>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B&amp;B Le Stanze Di Gio</t>
  </si>
  <si>
    <t>Via Piani D'Aspio 14</t>
  </si>
  <si>
    <t>lestanzedigio@libero.it</t>
  </si>
  <si>
    <t>Hotel Meuble' Le Cave</t>
  </si>
  <si>
    <t>Via Monte Conero 2</t>
  </si>
  <si>
    <t>info@le-cave.it</t>
  </si>
  <si>
    <t>Spiaggia Urbani 1 1</t>
  </si>
  <si>
    <t>Spiaggia Urbani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</si>
  <si>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</si>
  <si>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</si>
  <si>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</si>
  <si>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</si>
  <si>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</si>
  <si>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</si>
  <si>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</si>
  <si>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</si>
  <si>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</si>
  <si>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</si>
  <si>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</si>
  <si>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</si>
  <si>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</si>
  <si>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</si>
  <si>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</si>
  <si>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</si>
  <si>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</si>
  <si>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</si>
  <si>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</si>
  <si>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</si>
  <si>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</si>
  <si>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</si>
  <si>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Relais Valcastagno</t>
  </si>
  <si>
    <t>Via Monte Freddo 12</t>
  </si>
  <si>
    <t>3 Jolie</t>
  </si>
  <si>
    <t>Viale Caduti Del Lavoro 1</t>
  </si>
  <si>
    <t>www.cameresirolo.com</t>
  </si>
  <si>
    <t>info@cameresirolo.com</t>
  </si>
  <si>
    <t>B&amp;B La Fabula</t>
  </si>
  <si>
    <t>Via Monte Colombo 11</t>
  </si>
  <si>
    <t>www.lafabula.it</t>
  </si>
  <si>
    <t>info@lafabula.it</t>
  </si>
  <si>
    <t>Arra Camere Di Dolcini Andrea</t>
  </si>
  <si>
    <t>Via Giulietti 39</t>
  </si>
  <si>
    <t>arracamere@gmail.com</t>
  </si>
  <si>
    <t>Terrazzamare</t>
  </si>
  <si>
    <t>Via San Michele 6/8</t>
  </si>
  <si>
    <t>terrazzamare.sirolo@libero.it</t>
  </si>
  <si>
    <t>Angela Camere Sirolo</t>
  </si>
  <si>
    <t>Via Del Leccio 2</t>
  </si>
  <si>
    <t>angelacamere@libero.it</t>
  </si>
  <si>
    <t>Villa Gigli</t>
  </si>
  <si>
    <t>info@villagigli.it</t>
  </si>
  <si>
    <t>Hotel Sirolo</t>
  </si>
  <si>
    <t>Via Grilli 26</t>
  </si>
  <si>
    <t>www.hotel-sirolo.eu</t>
  </si>
  <si>
    <t>info@hotel-sirolo.eu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</si>
  <si>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</si>
  <si>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</si>
  <si>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</si>
  <si>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</si>
  <si>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</si>
  <si>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</si>
  <si>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</si>
  <si>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</si>
  <si>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</si>
  <si>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</si>
  <si>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</si>
  <si>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</si>
  <si>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</si>
  <si>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Borgo Rosso</t>
  </si>
  <si>
    <t>Via Aldo Davanzali 6</t>
  </si>
  <si>
    <t>www.countryhousesirolo.it</t>
  </si>
  <si>
    <t>borgorosso@fioranelli.com</t>
  </si>
  <si>
    <t>Acanto Country House</t>
  </si>
  <si>
    <t>Via Ancarano 18</t>
  </si>
  <si>
    <t>www.acantocountryhouse.com</t>
  </si>
  <si>
    <t>info@acantocountryhouse.com</t>
  </si>
  <si>
    <t>Mare'</t>
  </si>
  <si>
    <t>Via Del Gelso 15</t>
  </si>
  <si>
    <t>info@maresirolo.it</t>
  </si>
  <si>
    <t>B&amp;B Sea View</t>
  </si>
  <si>
    <t>Via San Michele 8</t>
  </si>
  <si>
    <t>www.seaview.it</t>
  </si>
  <si>
    <t>info@seaview.it</t>
  </si>
  <si>
    <t>Camere Il Parco</t>
  </si>
  <si>
    <t>Via Giulietti 33</t>
  </si>
  <si>
    <t>Via Mortarolo 1</t>
  </si>
  <si>
    <t>www.bb-infinito.com</t>
  </si>
  <si>
    <t>info@bb-infinito.com</t>
  </si>
  <si>
    <t>B&amp;B Il Maestrale</t>
  </si>
  <si>
    <t>Via Giulietti 78</t>
  </si>
  <si>
    <t>luigi.giampieri@virgilio.it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</si>
  <si>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</si>
  <si>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</si>
  <si>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</si>
  <si>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</si>
  <si>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</si>
  <si>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</si>
  <si>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</si>
  <si>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</si>
  <si>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</si>
  <si>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</si>
  <si>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</si>
  <si>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</si>
  <si>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</si>
  <si>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</si>
  <si>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www.lenereidisirolo.com</t>
  </si>
  <si>
    <t>info@lenereidisirolo.com</t>
  </si>
  <si>
    <t>Via Betellico 15/C</t>
  </si>
  <si>
    <t>B&amp;B Alle Pendici Del Conero Ii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</si>
  <si>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</si>
  <si>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</si>
  <si>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</si>
  <si>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</si>
  <si>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</si>
  <si>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San Lorenzo Country House</t>
  </si>
  <si>
    <t>Via Madonnina 1</t>
  </si>
  <si>
    <t>info@plarossi.it</t>
  </si>
  <si>
    <t>Sottovoce</t>
  </si>
  <si>
    <t>Via Del Gelso 17</t>
  </si>
  <si>
    <t>www.sottovocesirolo.it</t>
  </si>
  <si>
    <t>info@sottovocesirolo.it</t>
  </si>
  <si>
    <t>Agriturismo Villa Viola</t>
  </si>
  <si>
    <t>C.Da Durano 12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</si>
  <si>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</si>
  <si>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</si>
  <si>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</si>
  <si>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</si>
  <si>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</si>
  <si>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</si>
  <si>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</si>
  <si>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</si>
  <si>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Agriturismo Amargi</t>
  </si>
  <si>
    <t>Contrada Cugnolo 7</t>
  </si>
  <si>
    <t>www.amargi.it</t>
  </si>
  <si>
    <t>info@amargi.it</t>
  </si>
  <si>
    <t>Forestcamp</t>
  </si>
  <si>
    <t>mdm.forestcamp@gmail.com</t>
  </si>
  <si>
    <t>C.Da San Martino 9</t>
  </si>
  <si>
    <t>Contrada Ceresola 5</t>
  </si>
  <si>
    <t>C.Da Colle Molino 7</t>
  </si>
  <si>
    <t>giancarlonarcisi@alice.it</t>
  </si>
  <si>
    <t>B&amp;B La Conca</t>
  </si>
  <si>
    <t>Contrada Ceresola 44</t>
  </si>
  <si>
    <t>laconca@micso.net</t>
  </si>
  <si>
    <t>Agriturismo Contrada Durano</t>
  </si>
  <si>
    <t>C.Da Durano 3</t>
  </si>
  <si>
    <t>Contrada Durano</t>
  </si>
  <si>
    <t>www.contradadurano.it</t>
  </si>
  <si>
    <t>info@contradadurano.it</t>
  </si>
  <si>
    <t>Il Vecchio Tasso (Bassetti Claudia)</t>
  </si>
  <si>
    <t>Contrada Durano 8</t>
  </si>
  <si>
    <t>www.tassodurano.it</t>
  </si>
  <si>
    <t>tassodurano@tiscali.it</t>
  </si>
  <si>
    <t>Il Fontanile</t>
  </si>
  <si>
    <t>Contrada Durano 4</t>
  </si>
  <si>
    <t>gamba.roby@gmail.com</t>
  </si>
  <si>
    <t>B&amp;B Sea Weiv</t>
  </si>
  <si>
    <t>Via G. Marconi 38</t>
  </si>
  <si>
    <t>Impresa Agricola Massi Giovanni</t>
  </si>
  <si>
    <t>Ristorante Sanpaolo Srl</t>
  </si>
  <si>
    <t>Viale Antonio Gramsci 27</t>
  </si>
  <si>
    <t>Loc.Pagliare</t>
  </si>
  <si>
    <t>www.hotelcountry.it</t>
  </si>
  <si>
    <t>info@hotelcountry.it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</si>
  <si>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</si>
  <si>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</si>
  <si>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</si>
  <si>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</si>
  <si>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</si>
  <si>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</si>
  <si>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</si>
  <si>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</si>
  <si>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</si>
  <si>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</si>
  <si>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</si>
  <si>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</si>
  <si>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</si>
  <si>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</si>
  <si>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</si>
  <si>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Impresa Agricola Calvaresi Maria</t>
  </si>
  <si>
    <t>Via Pallino 1</t>
  </si>
  <si>
    <t>Hotel Carlo</t>
  </si>
  <si>
    <t>Via Salaria 193</t>
  </si>
  <si>
    <t>hotelcarlo@libero.it</t>
  </si>
  <si>
    <t>B&amp;B Spine'Ola</t>
  </si>
  <si>
    <t>Via Pio La Torre 5</t>
  </si>
  <si>
    <t>rc1958@hotmail.it</t>
  </si>
  <si>
    <t>Segnavento</t>
  </si>
  <si>
    <t>C.Da Salmagina 7</t>
  </si>
  <si>
    <t>info@zaccagnini.it; amministrazione@zaccagnini.it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</si>
  <si>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</si>
  <si>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</si>
  <si>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</si>
  <si>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</si>
  <si>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</si>
  <si>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</si>
  <si>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</si>
  <si>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B&amp;B Ca' Del Cardo</t>
  </si>
  <si>
    <t>Contrada Coste 72</t>
  </si>
  <si>
    <t>www.cadelcardo.com</t>
  </si>
  <si>
    <t>cardo@cadelcardo.it; cardo@cadelcardo.com</t>
  </si>
  <si>
    <t>La Casa Delle Rondini B&amp;B</t>
  </si>
  <si>
    <t>Contrada Campagliano 5</t>
  </si>
  <si>
    <t>www.ilcasaledellerondini.it</t>
  </si>
  <si>
    <t>info@ilcasaledellerondini.it</t>
  </si>
  <si>
    <t>Relais Del Borgo Hotel &amp; Spa</t>
  </si>
  <si>
    <t>Via Solferino 4</t>
  </si>
  <si>
    <t>www.relaisdelborgo.com</t>
  </si>
  <si>
    <t>info@relaisdelborgo.it</t>
  </si>
  <si>
    <t>La Ciminiera 1846</t>
  </si>
  <si>
    <t>Contrada Santa Caterina 18</t>
  </si>
  <si>
    <t>www.laciminiera.it</t>
  </si>
  <si>
    <t>info@laciminiera.it</t>
  </si>
  <si>
    <t>Via Redipuglia 1</t>
  </si>
  <si>
    <t>www.giubbi.com</t>
  </si>
  <si>
    <t>info@giubbi.com</t>
  </si>
  <si>
    <t>C.So Vittorio Veneto 2</t>
  </si>
  <si>
    <t>www.ilpoggetto.eu</t>
  </si>
  <si>
    <t>info@ilpoggetto.eu</t>
  </si>
  <si>
    <t>Ristorante Da Renata</t>
  </si>
  <si>
    <t>Via Vittorio Veneto  20</t>
  </si>
  <si>
    <t>B&amp;B Le Bumbarelle</t>
  </si>
  <si>
    <t>Via Cannelle 18</t>
  </si>
  <si>
    <t>www.lebumbarelle.it</t>
  </si>
  <si>
    <t>info@lebumbarelle.it</t>
  </si>
  <si>
    <t>B&amp;B Casa Fiorita Di Cavalli Rosanna</t>
  </si>
  <si>
    <t>Via Giacomo Matteotti 5</t>
  </si>
  <si>
    <t>www.casafioritabb.it</t>
  </si>
  <si>
    <t>info@casafioritabb.it</t>
  </si>
  <si>
    <t>Via Il Casino  1</t>
  </si>
  <si>
    <t>Ripamassana</t>
  </si>
  <si>
    <t>www.larosadeiventiagriturismo.it</t>
  </si>
  <si>
    <t>rosa-deiventi@virgilio.it</t>
  </si>
  <si>
    <t>B&amp;B Alberto House</t>
  </si>
  <si>
    <t>Via Giordano Bruno 35</t>
  </si>
  <si>
    <t>celestinomagnani@libero.it</t>
  </si>
  <si>
    <t>Case Ventena</t>
  </si>
  <si>
    <t>Torricella  2</t>
  </si>
  <si>
    <t>www.caseventena.com</t>
  </si>
  <si>
    <t>info@caseventena.com</t>
  </si>
  <si>
    <t>Raggio Di Luce</t>
  </si>
  <si>
    <t>Strada Marrone 9</t>
  </si>
  <si>
    <t>www.raggiodiluce.info</t>
  </si>
  <si>
    <t>info@raggiodiluce.info</t>
  </si>
  <si>
    <t>Tarcisio B&amp;B</t>
  </si>
  <si>
    <t>Via I. Balducci 5</t>
  </si>
  <si>
    <t>www.tarcisiobb.com</t>
  </si>
  <si>
    <t>tarcisiobeb@gmail.com</t>
  </si>
  <si>
    <t>Villa Claudia Resort</t>
  </si>
  <si>
    <t>Strada Per San Giovanni In Marignano 107</t>
  </si>
  <si>
    <t>www.villaclaudiaresort.it</t>
  </si>
  <si>
    <t>info@villaclaudiaresort.it</t>
  </si>
  <si>
    <t>B&amp;B Margherita</t>
  </si>
  <si>
    <t>Strada Pirano 21</t>
  </si>
  <si>
    <t>www.bb-margherita.net</t>
  </si>
  <si>
    <t>info@bb-margherita.net</t>
  </si>
  <si>
    <t>B&amp;B Casa Monteluro</t>
  </si>
  <si>
    <t>Strada Friuli 18/20</t>
  </si>
  <si>
    <t>Monteluro</t>
  </si>
  <si>
    <t>albertopompucci@virgilio.it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</si>
  <si>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</si>
  <si>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</si>
  <si>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</si>
  <si>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</si>
  <si>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</si>
  <si>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</si>
  <si>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</si>
  <si>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La Casa Del Tesoro</t>
  </si>
  <si>
    <t>Strada Del Tesoro 12</t>
  </si>
  <si>
    <t>www.casadeltesoro.it</t>
  </si>
  <si>
    <t>casadeltesoro@gmail.com</t>
  </si>
  <si>
    <t>Villa Rosa Di Radi Claudia</t>
  </si>
  <si>
    <t>Strada Stroppato 18</t>
  </si>
  <si>
    <t>Monteluro Di Tavullia</t>
  </si>
  <si>
    <t>claudia@gierremarmi.it</t>
  </si>
  <si>
    <t>La Tenuta Del Giglio</t>
  </si>
  <si>
    <t>Strada Monteluro 11/M</t>
  </si>
  <si>
    <t>www.tenutadelgiglio.com</t>
  </si>
  <si>
    <t>info@tenutadelgiglio.com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</si>
  <si>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</si>
  <si>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</si>
  <si>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</si>
  <si>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</si>
  <si>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</si>
  <si>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</si>
  <si>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</si>
  <si>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</si>
  <si>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</si>
  <si>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</si>
  <si>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</si>
  <si>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</si>
  <si>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</si>
  <si>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</si>
  <si>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</si>
  <si>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B&amp;B Nonna Vera</t>
  </si>
  <si>
    <t>Via Parrocchiale 42</t>
  </si>
  <si>
    <t>Belvedere Fogliense</t>
  </si>
  <si>
    <t>lucygiunta@hotmail.it</t>
  </si>
  <si>
    <t>Rental Rooms Antonella Di Antonella Serafini</t>
  </si>
  <si>
    <t>Via Balducci 5</t>
  </si>
  <si>
    <t>rentalroomsantonella@gmail.com</t>
  </si>
  <si>
    <t>B&amp;B Casa Alysa</t>
  </si>
  <si>
    <t>Via San Giovanni In M. 48/A</t>
  </si>
  <si>
    <t>bart.c@alice.it</t>
  </si>
  <si>
    <t>Mary Al Tramonto Rosso</t>
  </si>
  <si>
    <t>Via Pergolesi 2/B</t>
  </si>
  <si>
    <t>Pu</t>
  </si>
  <si>
    <t>maryaltramontorosso.jimdo.com</t>
  </si>
  <si>
    <t>alberto.bartolucci@adriatic.net</t>
  </si>
  <si>
    <t>Al Castello</t>
  </si>
  <si>
    <t>Via Cesare Battisti 32</t>
  </si>
  <si>
    <t>www.alcastello-tavullia.it</t>
  </si>
  <si>
    <t>zgiulia.castello@gmail.com</t>
  </si>
  <si>
    <t>Il Nido</t>
  </si>
  <si>
    <t>Via Pirano 45</t>
  </si>
  <si>
    <t>lorena.buscaglia@yahoo.it</t>
  </si>
  <si>
    <t>Hotel Il Boschetto</t>
  </si>
  <si>
    <t>Via Sandro Pertini  55</t>
  </si>
  <si>
    <t>info@hotel-il-boschetto.it</t>
  </si>
  <si>
    <t>B&amp;B Le Foglie Ridenti</t>
  </si>
  <si>
    <t>C.Da Sant'Angelo 59</t>
  </si>
  <si>
    <t>localcure@yahoo.de</t>
  </si>
  <si>
    <t>Casale Delle Rondini</t>
  </si>
  <si>
    <t>Contrada Sant'Angelo 5</t>
  </si>
  <si>
    <t>sudtyrol@hotmail.com</t>
  </si>
  <si>
    <t>Angelina Urban Lodge</t>
  </si>
  <si>
    <t>Via Della Pace 36</t>
  </si>
  <si>
    <t>www.angelina.it/urbanlodge/it</t>
  </si>
  <si>
    <t>info@angelina.it</t>
  </si>
  <si>
    <t>La Corte</t>
  </si>
  <si>
    <t>Via Laura Zampeschi 22</t>
  </si>
  <si>
    <t>info@residencelacorte.eu</t>
  </si>
  <si>
    <t>Hotel Cluentum</t>
  </si>
  <si>
    <t>Contrada San Martino 103</t>
  </si>
  <si>
    <t>www.hotelcluentum.it</t>
  </si>
  <si>
    <t>info@hotelcluentum.it</t>
  </si>
  <si>
    <t>B&amp;B L'Agrifoglio</t>
  </si>
  <si>
    <t>Viale Trento E Trieste 30</t>
  </si>
  <si>
    <t>info@beblagrifoglio.it</t>
  </si>
  <si>
    <t>B&amp;B Lina Battellini</t>
  </si>
  <si>
    <t>Via La Bastide Murat 10</t>
  </si>
  <si>
    <t>adaborgiani@virgilio.it</t>
  </si>
  <si>
    <t>B&amp;B Casa Touring San Nicola</t>
  </si>
  <si>
    <t>Piazza D. Silveri 1</t>
  </si>
  <si>
    <t>124 Affittacamere</t>
  </si>
  <si>
    <t>Via Sandro Pertini 55</t>
  </si>
  <si>
    <t>info@124tolentino.it.</t>
  </si>
  <si>
    <t>Agriturismo Ponzi-Orfini</t>
  </si>
  <si>
    <t>B&amp;B Il Casale Degli Incanti</t>
  </si>
  <si>
    <t>www.ilcasaledegliincanti.com</t>
  </si>
  <si>
    <t>giemmenne@gmail.com</t>
  </si>
  <si>
    <t>B&amp;B Rustico Di Tola Perla Cristina</t>
  </si>
  <si>
    <t>Via Beato Tommaso  20</t>
  </si>
  <si>
    <t>www.residencelacorte.eu</t>
  </si>
  <si>
    <t>Agriturismo Nonno Giro'</t>
  </si>
  <si>
    <t>Contrada Rambona 7</t>
  </si>
  <si>
    <t>www.agriturismononnogiro.it</t>
  </si>
  <si>
    <t>info@agriturismononnogiro.it</t>
  </si>
  <si>
    <t>Contrada Rancia 2</t>
  </si>
  <si>
    <t>www.lacontradacountryhouse.com</t>
  </si>
  <si>
    <t>lacontrada@lacontradacountryhouse.com</t>
  </si>
  <si>
    <t>Adrian Arthur Thomas Gardner</t>
  </si>
  <si>
    <t>C.Da Regnano Snc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</si>
  <si>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</si>
  <si>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</si>
  <si>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</si>
  <si>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</si>
  <si>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</si>
  <si>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</si>
  <si>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</si>
  <si>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</si>
  <si>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</si>
  <si>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</si>
  <si>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</si>
  <si>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Societa' Agricola Pascucci</t>
  </si>
  <si>
    <t>Contrada Panibianchi 55</t>
  </si>
  <si>
    <t>www.agriturismopascucci.it</t>
  </si>
  <si>
    <t>info@agriturismopascucci.it</t>
  </si>
  <si>
    <t>B&amp;B Stanza Del Commediante</t>
  </si>
  <si>
    <t>Via Dell'Aquila 25</t>
  </si>
  <si>
    <t>stanzadelcommediante@gmail.com</t>
  </si>
  <si>
    <t>B&amp;B Da Ezio</t>
  </si>
  <si>
    <t>Contrada Abbadia Di Fiastra 15</t>
  </si>
  <si>
    <t>gustodopedoc@gmail.com</t>
  </si>
  <si>
    <t>B&amp;B San Nicola</t>
  </si>
  <si>
    <t>Via Del Popolo 38</t>
  </si>
  <si>
    <t>www.bb-san-nicola-tolentino.it</t>
  </si>
  <si>
    <t>robertosforzini@tiscalinet.it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</si>
  <si>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</si>
  <si>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</si>
  <si>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</si>
  <si>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</si>
  <si>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Azienda Agrituristica Terre Del Chienti</t>
  </si>
  <si>
    <t>Contrada Pianarucci 19</t>
  </si>
  <si>
    <t>www.terredelchienti.it</t>
  </si>
  <si>
    <t>info@terredelchienti.it</t>
  </si>
  <si>
    <t>B&amp;B Il Teatro</t>
  </si>
  <si>
    <t>Via Antonio Gramsci 34</t>
  </si>
  <si>
    <t>beb-il.teatro@libero.it</t>
  </si>
  <si>
    <t>Azienda Agricola Di Breccia Giuseppina &amp; Figli</t>
  </si>
  <si>
    <t>B&amp;B Sonia Minnici</t>
  </si>
  <si>
    <t>Contrada Parruccia 11</t>
  </si>
  <si>
    <t>www.bbsolevento.it</t>
  </si>
  <si>
    <t>bbsolevento@bbsolevento.it</t>
  </si>
  <si>
    <t>B&amp;B Podere Del Fagiano</t>
  </si>
  <si>
    <t>Contrada Rofanello 28</t>
  </si>
  <si>
    <t>www.poderedelfagiano.it</t>
  </si>
  <si>
    <t>gustavog63@tiscali.it</t>
  </si>
  <si>
    <t>Agriturismo Colle Regnano</t>
  </si>
  <si>
    <t>Contrada Casadicristo 11</t>
  </si>
  <si>
    <t>www.colleregnano.it</t>
  </si>
  <si>
    <t>agriturismo@colleregnano.it</t>
  </si>
  <si>
    <t>B&amp;B Fontebigoncio</t>
  </si>
  <si>
    <t>Contrada Fontebigoncio 1</t>
  </si>
  <si>
    <t>www.bbfontebigoncio.it</t>
  </si>
  <si>
    <t>bbfontebigoncio@tiscali.it</t>
  </si>
  <si>
    <t>Hotel 77</t>
  </si>
  <si>
    <t>Viale Bruno Buozzi 90</t>
  </si>
  <si>
    <t>www.hotel77.com</t>
  </si>
  <si>
    <t>daniele@hotel77.com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</si>
  <si>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</si>
  <si>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</si>
  <si>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</si>
  <si>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</si>
  <si>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</si>
  <si>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Albergo Ristorante Milano ***</t>
  </si>
  <si>
    <t>www.hotelmilanotolentino.it</t>
  </si>
  <si>
    <t>info@hotelmilanotolentino.it</t>
  </si>
  <si>
    <t>Agriturismo Merlini</t>
  </si>
  <si>
    <t>Contrada Pianarucci 30</t>
  </si>
  <si>
    <t>luigi.merlini@rematarlazzi.it</t>
  </si>
  <si>
    <t>La Via Del Sole</t>
  </si>
  <si>
    <t>Contrada Serrette 12</t>
  </si>
  <si>
    <t>www.agriturismolaviadelsole.com</t>
  </si>
  <si>
    <t>marcello.scarpecci@gmail.com</t>
  </si>
  <si>
    <t>Pomo D'Oro</t>
  </si>
  <si>
    <t>www.agriturismopomodoro.com</t>
  </si>
  <si>
    <t>info@agriturismopomodoro.com</t>
  </si>
  <si>
    <t>B&amp;B Boncore Di Borroni Silvana</t>
  </si>
  <si>
    <t>Via Santa Maria D'Ete 19</t>
  </si>
  <si>
    <t>bo.silvana@libero.it</t>
  </si>
  <si>
    <t>B&amp;B Nido Sulle Colline</t>
  </si>
  <si>
    <t>info@nidosullecolline.eu</t>
  </si>
  <si>
    <t>Villa Pedossa, Your Country Escape!</t>
  </si>
  <si>
    <t>Gualdo 15</t>
  </si>
  <si>
    <t>Brugnetto Di Trecastelli</t>
  </si>
  <si>
    <t>www.villapedossa.it</t>
  </si>
  <si>
    <t>info@villapedossa.it</t>
  </si>
  <si>
    <t>Casachiara</t>
  </si>
  <si>
    <t>Via Santa Marina 4</t>
  </si>
  <si>
    <t>Castel Colonna</t>
  </si>
  <si>
    <t>www.casachiara.ue</t>
  </si>
  <si>
    <t>sylvia@casachiara.eu</t>
  </si>
  <si>
    <t>B&amp;B Casale Civetta</t>
  </si>
  <si>
    <t>Via Consolazione 20</t>
  </si>
  <si>
    <t>Loc. Castel Colonna</t>
  </si>
  <si>
    <t>daniele.pierfederici@tiscali.it</t>
  </si>
  <si>
    <t>Agriturismo Le Fontanelle</t>
  </si>
  <si>
    <t>Via Piagiolino 6</t>
  </si>
  <si>
    <t>Loc. Ponterio</t>
  </si>
  <si>
    <t>canoba@libero.it</t>
  </si>
  <si>
    <t>Solea</t>
  </si>
  <si>
    <t>Via Santa Lucia 6</t>
  </si>
  <si>
    <t>www.soleahotel.com</t>
  </si>
  <si>
    <t>info@soleahotel.com</t>
  </si>
  <si>
    <t>B&amp;B Villa Delle Principesse</t>
  </si>
  <si>
    <t>Via Gualdo 12</t>
  </si>
  <si>
    <t>www.villadelleprincipesse.com</t>
  </si>
  <si>
    <t>perini.francesco96@gmail.com</t>
  </si>
  <si>
    <t>B&amp;B Viasanmoro</t>
  </si>
  <si>
    <t>Via San Moro 10</t>
  </si>
  <si>
    <t>www.viasanmoro.org</t>
  </si>
  <si>
    <t>info@viasanmoro.org; zanzara97@libero.it</t>
  </si>
  <si>
    <t>Boccarossa Silvia</t>
  </si>
  <si>
    <t>Via Dante Alighieri 32</t>
  </si>
  <si>
    <t>broccoligianluca@libero.it</t>
  </si>
  <si>
    <t>Agriturist L'Ulivo</t>
  </si>
  <si>
    <t>Via Valliscie 9B</t>
  </si>
  <si>
    <t>agrituristlulivo@hotmail.it</t>
  </si>
  <si>
    <t>Agriturismo Il Prato</t>
  </si>
  <si>
    <t>Via Giacomo Matteotti 13</t>
  </si>
  <si>
    <t>www.agriturismo-ilprato.com</t>
  </si>
  <si>
    <t>info@agriturismo-ilprato.com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</si>
  <si>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</si>
  <si>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</si>
  <si>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</si>
  <si>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</si>
  <si>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</si>
  <si>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</si>
  <si>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</si>
  <si>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</si>
  <si>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</si>
  <si>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</si>
  <si>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</si>
  <si>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</si>
  <si>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</si>
  <si>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</si>
  <si>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</si>
  <si>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La Casa Degli Ulivi. Art &amp; Residence</t>
  </si>
  <si>
    <t>Via San Pietro 7</t>
  </si>
  <si>
    <t>www.lacasadegliulivi.eu</t>
  </si>
  <si>
    <t>ipermanyer@yahoo.it</t>
  </si>
  <si>
    <t>Tenuta Il Giogo</t>
  </si>
  <si>
    <t>Via Fonti 5</t>
  </si>
  <si>
    <t>Loc.Monterado</t>
  </si>
  <si>
    <t>www.ilgiogo.it</t>
  </si>
  <si>
    <t>info@ilgiogo.it</t>
  </si>
  <si>
    <t>B&amp;B Luna Bianca Di Ciarloni Rossana</t>
  </si>
  <si>
    <t>Via Gualdo  11</t>
  </si>
  <si>
    <t>Brugnetto</t>
  </si>
  <si>
    <t>www.bblunabianca.it</t>
  </si>
  <si>
    <t>info@bblunabianca.it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</si>
  <si>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</si>
  <si>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</si>
  <si>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</si>
  <si>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</si>
  <si>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</si>
  <si>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</si>
  <si>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</si>
  <si>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</si>
  <si>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</si>
  <si>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</si>
  <si>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</si>
  <si>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</si>
  <si>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</si>
  <si>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</si>
  <si>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</si>
  <si>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</si>
  <si>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</si>
  <si>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</si>
  <si>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</si>
  <si>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</si>
  <si>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ilvecchiogranaio@alice.it</t>
  </si>
  <si>
    <t>Casa Gemma</t>
  </si>
  <si>
    <t>Cotrada San Lorenzo 24</t>
  </si>
  <si>
    <t>ang.manzoni@gmail.com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</si>
  <si>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</si>
  <si>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</si>
  <si>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</si>
  <si>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</si>
  <si>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</si>
  <si>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</si>
  <si>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Villa Sara</t>
  </si>
  <si>
    <t>Via Santissimo Crocifisso 48</t>
  </si>
  <si>
    <t>enzoangeletti@live.it</t>
  </si>
  <si>
    <t>Casa Ruffini Maggiolini</t>
  </si>
  <si>
    <t>a.ruffini@mail.com</t>
  </si>
  <si>
    <t>B&amp;B Bibiano 38</t>
  </si>
  <si>
    <t>C.Da Bibiano  38</t>
  </si>
  <si>
    <t>bibiano38.wix.com</t>
  </si>
  <si>
    <t>federicagrande@alice.it</t>
  </si>
  <si>
    <t>B&amp;B Villa Trina</t>
  </si>
  <si>
    <t>C.Da Paterno 6</t>
  </si>
  <si>
    <t>www.villatrina.com</t>
  </si>
  <si>
    <t>djsullivan4000@gmail.com</t>
  </si>
  <si>
    <t>Le Tamerici</t>
  </si>
  <si>
    <t>C.Da Carreggiano 4</t>
  </si>
  <si>
    <t>maco.fx@libero.it</t>
  </si>
  <si>
    <t>Fontechiara</t>
  </si>
  <si>
    <t>C.Da Santa Maria In Paterno 19</t>
  </si>
  <si>
    <t>www.fontechiara.com</t>
  </si>
  <si>
    <t>pinonastasi@alice.it</t>
  </si>
  <si>
    <t>B&amp;B Palazzo Ruffini</t>
  </si>
  <si>
    <t>Via Roma 2</t>
  </si>
  <si>
    <t>Valcampana Di Mancinelli Luciana</t>
  </si>
  <si>
    <t>C.Da Schito 71</t>
  </si>
  <si>
    <t>Agriturismo Poggio Ajano</t>
  </si>
  <si>
    <t>Contrada S. Maria In Selva 31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</si>
  <si>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</si>
  <si>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</si>
  <si>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</si>
  <si>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</si>
  <si>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</si>
  <si>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</si>
  <si>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</si>
  <si>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</si>
  <si>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</si>
  <si>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</si>
  <si>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</si>
  <si>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</si>
  <si>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</si>
  <si>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</si>
  <si>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</si>
  <si>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</si>
  <si>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</si>
  <si>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</si>
  <si>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</si>
  <si>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La Grancia</t>
  </si>
  <si>
    <t>C.Da Santa Maria In Selva 51</t>
  </si>
  <si>
    <t>www.lagrancia.it</t>
  </si>
  <si>
    <t>info@lagrancia.it</t>
  </si>
  <si>
    <t>B&amp;B Casal De Pini</t>
  </si>
  <si>
    <t>C.Da Camporota 65</t>
  </si>
  <si>
    <t>www.casaldepini.it</t>
  </si>
  <si>
    <t>alex13@libero.it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</si>
  <si>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</si>
  <si>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</si>
  <si>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</si>
  <si>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</si>
  <si>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</si>
  <si>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</si>
  <si>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</si>
  <si>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</si>
  <si>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</si>
  <si>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</si>
  <si>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</si>
  <si>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</si>
  <si>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</si>
  <si>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</si>
  <si>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</si>
  <si>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</si>
  <si>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</si>
  <si>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Loc. Fontelci</t>
  </si>
  <si>
    <t>B&amp;B Transita A Treia</t>
  </si>
  <si>
    <t>Via Carlo Didimi 31</t>
  </si>
  <si>
    <t>martero89@hotmail.it</t>
  </si>
  <si>
    <t>La Siesta</t>
  </si>
  <si>
    <t>Contrada San Lorenzo 11</t>
  </si>
  <si>
    <t>http://www.farmhouselasiesta.com/it/</t>
  </si>
  <si>
    <t>info@farmhouselasiesta.com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</si>
  <si>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</si>
  <si>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</si>
  <si>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</si>
  <si>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</si>
  <si>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</si>
  <si>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</si>
  <si>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</si>
  <si>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</si>
  <si>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</si>
  <si>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</si>
  <si>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</si>
  <si>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</si>
  <si>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</si>
  <si>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</si>
  <si>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</si>
  <si>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info@gitanos.it</t>
  </si>
  <si>
    <t>Country House Di Federici Anna</t>
  </si>
  <si>
    <t>C.Da Carreggiano 4/A</t>
  </si>
  <si>
    <t>Il Roccolo</t>
  </si>
  <si>
    <t>C.Da Valcerasa 60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</si>
  <si>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</si>
  <si>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</si>
  <si>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</si>
  <si>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</si>
  <si>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</si>
  <si>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</si>
  <si>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</si>
  <si>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</si>
  <si>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</si>
  <si>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</si>
  <si>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</si>
  <si>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Candianaccio</t>
  </si>
  <si>
    <t>Via Candigliano 6</t>
  </si>
  <si>
    <t>S. Vincenzo In Candigliano-Candianaccio</t>
  </si>
  <si>
    <t>gjm.mochi@libero.it</t>
  </si>
  <si>
    <t>Agriturismo Orsaiola</t>
  </si>
  <si>
    <t>Localita' Orsaiola 36</t>
  </si>
  <si>
    <t>www.orsaiola.it</t>
  </si>
  <si>
    <t>agriturismoorsaiola@libero.it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</si>
  <si>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</si>
  <si>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</si>
  <si>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</si>
  <si>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</si>
  <si>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</si>
  <si>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Parco Ducale</t>
  </si>
  <si>
    <t>Parco - Urbania</t>
  </si>
  <si>
    <t>www.ilparcoducale.it</t>
  </si>
  <si>
    <t>info@ilparcoducale.it</t>
  </si>
  <si>
    <t>B&amp;B Casa Mini Di Faggi Luciano</t>
  </si>
  <si>
    <t>Via F. Ugolini 32</t>
  </si>
  <si>
    <t>http://www.casamini.it</t>
  </si>
  <si>
    <t>casamini@gmail.com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</si>
  <si>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</si>
  <si>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</si>
  <si>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</si>
  <si>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</si>
  <si>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</si>
  <si>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Ca' Serrantonio</t>
  </si>
  <si>
    <t>Via Candigliano 3</t>
  </si>
  <si>
    <t>San Vincenzo In Candigliano</t>
  </si>
  <si>
    <t>www.caserrantonio.com</t>
  </si>
  <si>
    <t>booking@caserrantonio.com</t>
  </si>
  <si>
    <t>Isabelle Sarah Corbett</t>
  </si>
  <si>
    <t>Via Santa Cecilia  30</t>
  </si>
  <si>
    <t>ir@isabelleriviere.it</t>
  </si>
  <si>
    <t>B&amp;B Piccolo Eden</t>
  </si>
  <si>
    <t>Via Santa Maria In Triaria 10</t>
  </si>
  <si>
    <t>alvonimonica@gmail.com</t>
  </si>
  <si>
    <t>Cal Terrazzano</t>
  </si>
  <si>
    <t>Via Fangacci 7</t>
  </si>
  <si>
    <t>stefano.alippi@gmail.com</t>
  </si>
  <si>
    <t>Villa Enrico</t>
  </si>
  <si>
    <t>piero.alberto.carrara@outlook.it</t>
  </si>
  <si>
    <t>B&amp;B Vi.Vi'</t>
  </si>
  <si>
    <t>Ponte Vecchio 5/C</t>
  </si>
  <si>
    <t>Scheggiola</t>
  </si>
  <si>
    <t>violinimassiomo@gmail.com</t>
  </si>
  <si>
    <t>B&amp;B Caterina</t>
  </si>
  <si>
    <t>Via Monte Berticchio 11</t>
  </si>
  <si>
    <t>taburchio@virgilio.it</t>
  </si>
  <si>
    <t>B&amp;B Monte San Pietro</t>
  </si>
  <si>
    <t>Monte San Pietro</t>
  </si>
  <si>
    <t>www.bbmontesanpietro.it</t>
  </si>
  <si>
    <t>info@bbmontesanpietro.it</t>
  </si>
  <si>
    <t>Topi Maria</t>
  </si>
  <si>
    <t>Localita' Le Capannacce</t>
  </si>
  <si>
    <t>B&amp;B Fox'S Hill</t>
  </si>
  <si>
    <t>Localita' Sant' Andrea In Serra D' Ocre 1</t>
  </si>
  <si>
    <t>www.foxhill.it</t>
  </si>
  <si>
    <t>fox.elizabeth@libero.it</t>
  </si>
  <si>
    <t>Agriturismo S. Alessandro</t>
  </si>
  <si>
    <t>Localita' Porta Nuova 39</t>
  </si>
  <si>
    <t>www.sant-alessandro.com</t>
  </si>
  <si>
    <t>sant-alessandro@libero.it</t>
  </si>
  <si>
    <t>Country House Sant'Angiolino</t>
  </si>
  <si>
    <t>Loc. S. Eracliano 13</t>
  </si>
  <si>
    <t>Loc. Sant'Angiolino</t>
  </si>
  <si>
    <t>www.santangiolino.it</t>
  </si>
  <si>
    <t>info@santangiolino.it</t>
  </si>
  <si>
    <t>Ca' Boscarini</t>
  </si>
  <si>
    <t>Via Della Bastiola 7</t>
  </si>
  <si>
    <t>www.caboscarini.it</t>
  </si>
  <si>
    <t>info@caboscarini.it</t>
  </si>
  <si>
    <t>Strada Pieve Del Colle 1</t>
  </si>
  <si>
    <t>www.pievedelcolle.com</t>
  </si>
  <si>
    <t>info@pievedelcolle.com</t>
  </si>
  <si>
    <t>B&amp;B Ca' Lasagno</t>
  </si>
  <si>
    <t>Loc. Santa Maria In Campolungo 17</t>
  </si>
  <si>
    <t>Loc. Santa Maria In Campolungo</t>
  </si>
  <si>
    <t>bnb.calasagno@gmail.com</t>
  </si>
  <si>
    <t>B&amp;B Pippinella</t>
  </si>
  <si>
    <t>Via Metauro  12</t>
  </si>
  <si>
    <t>palini.italo@teletu.it</t>
  </si>
  <si>
    <t>Via B. Tacchi 9</t>
  </si>
  <si>
    <t>ny75nina@libero.it</t>
  </si>
  <si>
    <t>B&amp;B Baldelli Diana</t>
  </si>
  <si>
    <t>Via P. Bembo 15</t>
  </si>
  <si>
    <t>Monte Berticchio</t>
  </si>
  <si>
    <t>ago.palmitessa@gmail.com</t>
  </si>
  <si>
    <t>La Tintoria</t>
  </si>
  <si>
    <t>Via Porta Molino 9</t>
  </si>
  <si>
    <t>giuditta.bendelli@gmail.com</t>
  </si>
  <si>
    <t>B&amp;B Topi Antonio</t>
  </si>
  <si>
    <t>Cà Filippo</t>
  </si>
  <si>
    <t>topiantonio@virgilio.it</t>
  </si>
  <si>
    <t>B&amp;B Ca' Lacina</t>
  </si>
  <si>
    <t>Localita' Orsaiola 37</t>
  </si>
  <si>
    <t>La Valle Dimenticata</t>
  </si>
  <si>
    <t>Loc. Santa Maria In Spinateci 26</t>
  </si>
  <si>
    <t>Cà Battaglino</t>
  </si>
  <si>
    <t>www.lavalledimenticata.it</t>
  </si>
  <si>
    <t>info@lavalledimenticata.it</t>
  </si>
  <si>
    <t>B&amp;B Paoli Adamo</t>
  </si>
  <si>
    <t>Via S.Paterniano 7/A</t>
  </si>
  <si>
    <t>Loc. Barco Ducale</t>
  </si>
  <si>
    <t>Ca' Fede Country House</t>
  </si>
  <si>
    <t>Localita' Orsaiola 14</t>
  </si>
  <si>
    <t>www.cafedecountryhouse.com</t>
  </si>
  <si>
    <t>graham@cafedecountryhouse.com</t>
  </si>
  <si>
    <t>Area Di Sosta Camper Comunale</t>
  </si>
  <si>
    <t>Viale Michelangelo 1</t>
  </si>
  <si>
    <t>Piazzale Delle Corriere</t>
  </si>
  <si>
    <t>B&amp;B Luzi Graziella</t>
  </si>
  <si>
    <t>Localita' San Giorgio 19</t>
  </si>
  <si>
    <t>Localita' Santa Maria Del Piano 107</t>
  </si>
  <si>
    <t>Country House Angelo Blu</t>
  </si>
  <si>
    <t>Via Porta Parco 37</t>
  </si>
  <si>
    <t>www.countryhouseangeloblu.it</t>
  </si>
  <si>
    <t>info@countryhouseangeloblu.it</t>
  </si>
  <si>
    <t>Bramante</t>
  </si>
  <si>
    <t>Via Roma 92/94</t>
  </si>
  <si>
    <t>albergobramante@virgilio.it</t>
  </si>
  <si>
    <t>B&amp;B Ai Cipressi</t>
  </si>
  <si>
    <t>Via Mainardi 3</t>
  </si>
  <si>
    <t>www.cipressiurbino.it</t>
  </si>
  <si>
    <t>cipressiurbino@gmail.com</t>
  </si>
  <si>
    <t>B&amp;B Cal Torello</t>
  </si>
  <si>
    <t>Via Strada Provinciale Montefabbri 87</t>
  </si>
  <si>
    <t>Pallino</t>
  </si>
  <si>
    <t>http://www.caltorello.it</t>
  </si>
  <si>
    <t>caltorello@gmail.com</t>
  </si>
  <si>
    <t>La Fornace</t>
  </si>
  <si>
    <t>Via Bocca Trabaria Ovest 66/74</t>
  </si>
  <si>
    <t>cavalentino58@gmail.com - cavalentino@pec.it</t>
  </si>
  <si>
    <t>Il Cortegiano</t>
  </si>
  <si>
    <t>Via Federico Veterani 1</t>
  </si>
  <si>
    <t>ilcortegiano@libero.it</t>
  </si>
  <si>
    <t>B&amp;B La Bella Urbino</t>
  </si>
  <si>
    <t>Circonvallazione Giro Dei Debitori 12</t>
  </si>
  <si>
    <t>francescogtt@hotmail.it</t>
  </si>
  <si>
    <t>B&amp;B Gli Auri</t>
  </si>
  <si>
    <t>Via San Bernardino 51</t>
  </si>
  <si>
    <t>beb.gliauri@gmail.com</t>
  </si>
  <si>
    <t>Ca' Mignone</t>
  </si>
  <si>
    <t>Strada Provinciale Le Cesane 43</t>
  </si>
  <si>
    <t>agricamignone@libero.it</t>
  </si>
  <si>
    <t>B&amp;B Ca' Bartoccio</t>
  </si>
  <si>
    <t>S.P. Montefabbri 109</t>
  </si>
  <si>
    <t>cabartoccio@tiscali.it</t>
  </si>
  <si>
    <t>B&amp;B Castelboccione</t>
  </si>
  <si>
    <t>Castelboccione 3</t>
  </si>
  <si>
    <t>Trasanni</t>
  </si>
  <si>
    <t>b&amp;b castelboccione</t>
  </si>
  <si>
    <t>bbcastelboccione@gmail.com</t>
  </si>
  <si>
    <t>Domus Urbino Palazzo Angeloni</t>
  </si>
  <si>
    <t>B&amp;B Villa Vittoria</t>
  </si>
  <si>
    <t>S. P. Delle Cesane  43</t>
  </si>
  <si>
    <t>cirella23@libero.it</t>
  </si>
  <si>
    <t>Al Noce Bianco</t>
  </si>
  <si>
    <t>Ca' Dondo 44</t>
  </si>
  <si>
    <t>www.alnocebianco.it</t>
  </si>
  <si>
    <t>cesane@libero.it</t>
  </si>
  <si>
    <t>B&amp;B Villa Banci Di Cioppi Stefano</t>
  </si>
  <si>
    <t>Via Rancitella  23</t>
  </si>
  <si>
    <t>www.villabanci.it</t>
  </si>
  <si>
    <t>villabanci@libero.it</t>
  </si>
  <si>
    <t>Agriturismo Ca'  Vanzo</t>
  </si>
  <si>
    <t>Via San Giacomo In Foglia 8</t>
  </si>
  <si>
    <t>info@urbinoresort.it</t>
  </si>
  <si>
    <t>B&amp;B La Scuola</t>
  </si>
  <si>
    <t>Via Palazzo Del Piano 3</t>
  </si>
  <si>
    <t>www.bblascuola.it/</t>
  </si>
  <si>
    <t>B&amp;B L'Angolo Fiorito</t>
  </si>
  <si>
    <t>Via Strada Provinciale Pieve Di Cagna 21</t>
  </si>
  <si>
    <t>Rancitella</t>
  </si>
  <si>
    <t>bblangolofiorito@libero.it</t>
  </si>
  <si>
    <t>B&amp;B Santa Margherita</t>
  </si>
  <si>
    <t>Via Santa Margherita 3</t>
  </si>
  <si>
    <t>Domus Urbino Pieve San Cassiano</t>
  </si>
  <si>
    <t>prenotazioni@domus-urbino.it</t>
  </si>
  <si>
    <t>B&amp;B Villa Anjana</t>
  </si>
  <si>
    <t>Via S. Eufemia 7/9</t>
  </si>
  <si>
    <t>S.Eufemia</t>
  </si>
  <si>
    <t>www.villaanjana.altervista.org</t>
  </si>
  <si>
    <t>villaanjana@libero.it</t>
  </si>
  <si>
    <t>San Domenico</t>
  </si>
  <si>
    <t>Piazza Rinascimento 3</t>
  </si>
  <si>
    <t>www.viphotels.it</t>
  </si>
  <si>
    <t>sandomenico@viphotels.it</t>
  </si>
  <si>
    <t>Bonconte</t>
  </si>
  <si>
    <t>Via Delle Mura 28</t>
  </si>
  <si>
    <t>bonconte@viphotels.it</t>
  </si>
  <si>
    <t>Sant'Antonio</t>
  </si>
  <si>
    <t>Localita' Gadana 55</t>
  </si>
  <si>
    <t>santantonio@simail.it</t>
  </si>
  <si>
    <t>B&amp;B Le Calle</t>
  </si>
  <si>
    <t>Via Paolo Uccello 4</t>
  </si>
  <si>
    <t>Localita' Trasanni</t>
  </si>
  <si>
    <t>http://bblecalle.it</t>
  </si>
  <si>
    <t>le.calle@yahoo.it</t>
  </si>
  <si>
    <t>B&amp;B Ca' Lante</t>
  </si>
  <si>
    <t>Via Ca' Lante 7</t>
  </si>
  <si>
    <t>tiegerie@yahoo.it</t>
  </si>
  <si>
    <t>Il Palazzo Di Miniera</t>
  </si>
  <si>
    <t>Via Fornace 1</t>
  </si>
  <si>
    <t>renato.pulisca@gmail.com</t>
  </si>
  <si>
    <t>Dei Duchi</t>
  </si>
  <si>
    <t>Via Colonna 43</t>
  </si>
  <si>
    <t>www.agriturismodeiduchi.it</t>
  </si>
  <si>
    <t>agriturismodeiduchi@libero.it</t>
  </si>
  <si>
    <t>Calbertaro</t>
  </si>
  <si>
    <t>Via Sant' Antonio 1</t>
  </si>
  <si>
    <t>calbertaro@libero.it</t>
  </si>
  <si>
    <t>Agriturismo Fosso Del Lupo</t>
  </si>
  <si>
    <t>Via Monte Tomba 11</t>
  </si>
  <si>
    <t>Scotaneto</t>
  </si>
  <si>
    <t>www.fossolupo.it</t>
  </si>
  <si>
    <t>d.garota@libero.it</t>
  </si>
  <si>
    <t>Agriturismo Le Fontane</t>
  </si>
  <si>
    <t>Via Pallino 25</t>
  </si>
  <si>
    <t>www.lefontaneurbino.it</t>
  </si>
  <si>
    <t>lefontaneurbino@lefontaneurbino.it</t>
  </si>
  <si>
    <t>La Valle Del Vento</t>
  </si>
  <si>
    <t>Via Monte Olivo 12</t>
  </si>
  <si>
    <t>www.lavalledelvento.it</t>
  </si>
  <si>
    <t>info@lavalledelvento.it</t>
  </si>
  <si>
    <t>Tortorina</t>
  </si>
  <si>
    <t>Via Ottaviano Petrucci 4</t>
  </si>
  <si>
    <t>www.hotel-tortorina.it</t>
  </si>
  <si>
    <t>info@hotel-tortorina.it</t>
  </si>
  <si>
    <t>Via Federico Barocci 13</t>
  </si>
  <si>
    <t>www.albergosangiovanniurbino.it</t>
  </si>
  <si>
    <t>info@albergosangiovanniurbino.it</t>
  </si>
  <si>
    <t>Albergo Raffaello</t>
  </si>
  <si>
    <t>Via Santa Margherita 38</t>
  </si>
  <si>
    <t>www.albergoraffaello.com</t>
  </si>
  <si>
    <t>info@albergoraffaello.com</t>
  </si>
  <si>
    <t>Piero Della Francesca</t>
  </si>
  <si>
    <t>Viale Federico Comandino 53</t>
  </si>
  <si>
    <t>www.hotelpierodellafrancesca.net</t>
  </si>
  <si>
    <t>info@hotelpierodellafrancesca.net</t>
  </si>
  <si>
    <t>Nene'</t>
  </si>
  <si>
    <t>Via Biancalana- Strada Rossa  39</t>
  </si>
  <si>
    <t>www.neneurbino.com</t>
  </si>
  <si>
    <t>nene@neneurbino.com</t>
  </si>
  <si>
    <t>Via Urbinate 43</t>
  </si>
  <si>
    <t>www.la-meridiana.com</t>
  </si>
  <si>
    <t>meridiana@la-meridiana.com</t>
  </si>
  <si>
    <t>Corso Giuseppe Garibaldi 32</t>
  </si>
  <si>
    <t>www.albergo-italia-urbino.it</t>
  </si>
  <si>
    <t>info@albergo-italia-urbino.it</t>
  </si>
  <si>
    <t>Via Giannetto Dini 12</t>
  </si>
  <si>
    <t>deiduchi@viphotels.it</t>
  </si>
  <si>
    <t>Poggio Dei Prugnoli Di Marina Arcangeli</t>
  </si>
  <si>
    <t>Loc.La Marcella Strada Provinciale Tavoleto 31</t>
  </si>
  <si>
    <t>www.poggiodeiprugnoli.it</t>
  </si>
  <si>
    <t>info@poggiodeiprugnoli.it</t>
  </si>
  <si>
    <t>B&amp;B Al Nido</t>
  </si>
  <si>
    <t>Via Strada Provinciale Montefabbri 32</t>
  </si>
  <si>
    <t>rettori@libero.it</t>
  </si>
  <si>
    <t>Girfalco Country House B&amp;B</t>
  </si>
  <si>
    <t>Via Girfalco 26</t>
  </si>
  <si>
    <t>www.girfalco.it</t>
  </si>
  <si>
    <t>info@girfalco.it</t>
  </si>
  <si>
    <t>Viale Antonio Gramsci 22</t>
  </si>
  <si>
    <t>info@bbaquilone.com</t>
  </si>
  <si>
    <t>Acero Francesco E Filippo</t>
  </si>
  <si>
    <t>Via Monte Polo 10</t>
  </si>
  <si>
    <t>m.g.acero@alice.it</t>
  </si>
  <si>
    <t>B&amp;B Villa Cini</t>
  </si>
  <si>
    <t>Via S.P.Montefabbri 17</t>
  </si>
  <si>
    <t>www.bbvillacini.com</t>
  </si>
  <si>
    <t>info@bbvillacini.com</t>
  </si>
  <si>
    <t>B&amp;B Ca' Imelde</t>
  </si>
  <si>
    <t>Via Bocca Trabaria 123</t>
  </si>
  <si>
    <t>arcalavalle@gmail.com</t>
  </si>
  <si>
    <t>Hotel Mamiani</t>
  </si>
  <si>
    <t>Via Errigo Bernini 6</t>
  </si>
  <si>
    <t>www.hotelmamiani.it</t>
  </si>
  <si>
    <t>info@hotelmamiani.it</t>
  </si>
  <si>
    <t>Ca' Aurora</t>
  </si>
  <si>
    <t>Via Nazionale Boccatrabaria Ovest 144</t>
  </si>
  <si>
    <t>B&amp;B Casa Nella</t>
  </si>
  <si>
    <t>Via Dei Vasari 13</t>
  </si>
  <si>
    <t>susix1it@yahoo.it</t>
  </si>
  <si>
    <t>B&amp;B Ampiavista</t>
  </si>
  <si>
    <t>Via Bramante 66/A</t>
  </si>
  <si>
    <t>ampiavista@libero.it</t>
  </si>
  <si>
    <t>Via Colonna 25</t>
  </si>
  <si>
    <t>Loc. Trasanni</t>
  </si>
  <si>
    <t>tecla1111@yahoo.it</t>
  </si>
  <si>
    <t>Ca' Lupino</t>
  </si>
  <si>
    <t>Via Cà Bergamo 44</t>
  </si>
  <si>
    <t>www.calupino.it</t>
  </si>
  <si>
    <t>info@calupino.it</t>
  </si>
  <si>
    <t>B&amp;B Sasso Fiorito</t>
  </si>
  <si>
    <t>Via Monte Pallotta 12</t>
  </si>
  <si>
    <t>Loc. Sasso</t>
  </si>
  <si>
    <t>mauro.sisti@alice.it</t>
  </si>
  <si>
    <t>B&amp;B Ca' Fabbro</t>
  </si>
  <si>
    <t>Strada Provinciale Pieve Di Cagna 33/35</t>
  </si>
  <si>
    <t>mprossi1@virgilio.it</t>
  </si>
  <si>
    <t>Domenica B&amp;B</t>
  </si>
  <si>
    <t>Via Don Luigi Sturzo 11</t>
  </si>
  <si>
    <t>Loc. Canavaccio</t>
  </si>
  <si>
    <t>patrizia.diotallevi62@hotmail.com</t>
  </si>
  <si>
    <t>Valdappio</t>
  </si>
  <si>
    <t>Via Urbinate 198</t>
  </si>
  <si>
    <t>www.agriturismovaldappio.it</t>
  </si>
  <si>
    <t>t.broccoli@libero.it</t>
  </si>
  <si>
    <t>B&amp;B Il Casale Del Duca</t>
  </si>
  <si>
    <t>Strada Provinciale Montefabbri 104</t>
  </si>
  <si>
    <t>Cal Duca</t>
  </si>
  <si>
    <t>www.ilcasaledelduca.it</t>
  </si>
  <si>
    <t>info@ilcasaledelduca.it</t>
  </si>
  <si>
    <t>Villa Laura</t>
  </si>
  <si>
    <t>Via E. Mattei 30</t>
  </si>
  <si>
    <t>www.vacanzeavillalaura.it</t>
  </si>
  <si>
    <t>vacanzevillalaura@gmail.com</t>
  </si>
  <si>
    <t>B&amp;B Il Monchetto</t>
  </si>
  <si>
    <t>Via Monte Pallotta  31</t>
  </si>
  <si>
    <t>Cà Staccolo</t>
  </si>
  <si>
    <t>lauraquaresima@virgilio.it</t>
  </si>
  <si>
    <t>Peschke Martin Michael Ernst</t>
  </si>
  <si>
    <t>Strada Provinciale Peglio San Donato 17</t>
  </si>
  <si>
    <t>www.capiero.it</t>
  </si>
  <si>
    <t>email.capiero@googlemail.com</t>
  </si>
  <si>
    <t>Acero Maria Grazia</t>
  </si>
  <si>
    <t>Via Monte Polo 8</t>
  </si>
  <si>
    <t>B&amp;B  At  Villa San Martino</t>
  </si>
  <si>
    <t>Via Ca' Le Suore 12</t>
  </si>
  <si>
    <t>www.villasanmartino.net</t>
  </si>
  <si>
    <t>villasanctusmartini@libero.it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</si>
  <si>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</si>
  <si>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</si>
  <si>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</si>
  <si>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</si>
  <si>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</si>
  <si>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Maria Giuseppina Mastore</t>
  </si>
  <si>
    <t>Via San Marino 19</t>
  </si>
  <si>
    <t>pinamastore@gmail.com</t>
  </si>
  <si>
    <t>Via Raffaello 9</t>
  </si>
  <si>
    <t>www.bbsanfrancescourbino.com</t>
  </si>
  <si>
    <t>info@bbsanfrancescourbino.com</t>
  </si>
  <si>
    <t>B&amp;B Urbino</t>
  </si>
  <si>
    <t>marosx@vodafone.it</t>
  </si>
  <si>
    <t>Agriturismo Ca' Mattioli</t>
  </si>
  <si>
    <t>Via Checiccarino  17</t>
  </si>
  <si>
    <t>Loc. Montecalende</t>
  </si>
  <si>
    <t>m.romagnoli@cia.it</t>
  </si>
  <si>
    <t>Il Casale Nel Tufo</t>
  </si>
  <si>
    <t>Localita' Rancitella 1</t>
  </si>
  <si>
    <t>faustofoglietta@interfree.it</t>
  </si>
  <si>
    <t>B&amp;B Abaco - Alma Domus</t>
  </si>
  <si>
    <t>Via Mainardi 1</t>
  </si>
  <si>
    <t>www.almadomus.it</t>
  </si>
  <si>
    <t>almadomus@gmail.com</t>
  </si>
  <si>
    <t>B&amp;B Acacia</t>
  </si>
  <si>
    <t>Via Strada Provinciale Numero 9 Feltresca 63</t>
  </si>
  <si>
    <t>www.acaciaurbino.it</t>
  </si>
  <si>
    <t>sdenti@libero.it</t>
  </si>
  <si>
    <t>B&amp;B La Valle</t>
  </si>
  <si>
    <t>Via Della Valle 1</t>
  </si>
  <si>
    <t>www.bblavalle.com</t>
  </si>
  <si>
    <t>prenotazioni@bblavalle.com</t>
  </si>
  <si>
    <t>B&amp;B Delle Duchesse</t>
  </si>
  <si>
    <t>Via Santa Margherita 22</t>
  </si>
  <si>
    <t>Country House Ai Cipressi</t>
  </si>
  <si>
    <t>http://www.cipressiurbino.it</t>
  </si>
  <si>
    <t>B&amp;B Villa Gerhardt</t>
  </si>
  <si>
    <t>Localita' Rancitella Via San Bartolo 23</t>
  </si>
  <si>
    <t>Anna Bed &amp; Breakfast</t>
  </si>
  <si>
    <t>Via Nazionale 1</t>
  </si>
  <si>
    <t>www.anna-bed-breakfast.it</t>
  </si>
  <si>
    <t>ardu09@gmail.com</t>
  </si>
  <si>
    <t>Pensionato Maria Immacolata</t>
  </si>
  <si>
    <t>Via Giuseppe Mazzini 36</t>
  </si>
  <si>
    <t>mpvurbino@tiscali.it</t>
  </si>
  <si>
    <t>Istituto Santa Felicita</t>
  </si>
  <si>
    <t>Via Del Fiancale 1</t>
  </si>
  <si>
    <t>B&amp;B Il Ghetto</t>
  </si>
  <si>
    <t>Via Stretta 31</t>
  </si>
  <si>
    <t>www.ilghetto.net</t>
  </si>
  <si>
    <t>ilghettourbino@gmail.com</t>
  </si>
  <si>
    <t>B&amp;B Sanpolo 1544</t>
  </si>
  <si>
    <t>Via Aurelio Saffi 3</t>
  </si>
  <si>
    <t>www.sanpolo1544.it</t>
  </si>
  <si>
    <t>info@sanpolo1544.it</t>
  </si>
  <si>
    <t>Ca' Ferro</t>
  </si>
  <si>
    <t>Bocca Trabaria Ovest  126</t>
  </si>
  <si>
    <t>Tufo</t>
  </si>
  <si>
    <t>agriturismocaferro.it</t>
  </si>
  <si>
    <t>fogliaa84@libero.it</t>
  </si>
  <si>
    <t>B&amp;B Albornoz</t>
  </si>
  <si>
    <t>Via Dei Maceri 23</t>
  </si>
  <si>
    <t>www.bbalbornoz.com</t>
  </si>
  <si>
    <t>email@bbalbornoz.com</t>
  </si>
  <si>
    <t>B&amp;B La Casetta Del Borgo</t>
  </si>
  <si>
    <t>Via Del Borgo Antico 5</t>
  </si>
  <si>
    <t>Loc.Pantiere</t>
  </si>
  <si>
    <t>beblacasettadelborgo@gmail.com</t>
  </si>
  <si>
    <t>Pietra Rosa</t>
  </si>
  <si>
    <t>Via Monte Polo 132</t>
  </si>
  <si>
    <t>www.pietrarosa.it</t>
  </si>
  <si>
    <t>info@pietrarosa.it</t>
  </si>
  <si>
    <t>Country House Localita' Girofalco</t>
  </si>
  <si>
    <t>Via Girfalco, 26</t>
  </si>
  <si>
    <t>Ca' Andreana</t>
  </si>
  <si>
    <t>Via Ca' Andreana 2</t>
  </si>
  <si>
    <t>www.caandreana.it</t>
  </si>
  <si>
    <t>info@caandreana.it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</si>
  <si>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</si>
  <si>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</si>
  <si>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</si>
  <si>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</si>
  <si>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</si>
  <si>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</si>
  <si>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</si>
  <si>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</si>
  <si>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</si>
  <si>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</si>
  <si>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</si>
  <si>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</si>
  <si>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</si>
  <si>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</si>
  <si>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</si>
  <si>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</si>
  <si>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</si>
  <si>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</si>
  <si>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</si>
  <si>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</si>
  <si>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</si>
  <si>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</si>
  <si>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</si>
  <si>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</si>
  <si>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</si>
  <si>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</si>
  <si>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</si>
  <si>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</si>
  <si>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</si>
  <si>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</si>
  <si>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</si>
  <si>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</si>
  <si>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</si>
  <si>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</si>
  <si>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</si>
  <si>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</si>
  <si>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</si>
  <si>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</si>
  <si>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</si>
  <si>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</si>
  <si>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</si>
  <si>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</si>
  <si>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</si>
  <si>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Il Colcello</t>
  </si>
  <si>
    <t>Via Palazzo Del Piano 10</t>
  </si>
  <si>
    <t>www.ilcolcello-urbino.com</t>
  </si>
  <si>
    <t>info@ilcolcello-urbino.com</t>
  </si>
  <si>
    <t>Ca' Londei</t>
  </si>
  <si>
    <t>endrio.paganelli@gmail.com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</si>
  <si>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</si>
  <si>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</si>
  <si>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</si>
  <si>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</si>
  <si>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</si>
  <si>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</si>
  <si>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</si>
  <si>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</si>
  <si>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</si>
  <si>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</si>
  <si>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</si>
  <si>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</si>
  <si>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</si>
  <si>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</si>
  <si>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</si>
  <si>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</si>
  <si>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</si>
  <si>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</si>
  <si>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</si>
  <si>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</si>
  <si>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</si>
  <si>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</si>
  <si>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</si>
  <si>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</si>
  <si>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</si>
  <si>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</si>
  <si>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</si>
  <si>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</si>
  <si>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</si>
  <si>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</si>
  <si>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</si>
  <si>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</si>
  <si>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</si>
  <si>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</si>
  <si>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</si>
  <si>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</si>
  <si>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</si>
  <si>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</si>
  <si>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</si>
  <si>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</si>
  <si>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Bellavista San Egidio</t>
  </si>
  <si>
    <t>Via Torre Brombolona 85</t>
  </si>
  <si>
    <t>Residence Citta' Ideale</t>
  </si>
  <si>
    <t>Strada Provinciale 9 Feltresca 85</t>
  </si>
  <si>
    <t>info@residencecittaideale.it</t>
  </si>
  <si>
    <t>Le Cesane</t>
  </si>
  <si>
    <t>Via Ca' Adelia 7</t>
  </si>
  <si>
    <t>www.agriturismolecesane.it</t>
  </si>
  <si>
    <t>frauke.weissang@hotmail.com</t>
  </si>
  <si>
    <t>Ca'  Lajala</t>
  </si>
  <si>
    <t>Via S. Eufemia 5</t>
  </si>
  <si>
    <t>www.calajala.com</t>
  </si>
  <si>
    <t>calajala@gmail.com</t>
  </si>
  <si>
    <t>B&amp;B Ca' Il Governatore</t>
  </si>
  <si>
    <t>Via Strada Provinciale Montefabbri 30</t>
  </si>
  <si>
    <t>www.ilgovernatore.it</t>
  </si>
  <si>
    <t>info@ilgovernatore.it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</si>
  <si>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</si>
  <si>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</si>
  <si>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</si>
  <si>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</si>
  <si>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</si>
  <si>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</si>
  <si>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</si>
  <si>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</si>
  <si>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</si>
  <si>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</si>
  <si>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</si>
  <si>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Urbino Resort - Santi Giacomo E Filippo</t>
  </si>
  <si>
    <t>Via San Giacomo In Foglia 9</t>
  </si>
  <si>
    <t>Loc. Pantiere</t>
  </si>
  <si>
    <t>www.tenutasantigiacomoefilippo.it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</si>
  <si>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</si>
  <si>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</si>
  <si>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</si>
  <si>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</si>
  <si>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</si>
  <si>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</si>
  <si>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</si>
  <si>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</si>
  <si>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</si>
  <si>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</si>
  <si>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</si>
  <si>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</si>
  <si>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</si>
  <si>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</si>
  <si>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</si>
  <si>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</si>
  <si>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</si>
  <si>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</si>
  <si>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</si>
  <si>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</si>
  <si>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</si>
  <si>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</si>
  <si>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</si>
  <si>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</si>
  <si>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</si>
  <si>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</si>
  <si>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</si>
  <si>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</si>
  <si>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</si>
  <si>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Montefeltro</t>
  </si>
  <si>
    <t>Via Del Forno 1</t>
  </si>
  <si>
    <t>www.bbmontefeltro.it</t>
  </si>
  <si>
    <t>info@bbmontefeltro.it</t>
  </si>
  <si>
    <t>Bernardini Auto Srl</t>
  </si>
  <si>
    <t>Via Pompilio Bruni 2</t>
  </si>
  <si>
    <t>info@bernardiniauto.it</t>
  </si>
  <si>
    <t>B&amp;B Miniera - Casa Rossa</t>
  </si>
  <si>
    <t>egisto@delbianco.de</t>
  </si>
  <si>
    <t>B&amp;B Il Giuggiolo</t>
  </si>
  <si>
    <t>Via Cal Mazzante 14</t>
  </si>
  <si>
    <t>www.ilgiuggiolo.info</t>
  </si>
  <si>
    <t>info@ilgiuggiolo.info</t>
  </si>
  <si>
    <t>Parolo Carla Aurelia</t>
  </si>
  <si>
    <t>Via Nicolo' Pellipario 31</t>
  </si>
  <si>
    <t>B&amp;B Fontespino</t>
  </si>
  <si>
    <t>Via Fontespino 9</t>
  </si>
  <si>
    <t>www.bbfontespino.it</t>
  </si>
  <si>
    <t>restavileuomo@libero.it</t>
  </si>
  <si>
    <t>B&amp;B Il Campo Degli Olivi</t>
  </si>
  <si>
    <t>Via Colonna 1</t>
  </si>
  <si>
    <t>Raffaello</t>
  </si>
  <si>
    <t>Viale Polidoro Virgili 13</t>
  </si>
  <si>
    <t>www.bbraffaello.com</t>
  </si>
  <si>
    <t>bbraffaello@gmail.com</t>
  </si>
  <si>
    <t>B&amp;B Aquilone</t>
  </si>
  <si>
    <t>www.bbaquilone.com</t>
  </si>
  <si>
    <t>B&amp;B Ca' Giovanni Country Resort</t>
  </si>
  <si>
    <t>Via San Lorenzo In Solfinelli 1</t>
  </si>
  <si>
    <t>www.cagiovanni.eu</t>
  </si>
  <si>
    <t>cagiovanni@gmail.com</t>
  </si>
  <si>
    <t>Villa Marsi 2.0</t>
  </si>
  <si>
    <t>Via Ca' Loreto 1</t>
  </si>
  <si>
    <t>www.lacollinacherespira.com</t>
  </si>
  <si>
    <t>contento@lacollinacherespira.com</t>
  </si>
  <si>
    <t>Via Ca' Mignone 5</t>
  </si>
  <si>
    <t>www.camping-pineta-urbino.it</t>
  </si>
  <si>
    <t>campeggiopinetaurbino@email.it</t>
  </si>
  <si>
    <t>Grassi Ermanno</t>
  </si>
  <si>
    <t>Country House  "Ca' Vernaccia"</t>
  </si>
  <si>
    <t>Via Panoramica 10</t>
  </si>
  <si>
    <t>www.locandaurbino.com</t>
  </si>
  <si>
    <t>info@locandaurbino.com</t>
  </si>
  <si>
    <t>Casa Leoni B&amp;B</t>
  </si>
  <si>
    <t>Corso Giannelli  31</t>
  </si>
  <si>
    <t>casaleonirooms.wix.com/bedandbreakfasturbis</t>
  </si>
  <si>
    <t>casaleoni.rooms@gmail.com</t>
  </si>
  <si>
    <t>Locanda Caffe' Le Logge</t>
  </si>
  <si>
    <t>Corso Alessandro Giannelli 34</t>
  </si>
  <si>
    <t>www.locandalelogge.it</t>
  </si>
  <si>
    <t>info@locandalelogge.it</t>
  </si>
  <si>
    <t>La Maesta'</t>
  </si>
  <si>
    <t>Contrada Montedoro 35</t>
  </si>
  <si>
    <t>Cottage La Volpe E Il Fagiano</t>
  </si>
  <si>
    <t>Via Selva 6</t>
  </si>
  <si>
    <t>info@cottagemc.it</t>
  </si>
  <si>
    <t>Loc. Convento 2</t>
  </si>
  <si>
    <t>Convento</t>
  </si>
  <si>
    <t>giovasoldado90@hotmail.it</t>
  </si>
  <si>
    <t>B&amp;B S. Ercolano Country</t>
  </si>
  <si>
    <t>Via S. Ercolano 24</t>
  </si>
  <si>
    <t>Tempori</t>
  </si>
  <si>
    <t>s.ercolano.country@gmail.com</t>
  </si>
  <si>
    <t>B&amp;B Il Conventino</t>
  </si>
  <si>
    <t>Via Monsignor Amici 1</t>
  </si>
  <si>
    <t>laura.marciani@libero.it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</si>
  <si>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</si>
  <si>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</si>
  <si>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</si>
  <si>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</si>
  <si>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</si>
  <si>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</si>
  <si>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</si>
  <si>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</si>
  <si>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</si>
  <si>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Monte Bove</t>
  </si>
  <si>
    <t>montebovenori@gmail.com</t>
  </si>
  <si>
    <t>Domus Monte Bove</t>
  </si>
  <si>
    <t>Frazione Calcara 1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</si>
  <si>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</si>
  <si>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</si>
  <si>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</si>
  <si>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</si>
  <si>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</si>
  <si>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</si>
  <si>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</si>
  <si>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</si>
  <si>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</si>
  <si>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</si>
  <si>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</si>
  <si>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</si>
  <si>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</si>
  <si>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</si>
  <si>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</si>
  <si>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</si>
  <si>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</si>
  <si>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</si>
  <si>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</si>
  <si>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</si>
  <si>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</si>
  <si>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</si>
  <si>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</si>
  <si>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</si>
  <si>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</si>
  <si>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</si>
  <si>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</si>
  <si>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</si>
  <si>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</si>
  <si>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</si>
  <si>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</si>
  <si>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</si>
  <si>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Rifugio Casali</t>
  </si>
  <si>
    <t>Via Sant'Anastasio Snc</t>
  </si>
  <si>
    <t>Casali</t>
  </si>
  <si>
    <t>Crystal</t>
  </si>
  <si>
    <t>Via Pie' La Costa 1</t>
  </si>
  <si>
    <t>www.hotel-crystal.it</t>
  </si>
  <si>
    <t>hotel-crystal@tiscali.it</t>
  </si>
  <si>
    <t>Rifugio Alpino Del Fargno</t>
  </si>
  <si>
    <t>Loc. Casali</t>
  </si>
  <si>
    <t>www.rifugiodelfargno.it</t>
  </si>
  <si>
    <t>rifugiodelfargno@gmail.com</t>
  </si>
  <si>
    <t>Liera Laura</t>
  </si>
  <si>
    <t>Via V. Veneto 11</t>
  </si>
  <si>
    <t>laura.liera@teletu.it</t>
  </si>
  <si>
    <t>Locanda Montelippo</t>
  </si>
  <si>
    <t>Via Canarecchia 31</t>
  </si>
  <si>
    <t>Info@Montelippo.It</t>
  </si>
  <si>
    <t>www.montelippo.it</t>
  </si>
  <si>
    <t>info@montelippo.it</t>
  </si>
  <si>
    <t>La Fazenda</t>
  </si>
  <si>
    <t>Via Nazionale Urbinate, Cappone 201</t>
  </si>
  <si>
    <t>Loc. Colbordolo</t>
  </si>
  <si>
    <t>www.lanuovafazenda.it</t>
  </si>
  <si>
    <t>claudiofalghera@tiscali.it</t>
  </si>
  <si>
    <t>La Casa Di Giovanna</t>
  </si>
  <si>
    <t>Via Delle Mura 15</t>
  </si>
  <si>
    <t>Castello Di Montefabbri</t>
  </si>
  <si>
    <t>silvano.iacomucci@gmail.com</t>
  </si>
  <si>
    <t>Duccio Ducci</t>
  </si>
  <si>
    <t>Via Canarecchia 39</t>
  </si>
  <si>
    <t>duccioducci@hotmail.com</t>
  </si>
  <si>
    <t>B&amp;B La Pineta</t>
  </si>
  <si>
    <t>Via Forquini 4</t>
  </si>
  <si>
    <t>Loc.Colbordolo</t>
  </si>
  <si>
    <t>www.lapineta-bb.it</t>
  </si>
  <si>
    <t>bbla.pineta@alice.it</t>
  </si>
  <si>
    <t>B&amp;B El Kot</t>
  </si>
  <si>
    <t>Via Del Baldo 8</t>
  </si>
  <si>
    <t>Loc. Montefabbri</t>
  </si>
  <si>
    <t>www.elkot.it</t>
  </si>
  <si>
    <t>marcolino.66@hotmail.it</t>
  </si>
  <si>
    <t>Blu Arena Hotel</t>
  </si>
  <si>
    <t>Via Giacometti (Centro Arcobaleno) 2</t>
  </si>
  <si>
    <t>Montecchio</t>
  </si>
  <si>
    <t>www.bluarenahotel.it</t>
  </si>
  <si>
    <t>info@bluarenahotel.it</t>
  </si>
  <si>
    <t>Via S. Michele 2</t>
  </si>
  <si>
    <t>bb.camilla@virgilio.it</t>
  </si>
  <si>
    <t>B&amp;B Raffaello</t>
  </si>
  <si>
    <t>Via Papa Giovanni Xxiii 48</t>
  </si>
  <si>
    <t>Bottega  Di  Colbordolo</t>
  </si>
  <si>
    <t>bb-raffaello.davide@libero.it</t>
  </si>
  <si>
    <t>B&amp;B Dalla Bruna</t>
  </si>
  <si>
    <t>Via R. Sanzio 1</t>
  </si>
  <si>
    <t>Morciola</t>
  </si>
  <si>
    <t>beb dalla bruna</t>
  </si>
  <si>
    <t>coapautotrasporti@libero.it</t>
  </si>
  <si>
    <t>B&amp;B Bianco Nuvola</t>
  </si>
  <si>
    <t>Via Belvedere 37</t>
  </si>
  <si>
    <t>www.bianconuvola.com</t>
  </si>
  <si>
    <t>olivi@aol.it</t>
  </si>
  <si>
    <t>Iacomucci Silvano</t>
  </si>
  <si>
    <t>Montefabbri</t>
  </si>
  <si>
    <t>silvano.iacomucci@gmail.it</t>
  </si>
  <si>
    <t>B&amp;B La Formica Di Urtini Francesca</t>
  </si>
  <si>
    <t>Via Bologna 9</t>
  </si>
  <si>
    <t>Montecchio Di Vallefoglia</t>
  </si>
  <si>
    <t>laformicabb@gmail.com</t>
  </si>
  <si>
    <t>Volponi Gianni</t>
  </si>
  <si>
    <t>Via Del Forno 2</t>
  </si>
  <si>
    <t>giorgia7s@libero.it</t>
  </si>
  <si>
    <t>Villaggio Tropicana</t>
  </si>
  <si>
    <t>Colbordolo</t>
  </si>
  <si>
    <t>Agriturismo Tenuta Borgio</t>
  </si>
  <si>
    <t>Frazione Olibra 55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</si>
  <si>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</si>
  <si>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</si>
  <si>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</si>
  <si>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</si>
  <si>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</si>
  <si>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</si>
  <si>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</si>
  <si>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</si>
  <si>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</si>
  <si>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B&amp;B Il Canto Del Nera</t>
  </si>
  <si>
    <t>Via Pietro Toselli 2</t>
  </si>
  <si>
    <t>http://ilcantodelnera.blogspot.it/</t>
  </si>
  <si>
    <t>cantodelnera@gmail.com</t>
  </si>
  <si>
    <t>B&amp;B Via Ussita</t>
  </si>
  <si>
    <t>Lo Zafferano</t>
  </si>
  <si>
    <t>Capo Cervara 20</t>
  </si>
  <si>
    <t>Fematre</t>
  </si>
  <si>
    <t>Via Del Borgo</t>
  </si>
  <si>
    <t>Via Borgo Sant'Antonio 17</t>
  </si>
  <si>
    <t>Tre Monti</t>
  </si>
  <si>
    <t>Via Valcanuta 11</t>
  </si>
  <si>
    <t>Altarocca Maria Cristina</t>
  </si>
  <si>
    <t>Vicolo Angelini 1</t>
  </si>
  <si>
    <t>Sant' Antonio  5</t>
  </si>
  <si>
    <t>i.gatti@hotmail.it</t>
  </si>
  <si>
    <t>Appartamenti Tre Monti</t>
  </si>
  <si>
    <t>B.Go Sant'Antonio 17</t>
  </si>
  <si>
    <t>cappatonino@gmail.com</t>
  </si>
  <si>
    <t>Santuario Di Macereto (Locali Palazzo Delle Guaite)</t>
  </si>
  <si>
    <t>Localita' Macereto 1</t>
  </si>
  <si>
    <t>www.santuariomacereto.it</t>
  </si>
  <si>
    <t>macereto@libero.it</t>
  </si>
  <si>
    <t>B&amp;B Il Ruscello</t>
  </si>
  <si>
    <t>Via Del Vettore 8</t>
  </si>
  <si>
    <t>claudio.mazzotti@hotmail.it</t>
  </si>
  <si>
    <t>Santuario Di Macereto (Locali Foresteria)</t>
  </si>
  <si>
    <t>Macereto</t>
  </si>
  <si>
    <t>Rifugio Escursionistico Di Cupi</t>
  </si>
  <si>
    <t>Via Piana  1</t>
  </si>
  <si>
    <t>Frazione Cupi</t>
  </si>
  <si>
    <t>www.rifugiocupi.it</t>
  </si>
  <si>
    <t>rifugiocupi@gmail.com</t>
  </si>
  <si>
    <t>Hotel Ristorante Elena</t>
  </si>
  <si>
    <t>Via G. Rosi 14</t>
  </si>
  <si>
    <t>www.hotelristorantelena.com</t>
  </si>
  <si>
    <t>info@hotelristorantelena</t>
  </si>
  <si>
    <t>Affittacamere Villacolle</t>
  </si>
  <si>
    <t>Via Macereto 5</t>
  </si>
  <si>
    <t>www.villacollevisso.com</t>
  </si>
  <si>
    <t>dominici.federica@tiscali.it</t>
  </si>
  <si>
    <t>B&amp;B Due Torri</t>
  </si>
  <si>
    <t>Via Cesare Battisti 51</t>
  </si>
  <si>
    <t>vissoimmobiliare.com</t>
  </si>
  <si>
    <t>visso83@email.it</t>
  </si>
  <si>
    <t>Via Borgo Santantonio 11/A</t>
  </si>
  <si>
    <t>info@ilborgovisso.it</t>
  </si>
  <si>
    <t>B&amp;B La Mansardina</t>
  </si>
  <si>
    <t>Via Ussita 5/A</t>
  </si>
  <si>
    <t>manishika@email.it</t>
  </si>
  <si>
    <t>B&amp;B Via Del Poggio</t>
  </si>
  <si>
    <t>Borgo Sant Antonio  17</t>
  </si>
  <si>
    <t>B&amp;B Galliano</t>
  </si>
  <si>
    <t>Via Galliano  18</t>
  </si>
  <si>
    <t>smeaconsulsrl@libero.it</t>
  </si>
  <si>
    <t>RICERCA STRUTTURA</t>
  </si>
  <si>
    <t>NOME STRUTTURA</t>
  </si>
  <si>
    <t>CITTA'</t>
  </si>
  <si>
    <t>INDIRIZZO</t>
  </si>
  <si>
    <t>EMAIL</t>
  </si>
  <si>
    <t>INDIRIZZO WEB</t>
  </si>
  <si>
    <t>La struttura selezionata</t>
  </si>
  <si>
    <t>è presente in queste cittá, selezionare nel form per trovare l'indirizzo</t>
  </si>
  <si>
    <t>Numero totale strutture presenti nella cittá</t>
  </si>
  <si>
    <t>Numero totale strutture nella regione</t>
  </si>
  <si>
    <t xml:space="preserve">/* Creato un foglio di supporto "Conteggio denominazione",cosí da avere a disposizione una colonna </t>
  </si>
  <si>
    <t xml:space="preserve"> in cittá diverse*/</t>
  </si>
  <si>
    <t>/* Alla destra tramite la struttura selezionata creo un elenco dinamico con le cittá che presentano una sede della medesima*/</t>
  </si>
  <si>
    <t>/* Trovo quindi i dati relativi alla struttura usando una END nel Cerca X che verifica sia la struttura che la cittá della sede di interesse*/</t>
  </si>
  <si>
    <t>Visualizza strutture per la cittá inserita</t>
  </si>
  <si>
    <t>/*Utilizzo un foglio di supporto Conteggio cittá per creare un elenco univo da utilizzare in questa ricerca con il menú a tendina avendo una visualizzazione dinamica della seconda parte dell'esercizio 6, uso un filtro piú dati ordina per categoria*/</t>
  </si>
  <si>
    <t>MEDIA</t>
  </si>
  <si>
    <t>MEDIANA</t>
  </si>
  <si>
    <t>MODA</t>
  </si>
  <si>
    <t>VARIANZA</t>
  </si>
  <si>
    <t>DEVIAZIONE ST</t>
  </si>
  <si>
    <t>Quartile</t>
  </si>
  <si>
    <t>IQR</t>
  </si>
  <si>
    <t>/*Media e mediana sono identiche indicano una distribuzione simmetrica*/</t>
  </si>
  <si>
    <t>Valore prezzo max</t>
  </si>
  <si>
    <t>Valore prezzo min</t>
  </si>
  <si>
    <t>Ampiezza classe</t>
  </si>
  <si>
    <t>Delimitatori classi modali</t>
  </si>
  <si>
    <t>Classi di frequenza</t>
  </si>
  <si>
    <t>MIN</t>
  </si>
  <si>
    <t>MAX</t>
  </si>
  <si>
    <t>Frequenza</t>
  </si>
  <si>
    <t>La frequenza massima rilevata è</t>
  </si>
  <si>
    <t>Valore min della classe modale</t>
  </si>
  <si>
    <t>Valore max della classe modale</t>
  </si>
  <si>
    <t>La classe modale è la seguente</t>
  </si>
  <si>
    <t>Limite Tukey inferiore</t>
  </si>
  <si>
    <t>Limite Tukey superiore</t>
  </si>
  <si>
    <t>Rilevazione outlier</t>
  </si>
  <si>
    <t>/*L'assenza di outlier conferma che i dati sono distribuiti in modo abbastanza regolare*/</t>
  </si>
  <si>
    <t>PROBABILITÁ CHE UNA STRUTTURA SIA :</t>
  </si>
  <si>
    <t>CASI TOTALI</t>
  </si>
  <si>
    <t>CASI POSSIBILI</t>
  </si>
  <si>
    <t>PROBABILITÁ</t>
  </si>
  <si>
    <t>CASI POSSIBILI(A)</t>
  </si>
  <si>
    <t>PROBABILITÁ (B)</t>
  </si>
  <si>
    <t>PROBABILITÁ (A)</t>
  </si>
  <si>
    <t>A</t>
  </si>
  <si>
    <t>B</t>
  </si>
  <si>
    <t>CASI POSSIBILI(B)</t>
  </si>
  <si>
    <t>PROBABILITÁ (A E B)</t>
  </si>
  <si>
    <t>usate in precedenza calcola la probabilitá sia nel singolo evento che in due estrazioni indipendenti*/</t>
  </si>
  <si>
    <t xml:space="preserve">/* Nell'ottica di mantenere un risultato dinamico facilmente modificabile </t>
  </si>
  <si>
    <t>oltre alla consegna creo un elenco che sfruttando le query</t>
  </si>
  <si>
    <t>/*Seleziono dall'elenco il tipo di struttura di cui voglio calcolare la probabilitá*/</t>
  </si>
  <si>
    <t>/*Verifico tramite un filtro se ho valori che escono dai limiti in modo da rilevare</t>
  </si>
  <si>
    <t>automaticamente se sono presenti outlier*/</t>
  </si>
  <si>
    <t>Esercizio 11 – Regola 68-95-99,7</t>
  </si>
  <si>
    <t>N DEV ST</t>
  </si>
  <si>
    <t>LIMITE INFERIORE</t>
  </si>
  <si>
    <t>LIMITE SUPERIORE</t>
  </si>
  <si>
    <t>Esercizio 12 - CALCOLO Z SCORE</t>
  </si>
  <si>
    <t>ESERCIZIO 10</t>
  </si>
  <si>
    <t xml:space="preserve">SELEZIONA CITTÁ </t>
  </si>
  <si>
    <t>PREZZO MEDIO CITTÁ SELEZIONATA</t>
  </si>
  <si>
    <t>Z-SCORE</t>
  </si>
  <si>
    <t>PROBABILITÁ RESIDUA</t>
  </si>
  <si>
    <t>/* in ottica di formulare una risoluzione dinamica creo un elenco a tendina dove posso selezionare la cittá che voglio prendere in esame</t>
  </si>
  <si>
    <t>e ottenere le osservazioni in maniera automatica*/</t>
  </si>
  <si>
    <t>/*Eseguito un Merge (Left Outer Join) tra la tabella delle strutture ricettive e quella dei prezzi medi utilizzando come chiave comune la colonna Città. Tutte le 6.258 strutture hanno trovato una corrispondenza nei prezzi delle rispettive 234 città regionali.*/</t>
  </si>
  <si>
    <t>ESERCIZIO 2</t>
  </si>
  <si>
    <t>ESERCIZIO 3</t>
  </si>
  <si>
    <t>ESERCIZIO 4 E 5</t>
  </si>
  <si>
    <t>ESERCIZIO 6</t>
  </si>
  <si>
    <t>ANALISI SUI PREZZI MEDI - ES 7-8-9</t>
  </si>
  <si>
    <t>N CAMPIONE</t>
  </si>
  <si>
    <t>MARGINE ERRORE</t>
  </si>
  <si>
    <t>LIMITE INF</t>
  </si>
  <si>
    <t>ALFA</t>
  </si>
  <si>
    <t>CONFIDENZA</t>
  </si>
  <si>
    <t>LIVELLO CONFIDENZA</t>
  </si>
  <si>
    <t>/*SELEZIONARE IL LIVELLO DI CONFIDENZA PER MODIFICARE L'OSSERVAZIONE*/</t>
  </si>
  <si>
    <t>ESERCIZIO 13-14 INTERVALLO DI CONFIDENZA</t>
  </si>
  <si>
    <t>CAMPIONE MOD</t>
  </si>
  <si>
    <t>MOLTIPLICATORE</t>
  </si>
  <si>
    <t>VARIAZIONE CAMPIONE CON MOLTIPLICATORE</t>
  </si>
  <si>
    <t xml:space="preserve">/* SE QUADRUPLICHIAMO IL CAMPIONE IL MARGINE DI ERRORE SI DIMEZZA </t>
  </si>
  <si>
    <t xml:space="preserve">QUESTO È DATO DALLA SINTASSI DELLA FORMULA </t>
  </si>
  <si>
    <t>DOVE LA RADICE DEL NUMERO DI RILEVAZIONI DEL CAMPIONE STA AL DENOMINATORE */</t>
  </si>
  <si>
    <t>/* DI CONSEGUENZA I MARGINI SI RISTRINGERANNO DI CIRCA LA METÁ*/</t>
  </si>
  <si>
    <t>ESERCIZIO 15</t>
  </si>
  <si>
    <t>SELEZIONARE CATEGORIA</t>
  </si>
  <si>
    <t>PREZZO TOTALE CATEGORIA</t>
  </si>
  <si>
    <t>MEDIA PREZZO DELLA CATEGORIA</t>
  </si>
  <si>
    <t>/* Creo sempre una struttura dinamica che mi da modo</t>
  </si>
  <si>
    <t xml:space="preserve">in caso di future richieste di ottenere un confronto </t>
  </si>
  <si>
    <t>immediato */</t>
  </si>
  <si>
    <t xml:space="preserve">dell'istanza rilevata cosí da usarla per ottenere il </t>
  </si>
  <si>
    <t>totale di ogni categoria con una somma condizionale */</t>
  </si>
  <si>
    <t>Osservazioni</t>
  </si>
  <si>
    <t>gdl</t>
  </si>
  <si>
    <t>Stat t</t>
  </si>
  <si>
    <t>ISTANZE RILEVATE</t>
  </si>
  <si>
    <t xml:space="preserve">NUMERO TOTALE DI CITTÁ </t>
  </si>
  <si>
    <t>P-VALUE</t>
  </si>
  <si>
    <t>ALPHA</t>
  </si>
  <si>
    <r>
      <t>H</t>
    </r>
    <r>
      <rPr>
        <sz val="11"/>
        <color theme="1"/>
        <rFont val="Calibri"/>
        <family val="2"/>
      </rPr>
      <t>ₒ</t>
    </r>
  </si>
  <si>
    <t xml:space="preserve">non c’è differenza tra il prezzo medio delle città che hanno alberghi </t>
  </si>
  <si>
    <t>e quello delle città che hanno agriturismi.</t>
  </si>
  <si>
    <t xml:space="preserve">Decisione </t>
  </si>
  <si>
    <t>In pratica i due gruppi di città hanno prezzi medi quasi identici.</t>
  </si>
  <si>
    <t xml:space="preserve">La differenza osservata tra il prezzo medio delle città con alberghi e quello delle città con </t>
  </si>
  <si>
    <t>agriturismi non è statisticamente rilevante (è assolutamente compatibile con il caso).</t>
  </si>
  <si>
    <t>/* Uso una query di supporto per conteggiare le cittá con la categoria relativa</t>
  </si>
  <si>
    <t>CORRELAZIONE</t>
  </si>
  <si>
    <t>COVARIANZA</t>
  </si>
  <si>
    <t>Il legame lineare tende allo zero quindi la numerosità delle strutture in una città non influenza il livello del prezzo medio.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</si>
  <si>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</si>
  <si>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</si>
  <si>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</si>
  <si>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</si>
  <si>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</si>
  <si>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</si>
  <si>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ANALISI VARIANZA</t>
  </si>
  <si>
    <t>Regressione</t>
  </si>
  <si>
    <t>Residuo</t>
  </si>
  <si>
    <t>Totale</t>
  </si>
  <si>
    <t>Intercetta</t>
  </si>
  <si>
    <t>SQ</t>
  </si>
  <si>
    <t>MQ</t>
  </si>
  <si>
    <t>F</t>
  </si>
  <si>
    <t>Significatività F</t>
  </si>
  <si>
    <t>Coefficienti</t>
  </si>
  <si>
    <t>Valore di significatività</t>
  </si>
  <si>
    <t>Inferiore 95%</t>
  </si>
  <si>
    <t>Superiore 95%</t>
  </si>
  <si>
    <t>Inferiore 95,0%</t>
  </si>
  <si>
    <t>Superiore 95,0%</t>
  </si>
  <si>
    <t>Variabile X 1</t>
  </si>
  <si>
    <t xml:space="preserve"> Il numero di strutture ricettive non spiega in alcun modo la variabilità dei prezzi.</t>
  </si>
  <si>
    <r>
      <t>R quadro = 0,000016:</t>
    </r>
    <r>
      <rPr>
        <sz val="11"/>
        <color theme="1"/>
        <rFont val="Calibri"/>
        <family val="2"/>
        <scheme val="minor"/>
      </rPr>
      <t xml:space="preserve"> Il modello tende allo zero</t>
    </r>
  </si>
  <si>
    <t>73,44 euro è il prezzo stimato per una cittá con 0 strutture</t>
  </si>
  <si>
    <t>Pendenza</t>
  </si>
  <si>
    <t>Per ogni struttura aggiuntiva nella cittá ho un aumento di 0,0022</t>
  </si>
  <si>
    <t>p-value</t>
  </si>
  <si>
    <t>0,9509 il coefficiente di pendenza non è statisticamente significativo</t>
  </si>
  <si>
    <t>L'equazione della retta è y = 0,0022x + 73,442</t>
  </si>
  <si>
    <t>Stima prezzo medio</t>
  </si>
  <si>
    <t>Seleziona il numero di strutture</t>
  </si>
  <si>
    <t>Numero strutture</t>
  </si>
  <si>
    <t>Prezzo medio</t>
  </si>
  <si>
    <t>ESERCIZIO 16-17-18</t>
  </si>
  <si>
    <t>/* Si usa sempre una struttura dinamica per analizzare vari scenari */</t>
  </si>
  <si>
    <t xml:space="preserve">Si deduce che il modello non ha alcuna valenza predittiva, non è possibile fare stime reali. </t>
  </si>
  <si>
    <t>Il prezzo medio potrebbe essere influenzato da altri fattori piú rilevanti, come esempio</t>
  </si>
  <si>
    <t>la vicinanza al mare/montagna ed i servizi offerti.</t>
  </si>
  <si>
    <t>Possiamo quindi desumere che il numero di strutture è quasi irrilevanti rispetto al prezzo medio che propongono</t>
  </si>
  <si>
    <t>SELEZIONA Cittá :</t>
  </si>
  <si>
    <t>COMMENTO</t>
  </si>
  <si>
    <t>MANUALE</t>
  </si>
  <si>
    <t>RAPPRESENTAZIONE TABELLARE DEI DATASET PREZZIMEDI E ELENCO STRUTTURE, LA TABELLA ESPRIME L'ELENCO DELLE STRUTTURE CHE COMPRENDE ANCHE I PREZZI MEDI UNITI TRAMITE LA CHIAVE COMUNE CITTÁ</t>
  </si>
  <si>
    <t xml:space="preserve">Tramite Raggruppa per (Group By) sulla colonna Città e Categoria, </t>
  </si>
  <si>
    <t>è stato calcolato il numero di strutture per ogni combinazione</t>
  </si>
  <si>
    <t>ESPRESSIONE RIASSUNTIVA DOVE PUOI OSSERVARE IL NUMERO DI STRUTTRE PER OGNI CATEGORIA IN OGNI CITTÁ</t>
  </si>
  <si>
    <t>INSERISCI TRAMITE IL MENU A TENDINA NEL CAMPO STRUTTURA IL NOME DELLA STRUTTURA APPARIRÁ SULLA DESTRA UN RIEPILOGO</t>
  </si>
  <si>
    <t>DELLE CITTÁ IN CUI QUESTA STRUTTURA HA UNA SUA SEDE, PUOI SELEZIONARE SUCESSIVAMENTE LA SEDE DI INTERESSE NEL CAMPO CITTÁ</t>
  </si>
  <si>
    <t>LA STRUTTURA SI AGGIORNERÁ DI CONSEGUENZA</t>
  </si>
  <si>
    <t>da estrapolare come elenco con le denominazioni univoche e verificare che la denominazione poteva avere sedi/strutture</t>
  </si>
  <si>
    <t>INSERISCI NEL MENÚ A TENDINA A FIANCO DI "SELEZIONA CITTÁ", LA CITTÁ PER VISUALIZZARE L'ELENCO DI STRUTTURE PRESENTI</t>
  </si>
  <si>
    <t>Selezionare dall'elenco l'ampiezza della classe per vedere i vari scenari</t>
  </si>
  <si>
    <t>I VALORI E L'OSSERVAZIONE SI AGGIORNANO AUTOMATICAMENTE</t>
  </si>
  <si>
    <t>SELEZIONA LA STRUTTURA DI CUI VUOI CALCOLARE LA PROPABILITÁ DI TROVARLO NEL DATASET</t>
  </si>
  <si>
    <t>UTILIZZA IL MENU QUI A FIANCO SELEZIOANDO IL TIPO DI STRUTTURA CHE VUOI VISUALIZZARE</t>
  </si>
  <si>
    <t>I DATI SOTTOSTANTI SI AGGIORNANO</t>
  </si>
  <si>
    <t>I DATI SOTTOSTANTI SI AGGIORNANO SI CONSIDERANO 2 EVENTI DI ESTRAZIONE INDIPENDENTI</t>
  </si>
  <si>
    <t>SELEZIONARE DAL MENÚ A TENDINA LA CITTÁ DI CUI SI DESIDERA CALCOLARE LO Z-SCORE</t>
  </si>
  <si>
    <t>POSSIAMO OSSERVARE QUINDI QUANTE DEVIAZIONI STANDARD IL PREZZO DELLA CITTÁ SELEZIONATA SI DISCOSTA DALLA MEDIA</t>
  </si>
  <si>
    <t>SELEZIONA LE STRUTTURE DI CUI VUOI CALCOLARE LE PROPABILITÁ DI TROVARLE NEL DATASET</t>
  </si>
  <si>
    <t>LEGENDA COLORI -&gt;</t>
  </si>
  <si>
    <t>INSERIMENTO DATO UTENTE</t>
  </si>
  <si>
    <t>SELEZIONARE LA CATEGORIE PER VERIFICARE L'IPOTESI TRAMITE L'ELENCO A TENDINA SOPRA</t>
  </si>
  <si>
    <t>DATI E INTESTAZIONI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</si>
</sst>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\ ???/???"/>
    <numFmt numFmtId="165" formatCode="0.0000000000000000"/>
    <numFmt numFmtId="166" formatCode="0.00000000"/>
  </numFmts>
  <fonts count="25">
    <font>
      <sz val="11"/>
      <color theme="1"/>
      <name val="Calibri"/>
      <family val="2"/>
      <scheme val="minor"/>
    </font>
    <font>
      <sz val="11"/>
      <color theme="1"/>
      <name val="Calibri"/>
    </font>
    <font>
      <sz val="14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8"/>
      <color rgb="FF4F6128"/>
      <name val="Calibri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0" tint="-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AEEF3"/>
        <bgColor rgb="FFDAEEF3"/>
      </patternFill>
    </fill>
    <fill>
      <patternFill patternType="solid">
        <fgColor rgb="FFD6E3BC"/>
        <bgColor rgb="FFD6E3B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rgb="FFD8D8D8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C000"/>
      </patternFill>
    </fill>
    <fill>
      <patternFill patternType="solid">
        <fgColor theme="5" tint="0.39997558519241921"/>
        <bgColor rgb="FFDAEEF3"/>
      </patternFill>
    </fill>
  </fills>
  <borders count="57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5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3" borderId="5" xfId="0" applyFont="1" applyFill="1" applyBorder="1" applyAlignment="1">
      <alignment horizontal="center"/>
    </xf>
    <xf numFmtId="0" fontId="1" fillId="0" borderId="6" xfId="0" applyFont="1" applyBorder="1"/>
    <xf numFmtId="0" fontId="0" fillId="5" borderId="9" xfId="0" applyFill="1" applyBorder="1"/>
    <xf numFmtId="0" fontId="0" fillId="6" borderId="0" xfId="0" applyFill="1"/>
    <xf numFmtId="2" fontId="0" fillId="0" borderId="0" xfId="0" applyNumberFormat="1"/>
    <xf numFmtId="0" fontId="0" fillId="0" borderId="24" xfId="0" applyBorder="1"/>
    <xf numFmtId="0" fontId="0" fillId="0" borderId="28" xfId="0" applyBorder="1"/>
    <xf numFmtId="0" fontId="0" fillId="0" borderId="30" xfId="0" applyBorder="1"/>
    <xf numFmtId="0" fontId="0" fillId="0" borderId="31" xfId="0" applyBorder="1"/>
    <xf numFmtId="0" fontId="0" fillId="0" borderId="22" xfId="0" applyBorder="1"/>
    <xf numFmtId="0" fontId="0" fillId="0" borderId="33" xfId="0" applyBorder="1"/>
    <xf numFmtId="0" fontId="0" fillId="7" borderId="29" xfId="0" applyFill="1" applyBorder="1"/>
    <xf numFmtId="0" fontId="0" fillId="7" borderId="35" xfId="0" applyFill="1" applyBorder="1"/>
    <xf numFmtId="0" fontId="0" fillId="7" borderId="30" xfId="0" applyFill="1" applyBorder="1"/>
    <xf numFmtId="0" fontId="0" fillId="8" borderId="22" xfId="0" applyFill="1" applyBorder="1"/>
    <xf numFmtId="0" fontId="0" fillId="7" borderId="22" xfId="0" applyFill="1" applyBorder="1"/>
    <xf numFmtId="2" fontId="0" fillId="7" borderId="22" xfId="0" applyNumberFormat="1" applyFill="1" applyBorder="1"/>
    <xf numFmtId="0" fontId="0" fillId="7" borderId="23" xfId="0" applyFill="1" applyBorder="1"/>
    <xf numFmtId="0" fontId="0" fillId="7" borderId="31" xfId="0" applyFill="1" applyBorder="1"/>
    <xf numFmtId="0" fontId="0" fillId="7" borderId="25" xfId="0" applyFill="1" applyBorder="1"/>
    <xf numFmtId="0" fontId="0" fillId="7" borderId="32" xfId="0" applyFill="1" applyBorder="1"/>
    <xf numFmtId="0" fontId="0" fillId="7" borderId="36" xfId="0" applyFill="1" applyBorder="1"/>
    <xf numFmtId="0" fontId="0" fillId="7" borderId="27" xfId="0" applyFill="1" applyBorder="1"/>
    <xf numFmtId="0" fontId="0" fillId="7" borderId="34" xfId="0" applyFill="1" applyBorder="1"/>
    <xf numFmtId="0" fontId="0" fillId="7" borderId="33" xfId="0" applyFill="1" applyBorder="1"/>
    <xf numFmtId="0" fontId="0" fillId="7" borderId="22" xfId="1" applyNumberFormat="1" applyFont="1" applyFill="1" applyBorder="1"/>
    <xf numFmtId="0" fontId="0" fillId="0" borderId="0" xfId="0" applyAlignment="1">
      <alignment horizontal="center"/>
    </xf>
    <xf numFmtId="0" fontId="0" fillId="7" borderId="30" xfId="0" applyFill="1" applyBorder="1" applyAlignment="1">
      <alignment horizontal="center"/>
    </xf>
    <xf numFmtId="0" fontId="0" fillId="0" borderId="29" xfId="0" applyBorder="1"/>
    <xf numFmtId="2" fontId="0" fillId="0" borderId="22" xfId="0" applyNumberFormat="1" applyBorder="1"/>
    <xf numFmtId="2" fontId="0" fillId="0" borderId="30" xfId="0" applyNumberFormat="1" applyBorder="1"/>
    <xf numFmtId="0" fontId="0" fillId="0" borderId="27" xfId="0" applyBorder="1"/>
    <xf numFmtId="2" fontId="0" fillId="0" borderId="33" xfId="0" applyNumberFormat="1" applyBorder="1"/>
    <xf numFmtId="2" fontId="0" fillId="0" borderId="28" xfId="0" applyNumberFormat="1" applyBorder="1"/>
    <xf numFmtId="0" fontId="0" fillId="7" borderId="24" xfId="0" applyFill="1" applyBorder="1"/>
    <xf numFmtId="0" fontId="0" fillId="7" borderId="28" xfId="0" applyFill="1" applyBorder="1" applyAlignment="1">
      <alignment horizontal="center"/>
    </xf>
    <xf numFmtId="164" fontId="0" fillId="7" borderId="37" xfId="0" applyNumberFormat="1" applyFill="1" applyBorder="1" applyAlignment="1">
      <alignment horizontal="center"/>
    </xf>
    <xf numFmtId="0" fontId="0" fillId="7" borderId="38" xfId="0" applyFill="1" applyBorder="1"/>
    <xf numFmtId="0" fontId="0" fillId="7" borderId="39" xfId="0" applyFill="1" applyBorder="1"/>
    <xf numFmtId="0" fontId="1" fillId="9" borderId="30" xfId="0" applyFont="1" applyFill="1" applyBorder="1" applyAlignment="1">
      <alignment horizontal="center"/>
    </xf>
    <xf numFmtId="164" fontId="0" fillId="7" borderId="22" xfId="0" applyNumberFormat="1" applyFill="1" applyBorder="1"/>
    <xf numFmtId="0" fontId="1" fillId="9" borderId="24" xfId="0" applyFont="1" applyFill="1" applyBorder="1" applyAlignment="1">
      <alignment horizontal="center"/>
    </xf>
    <xf numFmtId="164" fontId="0" fillId="7" borderId="30" xfId="0" applyNumberFormat="1" applyFill="1" applyBorder="1" applyAlignment="1">
      <alignment horizontal="center"/>
    </xf>
    <xf numFmtId="10" fontId="0" fillId="0" borderId="22" xfId="0" applyNumberFormat="1" applyBorder="1"/>
    <xf numFmtId="10" fontId="0" fillId="0" borderId="33" xfId="0" applyNumberFormat="1" applyBorder="1"/>
    <xf numFmtId="0" fontId="0" fillId="7" borderId="31" xfId="1" applyNumberFormat="1" applyFont="1" applyFill="1" applyBorder="1"/>
    <xf numFmtId="9" fontId="0" fillId="0" borderId="0" xfId="2" applyFont="1"/>
    <xf numFmtId="0" fontId="0" fillId="0" borderId="26" xfId="0" applyBorder="1"/>
    <xf numFmtId="0" fontId="0" fillId="7" borderId="22" xfId="0" applyFill="1" applyBorder="1" applyAlignment="1">
      <alignment horizontal="right"/>
    </xf>
    <xf numFmtId="165" fontId="0" fillId="0" borderId="0" xfId="2" applyNumberFormat="1" applyFont="1"/>
    <xf numFmtId="0" fontId="0" fillId="0" borderId="16" xfId="0" applyBorder="1"/>
    <xf numFmtId="0" fontId="11" fillId="0" borderId="42" xfId="0" applyFont="1" applyBorder="1" applyAlignment="1">
      <alignment horizontal="center"/>
    </xf>
    <xf numFmtId="0" fontId="11" fillId="0" borderId="42" xfId="0" applyFont="1" applyBorder="1" applyAlignment="1">
      <alignment horizontal="centerContinuous"/>
    </xf>
    <xf numFmtId="166" fontId="0" fillId="0" borderId="0" xfId="0" applyNumberFormat="1"/>
    <xf numFmtId="0" fontId="14" fillId="0" borderId="0" xfId="0" applyFont="1"/>
    <xf numFmtId="0" fontId="0" fillId="6" borderId="40" xfId="0" applyFill="1" applyBorder="1"/>
    <xf numFmtId="0" fontId="15" fillId="0" borderId="0" xfId="0" applyFont="1"/>
    <xf numFmtId="0" fontId="0" fillId="6" borderId="29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7" xfId="0" applyFont="1" applyBorder="1"/>
    <xf numFmtId="0" fontId="4" fillId="0" borderId="1" xfId="0" applyFont="1" applyBorder="1"/>
    <xf numFmtId="0" fontId="7" fillId="10" borderId="12" xfId="0" applyFont="1" applyFill="1" applyBorder="1" applyAlignment="1">
      <alignment horizontal="center"/>
    </xf>
    <xf numFmtId="0" fontId="7" fillId="10" borderId="14" xfId="0" applyFont="1" applyFill="1" applyBorder="1" applyAlignment="1">
      <alignment horizontal="center"/>
    </xf>
    <xf numFmtId="0" fontId="7" fillId="10" borderId="15" xfId="0" applyFont="1" applyFill="1" applyBorder="1" applyAlignment="1">
      <alignment horizontal="center"/>
    </xf>
    <xf numFmtId="0" fontId="7" fillId="10" borderId="17" xfId="0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0" fontId="9" fillId="10" borderId="15" xfId="0" applyFont="1" applyFill="1" applyBorder="1" applyAlignment="1">
      <alignment horizontal="center"/>
    </xf>
    <xf numFmtId="0" fontId="9" fillId="10" borderId="16" xfId="0" applyFont="1" applyFill="1" applyBorder="1" applyAlignment="1">
      <alignment horizontal="center"/>
    </xf>
    <xf numFmtId="0" fontId="9" fillId="10" borderId="17" xfId="0" applyFont="1" applyFill="1" applyBorder="1" applyAlignment="1">
      <alignment horizontal="center"/>
    </xf>
    <xf numFmtId="0" fontId="7" fillId="7" borderId="23" xfId="0" applyFont="1" applyFill="1" applyBorder="1" applyAlignment="1">
      <alignment horizontal="center"/>
    </xf>
    <xf numFmtId="0" fontId="7" fillId="7" borderId="36" xfId="0" applyFont="1" applyFill="1" applyBorder="1" applyAlignment="1">
      <alignment horizontal="center"/>
    </xf>
    <xf numFmtId="0" fontId="7" fillId="7" borderId="24" xfId="0" applyFont="1" applyFill="1" applyBorder="1" applyAlignment="1">
      <alignment horizontal="center"/>
    </xf>
    <xf numFmtId="0" fontId="7" fillId="7" borderId="27" xfId="0" applyFont="1" applyFill="1" applyBorder="1" applyAlignment="1">
      <alignment horizontal="center"/>
    </xf>
    <xf numFmtId="0" fontId="7" fillId="7" borderId="34" xfId="0" applyFont="1" applyFill="1" applyBorder="1" applyAlignment="1">
      <alignment horizontal="center"/>
    </xf>
    <xf numFmtId="0" fontId="7" fillId="7" borderId="28" xfId="0" applyFont="1" applyFill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6" fillId="7" borderId="23" xfId="0" applyFont="1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2" fillId="7" borderId="13" xfId="0" applyFont="1" applyFill="1" applyBorder="1" applyAlignment="1">
      <alignment horizontal="center"/>
    </xf>
    <xf numFmtId="0" fontId="12" fillId="7" borderId="12" xfId="0" applyFont="1" applyFill="1" applyBorder="1" applyAlignment="1">
      <alignment horizontal="center"/>
    </xf>
    <xf numFmtId="0" fontId="12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2" fillId="7" borderId="16" xfId="0" applyFont="1" applyFill="1" applyBorder="1" applyAlignment="1">
      <alignment horizontal="center"/>
    </xf>
    <xf numFmtId="0" fontId="12" fillId="7" borderId="17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7" fillId="7" borderId="16" xfId="0" applyFon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10" borderId="43" xfId="0" applyFill="1" applyBorder="1" applyAlignment="1"/>
    <xf numFmtId="0" fontId="0" fillId="10" borderId="45" xfId="0" applyFill="1" applyBorder="1" applyAlignment="1"/>
    <xf numFmtId="0" fontId="0" fillId="0" borderId="0" xfId="0" applyFill="1"/>
    <xf numFmtId="0" fontId="3" fillId="0" borderId="4" xfId="0" applyFont="1" applyBorder="1"/>
    <xf numFmtId="0" fontId="18" fillId="0" borderId="40" xfId="0" applyFont="1" applyBorder="1"/>
    <xf numFmtId="0" fontId="2" fillId="13" borderId="3" xfId="0" applyFont="1" applyFill="1" applyBorder="1" applyAlignment="1">
      <alignment horizontal="center"/>
    </xf>
    <xf numFmtId="0" fontId="1" fillId="14" borderId="40" xfId="0" applyFont="1" applyFill="1" applyBorder="1" applyAlignment="1">
      <alignment horizontal="center"/>
    </xf>
    <xf numFmtId="0" fontId="0" fillId="11" borderId="10" xfId="0" applyFill="1" applyBorder="1"/>
    <xf numFmtId="0" fontId="0" fillId="11" borderId="11" xfId="0" applyFill="1" applyBorder="1"/>
    <xf numFmtId="0" fontId="0" fillId="11" borderId="9" xfId="0" applyFill="1" applyBorder="1"/>
    <xf numFmtId="0" fontId="0" fillId="12" borderId="10" xfId="0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0" borderId="19" xfId="0" applyFill="1" applyBorder="1"/>
    <xf numFmtId="0" fontId="0" fillId="10" borderId="20" xfId="0" applyFill="1" applyBorder="1"/>
    <xf numFmtId="0" fontId="0" fillId="10" borderId="21" xfId="0" applyFill="1" applyBorder="1"/>
    <xf numFmtId="0" fontId="10" fillId="11" borderId="12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10" fillId="11" borderId="14" xfId="0" applyFont="1" applyFill="1" applyBorder="1" applyAlignment="1">
      <alignment horizontal="center"/>
    </xf>
    <xf numFmtId="0" fontId="10" fillId="11" borderId="15" xfId="0" applyFont="1" applyFill="1" applyBorder="1" applyAlignment="1">
      <alignment horizontal="center"/>
    </xf>
    <xf numFmtId="0" fontId="10" fillId="11" borderId="16" xfId="0" applyFont="1" applyFill="1" applyBorder="1" applyAlignment="1">
      <alignment horizontal="center"/>
    </xf>
    <xf numFmtId="0" fontId="10" fillId="11" borderId="17" xfId="0" applyFont="1" applyFill="1" applyBorder="1" applyAlignment="1">
      <alignment horizontal="center"/>
    </xf>
    <xf numFmtId="0" fontId="0" fillId="12" borderId="22" xfId="0" applyFill="1" applyBorder="1"/>
    <xf numFmtId="0" fontId="0" fillId="10" borderId="40" xfId="0" applyFill="1" applyBorder="1"/>
    <xf numFmtId="0" fontId="9" fillId="12" borderId="23" xfId="0" applyFont="1" applyFill="1" applyBorder="1" applyAlignment="1">
      <alignment horizontal="center"/>
    </xf>
    <xf numFmtId="0" fontId="0" fillId="12" borderId="36" xfId="0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0" fillId="12" borderId="34" xfId="0" applyFill="1" applyBorder="1" applyAlignment="1">
      <alignment horizontal="center"/>
    </xf>
    <xf numFmtId="0" fontId="0" fillId="12" borderId="28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0" fillId="12" borderId="35" xfId="0" applyFill="1" applyBorder="1" applyAlignment="1">
      <alignment horizontal="center"/>
    </xf>
    <xf numFmtId="0" fontId="0" fillId="12" borderId="30" xfId="0" applyFill="1" applyBorder="1" applyAlignment="1">
      <alignment horizontal="center"/>
    </xf>
    <xf numFmtId="9" fontId="0" fillId="12" borderId="40" xfId="2" applyFont="1" applyFill="1" applyBorder="1"/>
    <xf numFmtId="0" fontId="0" fillId="10" borderId="10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30" xfId="0" applyFill="1" applyBorder="1"/>
    <xf numFmtId="0" fontId="0" fillId="6" borderId="29" xfId="0" applyFill="1" applyBorder="1"/>
    <xf numFmtId="0" fontId="0" fillId="6" borderId="35" xfId="0" applyFill="1" applyBorder="1"/>
    <xf numFmtId="0" fontId="0" fillId="6" borderId="30" xfId="0" applyFill="1" applyBorder="1"/>
    <xf numFmtId="0" fontId="0" fillId="6" borderId="23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0" borderId="0" xfId="0" applyBorder="1"/>
    <xf numFmtId="0" fontId="12" fillId="7" borderId="43" xfId="0" applyFont="1" applyFill="1" applyBorder="1" applyAlignment="1">
      <alignment horizontal="center"/>
    </xf>
    <xf numFmtId="0" fontId="0" fillId="7" borderId="43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12" fillId="7" borderId="46" xfId="0" applyFont="1" applyFill="1" applyBorder="1" applyAlignment="1">
      <alignment horizontal="center"/>
    </xf>
    <xf numFmtId="0" fontId="12" fillId="7" borderId="47" xfId="0" applyFont="1" applyFill="1" applyBorder="1" applyAlignment="1">
      <alignment horizontal="center"/>
    </xf>
    <xf numFmtId="0" fontId="12" fillId="7" borderId="48" xfId="0" applyFont="1" applyFill="1" applyBorder="1"/>
    <xf numFmtId="0" fontId="12" fillId="7" borderId="49" xfId="0" applyFont="1" applyFill="1" applyBorder="1" applyAlignment="1">
      <alignment horizontal="center"/>
    </xf>
    <xf numFmtId="0" fontId="12" fillId="7" borderId="50" xfId="0" applyFont="1" applyFill="1" applyBorder="1"/>
    <xf numFmtId="0" fontId="0" fillId="7" borderId="49" xfId="0" applyFill="1" applyBorder="1" applyAlignment="1">
      <alignment horizontal="center"/>
    </xf>
    <xf numFmtId="0" fontId="0" fillId="12" borderId="50" xfId="0" applyFill="1" applyBorder="1"/>
    <xf numFmtId="0" fontId="0" fillId="0" borderId="49" xfId="0" applyBorder="1" applyAlignment="1">
      <alignment horizontal="center"/>
    </xf>
    <xf numFmtId="0" fontId="0" fillId="0" borderId="50" xfId="0" applyBorder="1"/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/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12" borderId="48" xfId="0" applyFill="1" applyBorder="1"/>
    <xf numFmtId="0" fontId="17" fillId="0" borderId="0" xfId="0" applyFont="1"/>
    <xf numFmtId="0" fontId="0" fillId="12" borderId="40" xfId="0" applyFill="1" applyBorder="1"/>
    <xf numFmtId="0" fontId="24" fillId="10" borderId="0" xfId="0" applyFont="1" applyFill="1" applyBorder="1" applyAlignment="1">
      <alignment horizontal="center"/>
    </xf>
    <xf numFmtId="0" fontId="24" fillId="10" borderId="16" xfId="0" applyFont="1" applyFill="1" applyBorder="1" applyAlignment="1">
      <alignment horizontal="center"/>
    </xf>
    <xf numFmtId="0" fontId="23" fillId="10" borderId="0" xfId="0" applyFont="1" applyFill="1" applyBorder="1" applyAlignment="1">
      <alignment horizontal="center"/>
    </xf>
    <xf numFmtId="0" fontId="23" fillId="10" borderId="16" xfId="0" applyFont="1" applyFill="1" applyBorder="1" applyAlignment="1">
      <alignment horizontal="center"/>
    </xf>
    <xf numFmtId="0" fontId="0" fillId="7" borderId="0" xfId="0" applyFill="1"/>
    <xf numFmtId="0" fontId="22" fillId="6" borderId="9" xfId="0" applyFont="1" applyFill="1" applyBorder="1" applyAlignment="1">
      <alignment horizontal="center"/>
    </xf>
    <xf numFmtId="0" fontId="22" fillId="6" borderId="54" xfId="0" applyFont="1" applyFill="1" applyBorder="1" applyAlignment="1">
      <alignment horizontal="center"/>
    </xf>
    <xf numFmtId="0" fontId="0" fillId="10" borderId="55" xfId="0" applyFill="1" applyBorder="1" applyAlignment="1"/>
    <xf numFmtId="0" fontId="22" fillId="12" borderId="9" xfId="0" applyFont="1" applyFill="1" applyBorder="1" applyAlignment="1">
      <alignment horizontal="center"/>
    </xf>
    <xf numFmtId="0" fontId="22" fillId="12" borderId="54" xfId="0" applyFont="1" applyFill="1" applyBorder="1" applyAlignment="1">
      <alignment horizontal="center"/>
    </xf>
    <xf numFmtId="0" fontId="22" fillId="11" borderId="40" xfId="0" applyFont="1" applyFill="1" applyBorder="1" applyAlignment="1">
      <alignment horizontal="center"/>
    </xf>
    <xf numFmtId="0" fontId="21" fillId="11" borderId="12" xfId="0" applyFont="1" applyFill="1" applyBorder="1" applyAlignment="1">
      <alignment horizontal="center"/>
    </xf>
    <xf numFmtId="0" fontId="21" fillId="11" borderId="13" xfId="0" applyFont="1" applyFill="1" applyBorder="1" applyAlignment="1">
      <alignment horizontal="center"/>
    </xf>
    <xf numFmtId="0" fontId="21" fillId="11" borderId="14" xfId="0" applyFont="1" applyFill="1" applyBorder="1" applyAlignment="1">
      <alignment horizontal="center"/>
    </xf>
    <xf numFmtId="0" fontId="21" fillId="11" borderId="15" xfId="0" applyFont="1" applyFill="1" applyBorder="1" applyAlignment="1">
      <alignment horizontal="center"/>
    </xf>
    <xf numFmtId="0" fontId="21" fillId="11" borderId="16" xfId="0" applyFont="1" applyFill="1" applyBorder="1" applyAlignment="1">
      <alignment horizontal="center"/>
    </xf>
    <xf numFmtId="0" fontId="21" fillId="11" borderId="17" xfId="0" applyFont="1" applyFill="1" applyBorder="1" applyAlignment="1">
      <alignment horizontal="center"/>
    </xf>
    <xf numFmtId="0" fontId="20" fillId="6" borderId="12" xfId="0" applyFont="1" applyFill="1" applyBorder="1" applyAlignment="1">
      <alignment horizontal="center"/>
    </xf>
    <xf numFmtId="0" fontId="20" fillId="6" borderId="13" xfId="0" applyFont="1" applyFill="1" applyBorder="1" applyAlignment="1">
      <alignment horizontal="center"/>
    </xf>
    <xf numFmtId="0" fontId="20" fillId="6" borderId="14" xfId="0" applyFont="1" applyFill="1" applyBorder="1" applyAlignment="1">
      <alignment horizontal="center"/>
    </xf>
    <xf numFmtId="0" fontId="20" fillId="6" borderId="15" xfId="0" applyFont="1" applyFill="1" applyBorder="1" applyAlignment="1">
      <alignment horizontal="center"/>
    </xf>
    <xf numFmtId="0" fontId="20" fillId="6" borderId="16" xfId="0" applyFont="1" applyFill="1" applyBorder="1" applyAlignment="1">
      <alignment horizontal="center"/>
    </xf>
    <xf numFmtId="0" fontId="20" fillId="6" borderId="17" xfId="0" applyFont="1" applyFill="1" applyBorder="1" applyAlignment="1">
      <alignment horizontal="center"/>
    </xf>
    <xf numFmtId="0" fontId="16" fillId="11" borderId="12" xfId="0" applyFont="1" applyFill="1" applyBorder="1"/>
    <xf numFmtId="0" fontId="16" fillId="11" borderId="13" xfId="0" applyFont="1" applyFill="1" applyBorder="1"/>
    <xf numFmtId="0" fontId="16" fillId="11" borderId="14" xfId="0" applyFont="1" applyFill="1" applyBorder="1"/>
    <xf numFmtId="0" fontId="16" fillId="11" borderId="15" xfId="0" applyFont="1" applyFill="1" applyBorder="1"/>
    <xf numFmtId="0" fontId="16" fillId="11" borderId="16" xfId="0" applyFont="1" applyFill="1" applyBorder="1"/>
    <xf numFmtId="0" fontId="16" fillId="11" borderId="17" xfId="0" applyFont="1" applyFill="1" applyBorder="1"/>
    <xf numFmtId="0" fontId="16" fillId="6" borderId="12" xfId="0" applyFont="1" applyFill="1" applyBorder="1"/>
    <xf numFmtId="0" fontId="16" fillId="6" borderId="13" xfId="0" applyFont="1" applyFill="1" applyBorder="1"/>
    <xf numFmtId="0" fontId="16" fillId="6" borderId="14" xfId="0" applyFont="1" applyFill="1" applyBorder="1"/>
    <xf numFmtId="0" fontId="16" fillId="6" borderId="15" xfId="0" applyFont="1" applyFill="1" applyBorder="1"/>
    <xf numFmtId="0" fontId="16" fillId="6" borderId="16" xfId="0" applyFont="1" applyFill="1" applyBorder="1"/>
    <xf numFmtId="0" fontId="16" fillId="6" borderId="17" xfId="0" applyFont="1" applyFill="1" applyBorder="1"/>
    <xf numFmtId="0" fontId="22" fillId="10" borderId="12" xfId="0" applyFont="1" applyFill="1" applyBorder="1" applyAlignment="1">
      <alignment horizontal="center"/>
    </xf>
    <xf numFmtId="0" fontId="22" fillId="10" borderId="13" xfId="0" applyFont="1" applyFill="1" applyBorder="1" applyAlignment="1">
      <alignment horizontal="center"/>
    </xf>
    <xf numFmtId="0" fontId="22" fillId="10" borderId="14" xfId="0" applyFont="1" applyFill="1" applyBorder="1" applyAlignment="1">
      <alignment horizontal="center"/>
    </xf>
    <xf numFmtId="0" fontId="22" fillId="10" borderId="15" xfId="0" applyFont="1" applyFill="1" applyBorder="1" applyAlignment="1">
      <alignment horizontal="center"/>
    </xf>
    <xf numFmtId="0" fontId="22" fillId="10" borderId="16" xfId="0" applyFont="1" applyFill="1" applyBorder="1" applyAlignment="1">
      <alignment horizontal="center"/>
    </xf>
    <xf numFmtId="0" fontId="22" fillId="10" borderId="17" xfId="0" applyFont="1" applyFill="1" applyBorder="1" applyAlignment="1">
      <alignment horizontal="center"/>
    </xf>
    <xf numFmtId="0" fontId="16" fillId="11" borderId="56" xfId="0" applyFont="1" applyFill="1" applyBorder="1"/>
    <xf numFmtId="0" fontId="16" fillId="11" borderId="0" xfId="0" applyFont="1" applyFill="1" applyBorder="1"/>
    <xf numFmtId="0" fontId="16" fillId="11" borderId="41" xfId="0" applyFont="1" applyFill="1" applyBorder="1"/>
    <xf numFmtId="0" fontId="16" fillId="6" borderId="56" xfId="0" applyFont="1" applyFill="1" applyBorder="1"/>
    <xf numFmtId="0" fontId="16" fillId="6" borderId="0" xfId="0" applyFont="1" applyFill="1" applyBorder="1"/>
    <xf numFmtId="0" fontId="16" fillId="6" borderId="41" xfId="0" applyFont="1" applyFill="1" applyBorder="1"/>
    <xf numFmtId="0" fontId="16" fillId="6" borderId="10" xfId="0" applyFont="1" applyFill="1" applyBorder="1"/>
    <xf numFmtId="0" fontId="16" fillId="6" borderId="18" xfId="0" applyFont="1" applyFill="1" applyBorder="1"/>
    <xf numFmtId="0" fontId="16" fillId="6" borderId="11" xfId="0" applyFont="1" applyFill="1" applyBorder="1"/>
    <xf numFmtId="0" fontId="19" fillId="6" borderId="12" xfId="0" applyFont="1" applyFill="1" applyBorder="1"/>
    <xf numFmtId="0" fontId="19" fillId="6" borderId="13" xfId="0" applyFont="1" applyFill="1" applyBorder="1"/>
    <xf numFmtId="0" fontId="19" fillId="6" borderId="14" xfId="0" applyFont="1" applyFill="1" applyBorder="1"/>
    <xf numFmtId="0" fontId="19" fillId="6" borderId="15" xfId="0" applyFont="1" applyFill="1" applyBorder="1"/>
    <xf numFmtId="0" fontId="19" fillId="6" borderId="16" xfId="0" applyFont="1" applyFill="1" applyBorder="1"/>
    <xf numFmtId="0" fontId="19" fillId="6" borderId="17" xfId="0" applyFont="1" applyFill="1" applyBorder="1"/>
    <xf numFmtId="0" fontId="16" fillId="11" borderId="10" xfId="0" applyFont="1" applyFill="1" applyBorder="1" applyAlignment="1">
      <alignment horizontal="center"/>
    </xf>
    <xf numFmtId="0" fontId="16" fillId="11" borderId="18" xfId="0" applyFont="1" applyFill="1" applyBorder="1" applyAlignment="1">
      <alignment horizontal="center"/>
    </xf>
    <xf numFmtId="0" fontId="16" fillId="11" borderId="11" xfId="0" applyFont="1" applyFill="1" applyBorder="1" applyAlignment="1">
      <alignment horizontal="center"/>
    </xf>
    <xf numFmtId="0" fontId="0" fillId="10" borderId="10" xfId="0" applyFill="1" applyBorder="1"/>
    <xf numFmtId="0" fontId="22" fillId="10" borderId="44" xfId="0" applyFont="1" applyFill="1" applyBorder="1" applyAlignment="1">
      <alignment horizontal="center"/>
    </xf>
  </cellXfs>
  <cellStyles count="3">
    <cellStyle name="Normale" xfId="0" builtinId="0"/>
    <cellStyle name="Percentuale" xfId="2" builtinId="5"/>
    <cellStyle name="Valuta" xfId="1" builtinId="4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Distribuzione prezzi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Prezzi!$B$2:$B$235</c:f>
              <c:numCache>
                <c:formatCode>General</c:formatCode>
                <c:ptCount val="23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33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35</c:v>
                </c:pt>
                <c:pt idx="21">
                  <c:v>35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37</c:v>
                </c:pt>
                <c:pt idx="26">
                  <c:v>37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39</c:v>
                </c:pt>
                <c:pt idx="31">
                  <c:v>39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40</c:v>
                </c:pt>
                <c:pt idx="36">
                  <c:v>40</c:v>
                </c:pt>
                <c:pt idx="37">
                  <c:v>41</c:v>
                </c:pt>
                <c:pt idx="38">
                  <c:v>42</c:v>
                </c:pt>
                <c:pt idx="39">
                  <c:v>42</c:v>
                </c:pt>
                <c:pt idx="40">
                  <c:v>43</c:v>
                </c:pt>
                <c:pt idx="41">
                  <c:v>43</c:v>
                </c:pt>
                <c:pt idx="42">
                  <c:v>44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46</c:v>
                </c:pt>
                <c:pt idx="47">
                  <c:v>46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49</c:v>
                </c:pt>
                <c:pt idx="53">
                  <c:v>49</c:v>
                </c:pt>
                <c:pt idx="54">
                  <c:v>49</c:v>
                </c:pt>
                <c:pt idx="55">
                  <c:v>49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52</c:v>
                </c:pt>
                <c:pt idx="63">
                  <c:v>52</c:v>
                </c:pt>
                <c:pt idx="64">
                  <c:v>52</c:v>
                </c:pt>
                <c:pt idx="65">
                  <c:v>52</c:v>
                </c:pt>
                <c:pt idx="66">
                  <c:v>53</c:v>
                </c:pt>
                <c:pt idx="67">
                  <c:v>53</c:v>
                </c:pt>
                <c:pt idx="68">
                  <c:v>53</c:v>
                </c:pt>
                <c:pt idx="69">
                  <c:v>54</c:v>
                </c:pt>
                <c:pt idx="70">
                  <c:v>54</c:v>
                </c:pt>
                <c:pt idx="71">
                  <c:v>54</c:v>
                </c:pt>
                <c:pt idx="72">
                  <c:v>54</c:v>
                </c:pt>
                <c:pt idx="73">
                  <c:v>55</c:v>
                </c:pt>
                <c:pt idx="74">
                  <c:v>56</c:v>
                </c:pt>
                <c:pt idx="75">
                  <c:v>56</c:v>
                </c:pt>
                <c:pt idx="76">
                  <c:v>56</c:v>
                </c:pt>
                <c:pt idx="77">
                  <c:v>57</c:v>
                </c:pt>
                <c:pt idx="78">
                  <c:v>57</c:v>
                </c:pt>
                <c:pt idx="79">
                  <c:v>57</c:v>
                </c:pt>
                <c:pt idx="80">
                  <c:v>58</c:v>
                </c:pt>
                <c:pt idx="81">
                  <c:v>58</c:v>
                </c:pt>
                <c:pt idx="82">
                  <c:v>58</c:v>
                </c:pt>
                <c:pt idx="83">
                  <c:v>58</c:v>
                </c:pt>
                <c:pt idx="84">
                  <c:v>59</c:v>
                </c:pt>
                <c:pt idx="85">
                  <c:v>59</c:v>
                </c:pt>
                <c:pt idx="86">
                  <c:v>59</c:v>
                </c:pt>
                <c:pt idx="87">
                  <c:v>60</c:v>
                </c:pt>
                <c:pt idx="88">
                  <c:v>61</c:v>
                </c:pt>
                <c:pt idx="89">
                  <c:v>61</c:v>
                </c:pt>
                <c:pt idx="90">
                  <c:v>61</c:v>
                </c:pt>
                <c:pt idx="91">
                  <c:v>62</c:v>
                </c:pt>
                <c:pt idx="92">
                  <c:v>62</c:v>
                </c:pt>
                <c:pt idx="93">
                  <c:v>63</c:v>
                </c:pt>
                <c:pt idx="94">
                  <c:v>64</c:v>
                </c:pt>
                <c:pt idx="95">
                  <c:v>64</c:v>
                </c:pt>
                <c:pt idx="96">
                  <c:v>64</c:v>
                </c:pt>
                <c:pt idx="97">
                  <c:v>64</c:v>
                </c:pt>
                <c:pt idx="98">
                  <c:v>65</c:v>
                </c:pt>
                <c:pt idx="99">
                  <c:v>65</c:v>
                </c:pt>
                <c:pt idx="100">
                  <c:v>65</c:v>
                </c:pt>
                <c:pt idx="101">
                  <c:v>66</c:v>
                </c:pt>
                <c:pt idx="102">
                  <c:v>66</c:v>
                </c:pt>
                <c:pt idx="103">
                  <c:v>66</c:v>
                </c:pt>
                <c:pt idx="104">
                  <c:v>66</c:v>
                </c:pt>
                <c:pt idx="105">
                  <c:v>67</c:v>
                </c:pt>
                <c:pt idx="106">
                  <c:v>68</c:v>
                </c:pt>
                <c:pt idx="107">
                  <c:v>68</c:v>
                </c:pt>
                <c:pt idx="108">
                  <c:v>69</c:v>
                </c:pt>
                <c:pt idx="109">
                  <c:v>69</c:v>
                </c:pt>
                <c:pt idx="110">
                  <c:v>69</c:v>
                </c:pt>
                <c:pt idx="111">
                  <c:v>70</c:v>
                </c:pt>
                <c:pt idx="112">
                  <c:v>71</c:v>
                </c:pt>
                <c:pt idx="113">
                  <c:v>71</c:v>
                </c:pt>
                <c:pt idx="114">
                  <c:v>72</c:v>
                </c:pt>
                <c:pt idx="115">
                  <c:v>72</c:v>
                </c:pt>
                <c:pt idx="116">
                  <c:v>73</c:v>
                </c:pt>
                <c:pt idx="117">
                  <c:v>74</c:v>
                </c:pt>
                <c:pt idx="118">
                  <c:v>74</c:v>
                </c:pt>
                <c:pt idx="119">
                  <c:v>74</c:v>
                </c:pt>
                <c:pt idx="120">
                  <c:v>75</c:v>
                </c:pt>
                <c:pt idx="121">
                  <c:v>75</c:v>
                </c:pt>
                <c:pt idx="122">
                  <c:v>75</c:v>
                </c:pt>
                <c:pt idx="123">
                  <c:v>75</c:v>
                </c:pt>
                <c:pt idx="124">
                  <c:v>75</c:v>
                </c:pt>
                <c:pt idx="125">
                  <c:v>75</c:v>
                </c:pt>
                <c:pt idx="126">
                  <c:v>76</c:v>
                </c:pt>
                <c:pt idx="127">
                  <c:v>76</c:v>
                </c:pt>
                <c:pt idx="128">
                  <c:v>76</c:v>
                </c:pt>
                <c:pt idx="129">
                  <c:v>77</c:v>
                </c:pt>
                <c:pt idx="130">
                  <c:v>78</c:v>
                </c:pt>
                <c:pt idx="131">
                  <c:v>78</c:v>
                </c:pt>
                <c:pt idx="132">
                  <c:v>78</c:v>
                </c:pt>
                <c:pt idx="133">
                  <c:v>78</c:v>
                </c:pt>
                <c:pt idx="134">
                  <c:v>78</c:v>
                </c:pt>
                <c:pt idx="135">
                  <c:v>78</c:v>
                </c:pt>
                <c:pt idx="136">
                  <c:v>79</c:v>
                </c:pt>
                <c:pt idx="137">
                  <c:v>79</c:v>
                </c:pt>
                <c:pt idx="138">
                  <c:v>80</c:v>
                </c:pt>
                <c:pt idx="139">
                  <c:v>80</c:v>
                </c:pt>
                <c:pt idx="140">
                  <c:v>81</c:v>
                </c:pt>
                <c:pt idx="141">
                  <c:v>81</c:v>
                </c:pt>
                <c:pt idx="142">
                  <c:v>81</c:v>
                </c:pt>
                <c:pt idx="143">
                  <c:v>82</c:v>
                </c:pt>
                <c:pt idx="144">
                  <c:v>82</c:v>
                </c:pt>
                <c:pt idx="145">
                  <c:v>83</c:v>
                </c:pt>
                <c:pt idx="146">
                  <c:v>83</c:v>
                </c:pt>
                <c:pt idx="147">
                  <c:v>84</c:v>
                </c:pt>
                <c:pt idx="148">
                  <c:v>85</c:v>
                </c:pt>
                <c:pt idx="149">
                  <c:v>85</c:v>
                </c:pt>
                <c:pt idx="150">
                  <c:v>85</c:v>
                </c:pt>
                <c:pt idx="151">
                  <c:v>86</c:v>
                </c:pt>
                <c:pt idx="152">
                  <c:v>86</c:v>
                </c:pt>
                <c:pt idx="153">
                  <c:v>87</c:v>
                </c:pt>
                <c:pt idx="154">
                  <c:v>87</c:v>
                </c:pt>
                <c:pt idx="155">
                  <c:v>87</c:v>
                </c:pt>
                <c:pt idx="156">
                  <c:v>87</c:v>
                </c:pt>
                <c:pt idx="157">
                  <c:v>88</c:v>
                </c:pt>
                <c:pt idx="158">
                  <c:v>88</c:v>
                </c:pt>
                <c:pt idx="159">
                  <c:v>89</c:v>
                </c:pt>
                <c:pt idx="160">
                  <c:v>90</c:v>
                </c:pt>
                <c:pt idx="161">
                  <c:v>90</c:v>
                </c:pt>
                <c:pt idx="162">
                  <c:v>90</c:v>
                </c:pt>
                <c:pt idx="163">
                  <c:v>91</c:v>
                </c:pt>
                <c:pt idx="164">
                  <c:v>92</c:v>
                </c:pt>
                <c:pt idx="165">
                  <c:v>93</c:v>
                </c:pt>
                <c:pt idx="166">
                  <c:v>93</c:v>
                </c:pt>
                <c:pt idx="167">
                  <c:v>93</c:v>
                </c:pt>
                <c:pt idx="168">
                  <c:v>93</c:v>
                </c:pt>
                <c:pt idx="169">
                  <c:v>94</c:v>
                </c:pt>
                <c:pt idx="170">
                  <c:v>94</c:v>
                </c:pt>
                <c:pt idx="171">
                  <c:v>95</c:v>
                </c:pt>
                <c:pt idx="172">
                  <c:v>95</c:v>
                </c:pt>
                <c:pt idx="173">
                  <c:v>96</c:v>
                </c:pt>
                <c:pt idx="174">
                  <c:v>97</c:v>
                </c:pt>
                <c:pt idx="175">
                  <c:v>97</c:v>
                </c:pt>
                <c:pt idx="176">
                  <c:v>98</c:v>
                </c:pt>
                <c:pt idx="177">
                  <c:v>100</c:v>
                </c:pt>
                <c:pt idx="178">
                  <c:v>100</c:v>
                </c:pt>
                <c:pt idx="179">
                  <c:v>101</c:v>
                </c:pt>
                <c:pt idx="180">
                  <c:v>101</c:v>
                </c:pt>
                <c:pt idx="181">
                  <c:v>101</c:v>
                </c:pt>
                <c:pt idx="182">
                  <c:v>102</c:v>
                </c:pt>
                <c:pt idx="183">
                  <c:v>103</c:v>
                </c:pt>
                <c:pt idx="184">
                  <c:v>103</c:v>
                </c:pt>
                <c:pt idx="185">
                  <c:v>103</c:v>
                </c:pt>
                <c:pt idx="186">
                  <c:v>103</c:v>
                </c:pt>
                <c:pt idx="187">
                  <c:v>104</c:v>
                </c:pt>
                <c:pt idx="188">
                  <c:v>104</c:v>
                </c:pt>
                <c:pt idx="189">
                  <c:v>105</c:v>
                </c:pt>
                <c:pt idx="190">
                  <c:v>106</c:v>
                </c:pt>
                <c:pt idx="191">
                  <c:v>106</c:v>
                </c:pt>
                <c:pt idx="192">
                  <c:v>106</c:v>
                </c:pt>
                <c:pt idx="193">
                  <c:v>106</c:v>
                </c:pt>
                <c:pt idx="194">
                  <c:v>107</c:v>
                </c:pt>
                <c:pt idx="195">
                  <c:v>108</c:v>
                </c:pt>
                <c:pt idx="196">
                  <c:v>108</c:v>
                </c:pt>
                <c:pt idx="197">
                  <c:v>108</c:v>
                </c:pt>
                <c:pt idx="198">
                  <c:v>108</c:v>
                </c:pt>
                <c:pt idx="199">
                  <c:v>109</c:v>
                </c:pt>
                <c:pt idx="200">
                  <c:v>109</c:v>
                </c:pt>
                <c:pt idx="201">
                  <c:v>109</c:v>
                </c:pt>
                <c:pt idx="202">
                  <c:v>110</c:v>
                </c:pt>
                <c:pt idx="203">
                  <c:v>110</c:v>
                </c:pt>
                <c:pt idx="204">
                  <c:v>111</c:v>
                </c:pt>
                <c:pt idx="205">
                  <c:v>111</c:v>
                </c:pt>
                <c:pt idx="206">
                  <c:v>112</c:v>
                </c:pt>
                <c:pt idx="207">
                  <c:v>112</c:v>
                </c:pt>
                <c:pt idx="208">
                  <c:v>112</c:v>
                </c:pt>
                <c:pt idx="209">
                  <c:v>113</c:v>
                </c:pt>
                <c:pt idx="210">
                  <c:v>113</c:v>
                </c:pt>
                <c:pt idx="211">
                  <c:v>113</c:v>
                </c:pt>
                <c:pt idx="212">
                  <c:v>114</c:v>
                </c:pt>
                <c:pt idx="213">
                  <c:v>114</c:v>
                </c:pt>
                <c:pt idx="214">
                  <c:v>115</c:v>
                </c:pt>
                <c:pt idx="215">
                  <c:v>115</c:v>
                </c:pt>
                <c:pt idx="216">
                  <c:v>115</c:v>
                </c:pt>
                <c:pt idx="217">
                  <c:v>116</c:v>
                </c:pt>
                <c:pt idx="218">
                  <c:v>116</c:v>
                </c:pt>
                <c:pt idx="219">
                  <c:v>116</c:v>
                </c:pt>
                <c:pt idx="220">
                  <c:v>117</c:v>
                </c:pt>
                <c:pt idx="221">
                  <c:v>117</c:v>
                </c:pt>
                <c:pt idx="222">
                  <c:v>118</c:v>
                </c:pt>
                <c:pt idx="223">
                  <c:v>118</c:v>
                </c:pt>
                <c:pt idx="224">
                  <c:v>119</c:v>
                </c:pt>
                <c:pt idx="225">
                  <c:v>119</c:v>
                </c:pt>
                <c:pt idx="226">
                  <c:v>119</c:v>
                </c:pt>
                <c:pt idx="227">
                  <c:v>119</c:v>
                </c:pt>
                <c:pt idx="228">
                  <c:v>119</c:v>
                </c:pt>
                <c:pt idx="229">
                  <c:v>120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6-4745-A2F7-3E2EF62D7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428752"/>
        <c:axId val="616416752"/>
      </c:scatterChart>
      <c:valAx>
        <c:axId val="61642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6416752"/>
        <c:crosses val="autoZero"/>
        <c:crossBetween val="midCat"/>
      </c:valAx>
      <c:valAx>
        <c:axId val="6164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642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'Conteggio cittá'!$B$1:$C$1</c:f>
              <c:strCache>
                <c:ptCount val="1"/>
                <c:pt idx="0">
                  <c:v>Conteggio Prezzi.Prezzo Medio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'Conteggio cittá'!$B$2:$B$235</c:f>
              <c:numCache>
                <c:formatCode>General</c:formatCode>
                <c:ptCount val="234"/>
                <c:pt idx="0">
                  <c:v>144</c:v>
                </c:pt>
                <c:pt idx="1">
                  <c:v>25</c:v>
                </c:pt>
                <c:pt idx="2">
                  <c:v>31</c:v>
                </c:pt>
                <c:pt idx="3">
                  <c:v>7</c:v>
                </c:pt>
                <c:pt idx="4">
                  <c:v>8</c:v>
                </c:pt>
                <c:pt idx="5">
                  <c:v>3</c:v>
                </c:pt>
                <c:pt idx="6">
                  <c:v>15</c:v>
                </c:pt>
                <c:pt idx="7">
                  <c:v>66</c:v>
                </c:pt>
                <c:pt idx="8">
                  <c:v>11</c:v>
                </c:pt>
                <c:pt idx="9">
                  <c:v>17</c:v>
                </c:pt>
                <c:pt idx="10">
                  <c:v>13</c:v>
                </c:pt>
                <c:pt idx="11">
                  <c:v>333</c:v>
                </c:pt>
                <c:pt idx="12">
                  <c:v>21</c:v>
                </c:pt>
                <c:pt idx="13">
                  <c:v>20</c:v>
                </c:pt>
                <c:pt idx="14">
                  <c:v>4</c:v>
                </c:pt>
                <c:pt idx="15">
                  <c:v>16</c:v>
                </c:pt>
                <c:pt idx="16">
                  <c:v>13</c:v>
                </c:pt>
                <c:pt idx="17">
                  <c:v>178</c:v>
                </c:pt>
                <c:pt idx="18">
                  <c:v>28</c:v>
                </c:pt>
                <c:pt idx="19">
                  <c:v>6</c:v>
                </c:pt>
                <c:pt idx="20">
                  <c:v>2</c:v>
                </c:pt>
                <c:pt idx="21">
                  <c:v>9</c:v>
                </c:pt>
                <c:pt idx="22">
                  <c:v>21</c:v>
                </c:pt>
                <c:pt idx="23">
                  <c:v>2</c:v>
                </c:pt>
                <c:pt idx="24">
                  <c:v>14</c:v>
                </c:pt>
                <c:pt idx="25">
                  <c:v>13</c:v>
                </c:pt>
                <c:pt idx="26">
                  <c:v>84</c:v>
                </c:pt>
                <c:pt idx="27">
                  <c:v>7</c:v>
                </c:pt>
                <c:pt idx="28">
                  <c:v>6</c:v>
                </c:pt>
                <c:pt idx="29">
                  <c:v>8</c:v>
                </c:pt>
                <c:pt idx="30">
                  <c:v>10</c:v>
                </c:pt>
                <c:pt idx="31">
                  <c:v>8</c:v>
                </c:pt>
                <c:pt idx="32">
                  <c:v>9</c:v>
                </c:pt>
                <c:pt idx="33">
                  <c:v>6</c:v>
                </c:pt>
                <c:pt idx="34">
                  <c:v>11</c:v>
                </c:pt>
                <c:pt idx="35">
                  <c:v>9</c:v>
                </c:pt>
                <c:pt idx="36">
                  <c:v>7</c:v>
                </c:pt>
                <c:pt idx="37">
                  <c:v>7</c:v>
                </c:pt>
                <c:pt idx="38">
                  <c:v>33</c:v>
                </c:pt>
                <c:pt idx="39">
                  <c:v>230</c:v>
                </c:pt>
                <c:pt idx="40">
                  <c:v>3</c:v>
                </c:pt>
                <c:pt idx="41">
                  <c:v>2</c:v>
                </c:pt>
                <c:pt idx="42">
                  <c:v>6</c:v>
                </c:pt>
                <c:pt idx="43">
                  <c:v>8</c:v>
                </c:pt>
                <c:pt idx="44">
                  <c:v>19</c:v>
                </c:pt>
                <c:pt idx="45">
                  <c:v>8</c:v>
                </c:pt>
                <c:pt idx="46">
                  <c:v>19</c:v>
                </c:pt>
                <c:pt idx="47">
                  <c:v>5</c:v>
                </c:pt>
                <c:pt idx="48">
                  <c:v>12</c:v>
                </c:pt>
                <c:pt idx="49">
                  <c:v>18</c:v>
                </c:pt>
                <c:pt idx="50">
                  <c:v>8</c:v>
                </c:pt>
                <c:pt idx="51">
                  <c:v>10</c:v>
                </c:pt>
                <c:pt idx="52">
                  <c:v>6</c:v>
                </c:pt>
                <c:pt idx="53">
                  <c:v>9</c:v>
                </c:pt>
                <c:pt idx="54">
                  <c:v>15</c:v>
                </c:pt>
                <c:pt idx="55">
                  <c:v>7</c:v>
                </c:pt>
                <c:pt idx="56">
                  <c:v>20</c:v>
                </c:pt>
                <c:pt idx="57">
                  <c:v>41</c:v>
                </c:pt>
                <c:pt idx="58">
                  <c:v>16</c:v>
                </c:pt>
                <c:pt idx="59">
                  <c:v>5</c:v>
                </c:pt>
                <c:pt idx="60">
                  <c:v>184</c:v>
                </c:pt>
                <c:pt idx="61">
                  <c:v>63</c:v>
                </c:pt>
                <c:pt idx="62">
                  <c:v>8</c:v>
                </c:pt>
                <c:pt idx="63">
                  <c:v>17</c:v>
                </c:pt>
                <c:pt idx="64">
                  <c:v>4</c:v>
                </c:pt>
                <c:pt idx="65">
                  <c:v>4</c:v>
                </c:pt>
                <c:pt idx="66">
                  <c:v>24</c:v>
                </c:pt>
                <c:pt idx="67">
                  <c:v>3</c:v>
                </c:pt>
                <c:pt idx="68">
                  <c:v>8</c:v>
                </c:pt>
                <c:pt idx="69">
                  <c:v>6</c:v>
                </c:pt>
                <c:pt idx="70">
                  <c:v>5</c:v>
                </c:pt>
                <c:pt idx="71">
                  <c:v>35</c:v>
                </c:pt>
                <c:pt idx="72">
                  <c:v>40</c:v>
                </c:pt>
                <c:pt idx="73">
                  <c:v>70</c:v>
                </c:pt>
                <c:pt idx="74">
                  <c:v>49</c:v>
                </c:pt>
                <c:pt idx="75">
                  <c:v>10</c:v>
                </c:pt>
                <c:pt idx="76">
                  <c:v>16</c:v>
                </c:pt>
                <c:pt idx="77">
                  <c:v>37</c:v>
                </c:pt>
                <c:pt idx="78">
                  <c:v>55</c:v>
                </c:pt>
                <c:pt idx="79">
                  <c:v>11</c:v>
                </c:pt>
                <c:pt idx="80">
                  <c:v>14</c:v>
                </c:pt>
                <c:pt idx="81">
                  <c:v>5</c:v>
                </c:pt>
                <c:pt idx="82">
                  <c:v>11</c:v>
                </c:pt>
                <c:pt idx="83">
                  <c:v>34</c:v>
                </c:pt>
                <c:pt idx="84">
                  <c:v>3</c:v>
                </c:pt>
                <c:pt idx="85">
                  <c:v>7</c:v>
                </c:pt>
                <c:pt idx="86">
                  <c:v>11</c:v>
                </c:pt>
                <c:pt idx="87">
                  <c:v>173</c:v>
                </c:pt>
                <c:pt idx="88">
                  <c:v>12</c:v>
                </c:pt>
                <c:pt idx="89">
                  <c:v>42</c:v>
                </c:pt>
                <c:pt idx="90">
                  <c:v>21</c:v>
                </c:pt>
                <c:pt idx="91">
                  <c:v>10</c:v>
                </c:pt>
                <c:pt idx="92">
                  <c:v>3</c:v>
                </c:pt>
                <c:pt idx="93">
                  <c:v>8</c:v>
                </c:pt>
                <c:pt idx="94">
                  <c:v>11</c:v>
                </c:pt>
                <c:pt idx="95">
                  <c:v>8</c:v>
                </c:pt>
                <c:pt idx="96">
                  <c:v>1</c:v>
                </c:pt>
                <c:pt idx="97">
                  <c:v>5</c:v>
                </c:pt>
                <c:pt idx="98">
                  <c:v>28</c:v>
                </c:pt>
                <c:pt idx="99">
                  <c:v>420</c:v>
                </c:pt>
                <c:pt idx="100">
                  <c:v>13</c:v>
                </c:pt>
                <c:pt idx="101">
                  <c:v>25</c:v>
                </c:pt>
                <c:pt idx="102">
                  <c:v>85</c:v>
                </c:pt>
                <c:pt idx="103">
                  <c:v>9</c:v>
                </c:pt>
                <c:pt idx="104">
                  <c:v>17</c:v>
                </c:pt>
                <c:pt idx="105">
                  <c:v>10</c:v>
                </c:pt>
                <c:pt idx="106">
                  <c:v>7</c:v>
                </c:pt>
                <c:pt idx="107">
                  <c:v>10</c:v>
                </c:pt>
                <c:pt idx="108">
                  <c:v>4</c:v>
                </c:pt>
                <c:pt idx="109">
                  <c:v>11</c:v>
                </c:pt>
                <c:pt idx="110">
                  <c:v>52</c:v>
                </c:pt>
                <c:pt idx="111">
                  <c:v>6</c:v>
                </c:pt>
                <c:pt idx="112">
                  <c:v>15</c:v>
                </c:pt>
                <c:pt idx="113">
                  <c:v>12</c:v>
                </c:pt>
                <c:pt idx="114">
                  <c:v>12</c:v>
                </c:pt>
                <c:pt idx="115">
                  <c:v>54</c:v>
                </c:pt>
                <c:pt idx="116">
                  <c:v>156</c:v>
                </c:pt>
                <c:pt idx="117">
                  <c:v>4</c:v>
                </c:pt>
                <c:pt idx="118">
                  <c:v>11</c:v>
                </c:pt>
                <c:pt idx="119">
                  <c:v>7</c:v>
                </c:pt>
                <c:pt idx="120">
                  <c:v>18</c:v>
                </c:pt>
                <c:pt idx="121">
                  <c:v>1</c:v>
                </c:pt>
                <c:pt idx="122">
                  <c:v>4</c:v>
                </c:pt>
                <c:pt idx="123">
                  <c:v>5</c:v>
                </c:pt>
                <c:pt idx="124">
                  <c:v>32</c:v>
                </c:pt>
                <c:pt idx="125">
                  <c:v>20</c:v>
                </c:pt>
                <c:pt idx="126">
                  <c:v>49</c:v>
                </c:pt>
                <c:pt idx="127">
                  <c:v>23</c:v>
                </c:pt>
                <c:pt idx="128">
                  <c:v>16</c:v>
                </c:pt>
                <c:pt idx="129">
                  <c:v>10</c:v>
                </c:pt>
                <c:pt idx="130">
                  <c:v>1</c:v>
                </c:pt>
                <c:pt idx="131">
                  <c:v>13</c:v>
                </c:pt>
                <c:pt idx="132">
                  <c:v>9</c:v>
                </c:pt>
                <c:pt idx="133">
                  <c:v>13</c:v>
                </c:pt>
                <c:pt idx="134">
                  <c:v>4</c:v>
                </c:pt>
                <c:pt idx="135">
                  <c:v>9</c:v>
                </c:pt>
                <c:pt idx="136">
                  <c:v>19</c:v>
                </c:pt>
                <c:pt idx="137">
                  <c:v>8</c:v>
                </c:pt>
                <c:pt idx="138">
                  <c:v>13</c:v>
                </c:pt>
                <c:pt idx="139">
                  <c:v>5</c:v>
                </c:pt>
                <c:pt idx="140">
                  <c:v>11</c:v>
                </c:pt>
                <c:pt idx="141">
                  <c:v>6</c:v>
                </c:pt>
                <c:pt idx="142">
                  <c:v>5</c:v>
                </c:pt>
                <c:pt idx="143">
                  <c:v>1</c:v>
                </c:pt>
                <c:pt idx="144">
                  <c:v>9</c:v>
                </c:pt>
                <c:pt idx="145">
                  <c:v>94</c:v>
                </c:pt>
                <c:pt idx="146">
                  <c:v>101</c:v>
                </c:pt>
                <c:pt idx="147">
                  <c:v>37</c:v>
                </c:pt>
                <c:pt idx="148">
                  <c:v>4</c:v>
                </c:pt>
                <c:pt idx="149">
                  <c:v>34</c:v>
                </c:pt>
                <c:pt idx="150">
                  <c:v>56</c:v>
                </c:pt>
                <c:pt idx="151">
                  <c:v>5</c:v>
                </c:pt>
                <c:pt idx="152">
                  <c:v>40</c:v>
                </c:pt>
                <c:pt idx="153">
                  <c:v>5</c:v>
                </c:pt>
                <c:pt idx="154">
                  <c:v>10</c:v>
                </c:pt>
                <c:pt idx="155">
                  <c:v>4</c:v>
                </c:pt>
                <c:pt idx="156">
                  <c:v>37</c:v>
                </c:pt>
                <c:pt idx="157">
                  <c:v>42</c:v>
                </c:pt>
                <c:pt idx="158">
                  <c:v>5</c:v>
                </c:pt>
                <c:pt idx="159">
                  <c:v>19</c:v>
                </c:pt>
                <c:pt idx="160">
                  <c:v>20</c:v>
                </c:pt>
                <c:pt idx="161">
                  <c:v>26</c:v>
                </c:pt>
                <c:pt idx="162">
                  <c:v>19</c:v>
                </c:pt>
                <c:pt idx="163">
                  <c:v>4</c:v>
                </c:pt>
                <c:pt idx="164">
                  <c:v>22</c:v>
                </c:pt>
                <c:pt idx="165">
                  <c:v>161</c:v>
                </c:pt>
                <c:pt idx="166">
                  <c:v>10</c:v>
                </c:pt>
                <c:pt idx="167">
                  <c:v>7</c:v>
                </c:pt>
                <c:pt idx="168">
                  <c:v>14</c:v>
                </c:pt>
                <c:pt idx="169">
                  <c:v>8</c:v>
                </c:pt>
                <c:pt idx="170">
                  <c:v>5</c:v>
                </c:pt>
                <c:pt idx="171">
                  <c:v>11</c:v>
                </c:pt>
                <c:pt idx="172">
                  <c:v>19</c:v>
                </c:pt>
                <c:pt idx="173">
                  <c:v>72</c:v>
                </c:pt>
                <c:pt idx="174">
                  <c:v>4</c:v>
                </c:pt>
                <c:pt idx="175">
                  <c:v>6</c:v>
                </c:pt>
                <c:pt idx="176">
                  <c:v>142</c:v>
                </c:pt>
                <c:pt idx="177">
                  <c:v>2</c:v>
                </c:pt>
                <c:pt idx="178">
                  <c:v>22</c:v>
                </c:pt>
                <c:pt idx="179">
                  <c:v>13</c:v>
                </c:pt>
                <c:pt idx="180">
                  <c:v>23</c:v>
                </c:pt>
                <c:pt idx="181">
                  <c:v>12</c:v>
                </c:pt>
                <c:pt idx="182">
                  <c:v>22</c:v>
                </c:pt>
                <c:pt idx="183">
                  <c:v>9</c:v>
                </c:pt>
                <c:pt idx="184">
                  <c:v>31</c:v>
                </c:pt>
                <c:pt idx="185">
                  <c:v>12</c:v>
                </c:pt>
                <c:pt idx="186">
                  <c:v>45</c:v>
                </c:pt>
                <c:pt idx="187">
                  <c:v>1</c:v>
                </c:pt>
                <c:pt idx="188">
                  <c:v>36</c:v>
                </c:pt>
                <c:pt idx="189">
                  <c:v>17</c:v>
                </c:pt>
                <c:pt idx="190">
                  <c:v>6</c:v>
                </c:pt>
                <c:pt idx="191">
                  <c:v>301</c:v>
                </c:pt>
                <c:pt idx="192">
                  <c:v>10</c:v>
                </c:pt>
                <c:pt idx="193">
                  <c:v>3</c:v>
                </c:pt>
                <c:pt idx="194">
                  <c:v>14</c:v>
                </c:pt>
                <c:pt idx="195">
                  <c:v>27</c:v>
                </c:pt>
                <c:pt idx="196">
                  <c:v>6</c:v>
                </c:pt>
                <c:pt idx="197">
                  <c:v>18</c:v>
                </c:pt>
                <c:pt idx="198">
                  <c:v>7</c:v>
                </c:pt>
                <c:pt idx="199">
                  <c:v>138</c:v>
                </c:pt>
                <c:pt idx="200">
                  <c:v>2</c:v>
                </c:pt>
                <c:pt idx="201">
                  <c:v>4</c:v>
                </c:pt>
                <c:pt idx="202">
                  <c:v>22</c:v>
                </c:pt>
                <c:pt idx="203">
                  <c:v>3</c:v>
                </c:pt>
                <c:pt idx="204">
                  <c:v>1</c:v>
                </c:pt>
                <c:pt idx="205">
                  <c:v>3</c:v>
                </c:pt>
                <c:pt idx="206">
                  <c:v>4</c:v>
                </c:pt>
                <c:pt idx="207">
                  <c:v>9</c:v>
                </c:pt>
                <c:pt idx="208">
                  <c:v>20</c:v>
                </c:pt>
                <c:pt idx="209">
                  <c:v>10</c:v>
                </c:pt>
                <c:pt idx="210">
                  <c:v>9</c:v>
                </c:pt>
                <c:pt idx="211">
                  <c:v>11</c:v>
                </c:pt>
                <c:pt idx="212">
                  <c:v>2</c:v>
                </c:pt>
                <c:pt idx="213">
                  <c:v>16</c:v>
                </c:pt>
                <c:pt idx="214">
                  <c:v>7</c:v>
                </c:pt>
                <c:pt idx="215">
                  <c:v>13</c:v>
                </c:pt>
                <c:pt idx="216">
                  <c:v>6</c:v>
                </c:pt>
                <c:pt idx="217">
                  <c:v>5</c:v>
                </c:pt>
                <c:pt idx="218">
                  <c:v>2</c:v>
                </c:pt>
                <c:pt idx="219">
                  <c:v>3</c:v>
                </c:pt>
                <c:pt idx="220">
                  <c:v>7</c:v>
                </c:pt>
                <c:pt idx="221">
                  <c:v>4</c:v>
                </c:pt>
                <c:pt idx="222">
                  <c:v>10</c:v>
                </c:pt>
                <c:pt idx="223">
                  <c:v>9</c:v>
                </c:pt>
                <c:pt idx="224">
                  <c:v>18</c:v>
                </c:pt>
                <c:pt idx="225">
                  <c:v>4</c:v>
                </c:pt>
                <c:pt idx="226">
                  <c:v>104</c:v>
                </c:pt>
                <c:pt idx="227">
                  <c:v>81</c:v>
                </c:pt>
                <c:pt idx="228">
                  <c:v>3</c:v>
                </c:pt>
                <c:pt idx="229">
                  <c:v>12</c:v>
                </c:pt>
                <c:pt idx="230">
                  <c:v>23</c:v>
                </c:pt>
                <c:pt idx="231">
                  <c:v>5</c:v>
                </c:pt>
                <c:pt idx="232">
                  <c:v>13</c:v>
                </c:pt>
                <c:pt idx="233">
                  <c:v>3</c:v>
                </c:pt>
              </c:numCache>
            </c:numRef>
          </c:xVal>
          <c:yVal>
            <c:numRef>
              <c:f>'Conteggio cittá'!$C$2:$C$235</c:f>
              <c:numCache>
                <c:formatCode>General</c:formatCode>
                <c:ptCount val="234"/>
                <c:pt idx="0">
                  <c:v>31</c:v>
                </c:pt>
                <c:pt idx="1">
                  <c:v>75</c:v>
                </c:pt>
                <c:pt idx="2">
                  <c:v>77</c:v>
                </c:pt>
                <c:pt idx="3">
                  <c:v>93</c:v>
                </c:pt>
                <c:pt idx="4">
                  <c:v>83</c:v>
                </c:pt>
                <c:pt idx="5">
                  <c:v>49</c:v>
                </c:pt>
                <c:pt idx="6">
                  <c:v>58</c:v>
                </c:pt>
                <c:pt idx="7">
                  <c:v>64</c:v>
                </c:pt>
                <c:pt idx="8">
                  <c:v>106</c:v>
                </c:pt>
                <c:pt idx="9">
                  <c:v>118</c:v>
                </c:pt>
                <c:pt idx="10">
                  <c:v>36</c:v>
                </c:pt>
                <c:pt idx="11">
                  <c:v>120</c:v>
                </c:pt>
                <c:pt idx="12">
                  <c:v>88</c:v>
                </c:pt>
                <c:pt idx="13">
                  <c:v>66</c:v>
                </c:pt>
                <c:pt idx="14">
                  <c:v>119</c:v>
                </c:pt>
                <c:pt idx="15">
                  <c:v>52</c:v>
                </c:pt>
                <c:pt idx="16">
                  <c:v>75</c:v>
                </c:pt>
                <c:pt idx="17">
                  <c:v>112</c:v>
                </c:pt>
                <c:pt idx="18">
                  <c:v>87</c:v>
                </c:pt>
                <c:pt idx="19">
                  <c:v>46</c:v>
                </c:pt>
                <c:pt idx="20">
                  <c:v>36</c:v>
                </c:pt>
                <c:pt idx="21">
                  <c:v>32</c:v>
                </c:pt>
                <c:pt idx="22">
                  <c:v>85</c:v>
                </c:pt>
                <c:pt idx="23">
                  <c:v>120</c:v>
                </c:pt>
                <c:pt idx="24">
                  <c:v>39</c:v>
                </c:pt>
                <c:pt idx="25">
                  <c:v>116</c:v>
                </c:pt>
                <c:pt idx="26">
                  <c:v>64</c:v>
                </c:pt>
                <c:pt idx="27">
                  <c:v>46</c:v>
                </c:pt>
                <c:pt idx="28">
                  <c:v>78</c:v>
                </c:pt>
                <c:pt idx="29">
                  <c:v>48</c:v>
                </c:pt>
                <c:pt idx="30">
                  <c:v>51</c:v>
                </c:pt>
                <c:pt idx="31">
                  <c:v>61</c:v>
                </c:pt>
                <c:pt idx="32">
                  <c:v>107</c:v>
                </c:pt>
                <c:pt idx="33">
                  <c:v>49</c:v>
                </c:pt>
                <c:pt idx="34">
                  <c:v>120</c:v>
                </c:pt>
                <c:pt idx="35">
                  <c:v>119</c:v>
                </c:pt>
                <c:pt idx="36">
                  <c:v>85</c:v>
                </c:pt>
                <c:pt idx="37">
                  <c:v>109</c:v>
                </c:pt>
                <c:pt idx="38">
                  <c:v>35</c:v>
                </c:pt>
                <c:pt idx="39">
                  <c:v>86</c:v>
                </c:pt>
                <c:pt idx="40">
                  <c:v>78</c:v>
                </c:pt>
                <c:pt idx="41">
                  <c:v>39</c:v>
                </c:pt>
                <c:pt idx="42">
                  <c:v>58</c:v>
                </c:pt>
                <c:pt idx="43">
                  <c:v>119</c:v>
                </c:pt>
                <c:pt idx="44">
                  <c:v>117</c:v>
                </c:pt>
                <c:pt idx="45">
                  <c:v>56</c:v>
                </c:pt>
                <c:pt idx="46">
                  <c:v>78</c:v>
                </c:pt>
                <c:pt idx="47">
                  <c:v>71</c:v>
                </c:pt>
                <c:pt idx="48">
                  <c:v>95</c:v>
                </c:pt>
                <c:pt idx="49">
                  <c:v>33</c:v>
                </c:pt>
                <c:pt idx="50">
                  <c:v>56</c:v>
                </c:pt>
                <c:pt idx="51">
                  <c:v>38</c:v>
                </c:pt>
                <c:pt idx="52">
                  <c:v>90</c:v>
                </c:pt>
                <c:pt idx="53">
                  <c:v>66</c:v>
                </c:pt>
                <c:pt idx="54">
                  <c:v>34</c:v>
                </c:pt>
                <c:pt idx="55">
                  <c:v>103</c:v>
                </c:pt>
                <c:pt idx="56">
                  <c:v>120</c:v>
                </c:pt>
                <c:pt idx="57">
                  <c:v>72</c:v>
                </c:pt>
                <c:pt idx="58">
                  <c:v>39</c:v>
                </c:pt>
                <c:pt idx="59">
                  <c:v>81</c:v>
                </c:pt>
                <c:pt idx="60">
                  <c:v>34</c:v>
                </c:pt>
                <c:pt idx="61">
                  <c:v>49</c:v>
                </c:pt>
                <c:pt idx="62">
                  <c:v>52</c:v>
                </c:pt>
                <c:pt idx="63">
                  <c:v>43</c:v>
                </c:pt>
                <c:pt idx="64">
                  <c:v>55</c:v>
                </c:pt>
                <c:pt idx="65">
                  <c:v>108</c:v>
                </c:pt>
                <c:pt idx="66">
                  <c:v>37</c:v>
                </c:pt>
                <c:pt idx="67">
                  <c:v>65</c:v>
                </c:pt>
                <c:pt idx="68">
                  <c:v>78</c:v>
                </c:pt>
                <c:pt idx="69">
                  <c:v>115</c:v>
                </c:pt>
                <c:pt idx="70">
                  <c:v>52</c:v>
                </c:pt>
                <c:pt idx="71">
                  <c:v>75</c:v>
                </c:pt>
                <c:pt idx="72">
                  <c:v>39</c:v>
                </c:pt>
                <c:pt idx="73">
                  <c:v>40</c:v>
                </c:pt>
                <c:pt idx="74">
                  <c:v>34</c:v>
                </c:pt>
                <c:pt idx="75">
                  <c:v>60</c:v>
                </c:pt>
                <c:pt idx="76">
                  <c:v>93</c:v>
                </c:pt>
                <c:pt idx="77">
                  <c:v>120</c:v>
                </c:pt>
                <c:pt idx="78">
                  <c:v>81</c:v>
                </c:pt>
                <c:pt idx="79">
                  <c:v>33</c:v>
                </c:pt>
                <c:pt idx="80">
                  <c:v>73</c:v>
                </c:pt>
                <c:pt idx="81">
                  <c:v>41</c:v>
                </c:pt>
                <c:pt idx="82">
                  <c:v>58</c:v>
                </c:pt>
                <c:pt idx="83">
                  <c:v>37</c:v>
                </c:pt>
                <c:pt idx="84">
                  <c:v>68</c:v>
                </c:pt>
                <c:pt idx="85">
                  <c:v>74</c:v>
                </c:pt>
                <c:pt idx="86">
                  <c:v>116</c:v>
                </c:pt>
                <c:pt idx="87">
                  <c:v>87</c:v>
                </c:pt>
                <c:pt idx="88">
                  <c:v>65</c:v>
                </c:pt>
                <c:pt idx="89">
                  <c:v>32</c:v>
                </c:pt>
                <c:pt idx="90">
                  <c:v>101</c:v>
                </c:pt>
                <c:pt idx="91">
                  <c:v>59</c:v>
                </c:pt>
                <c:pt idx="92">
                  <c:v>38</c:v>
                </c:pt>
                <c:pt idx="93">
                  <c:v>119</c:v>
                </c:pt>
                <c:pt idx="94">
                  <c:v>79</c:v>
                </c:pt>
                <c:pt idx="95">
                  <c:v>61</c:v>
                </c:pt>
                <c:pt idx="96">
                  <c:v>57</c:v>
                </c:pt>
                <c:pt idx="97">
                  <c:v>75</c:v>
                </c:pt>
                <c:pt idx="98">
                  <c:v>54</c:v>
                </c:pt>
                <c:pt idx="99">
                  <c:v>59</c:v>
                </c:pt>
                <c:pt idx="100">
                  <c:v>54</c:v>
                </c:pt>
                <c:pt idx="101">
                  <c:v>51</c:v>
                </c:pt>
                <c:pt idx="102">
                  <c:v>50</c:v>
                </c:pt>
                <c:pt idx="103">
                  <c:v>49</c:v>
                </c:pt>
                <c:pt idx="104">
                  <c:v>115</c:v>
                </c:pt>
                <c:pt idx="105">
                  <c:v>100</c:v>
                </c:pt>
                <c:pt idx="106">
                  <c:v>50</c:v>
                </c:pt>
                <c:pt idx="107">
                  <c:v>44</c:v>
                </c:pt>
                <c:pt idx="108">
                  <c:v>42</c:v>
                </c:pt>
                <c:pt idx="109">
                  <c:v>33</c:v>
                </c:pt>
                <c:pt idx="110">
                  <c:v>88</c:v>
                </c:pt>
                <c:pt idx="111">
                  <c:v>116</c:v>
                </c:pt>
                <c:pt idx="112">
                  <c:v>32</c:v>
                </c:pt>
                <c:pt idx="113">
                  <c:v>31</c:v>
                </c:pt>
                <c:pt idx="114">
                  <c:v>76</c:v>
                </c:pt>
                <c:pt idx="115">
                  <c:v>76</c:v>
                </c:pt>
                <c:pt idx="116">
                  <c:v>40</c:v>
                </c:pt>
                <c:pt idx="117">
                  <c:v>103</c:v>
                </c:pt>
                <c:pt idx="118">
                  <c:v>72</c:v>
                </c:pt>
                <c:pt idx="119">
                  <c:v>91</c:v>
                </c:pt>
                <c:pt idx="120">
                  <c:v>32</c:v>
                </c:pt>
                <c:pt idx="121">
                  <c:v>118</c:v>
                </c:pt>
                <c:pt idx="122">
                  <c:v>97</c:v>
                </c:pt>
                <c:pt idx="123">
                  <c:v>30</c:v>
                </c:pt>
                <c:pt idx="124">
                  <c:v>106</c:v>
                </c:pt>
                <c:pt idx="125">
                  <c:v>108</c:v>
                </c:pt>
                <c:pt idx="126">
                  <c:v>53</c:v>
                </c:pt>
                <c:pt idx="127">
                  <c:v>57</c:v>
                </c:pt>
                <c:pt idx="128">
                  <c:v>97</c:v>
                </c:pt>
                <c:pt idx="129">
                  <c:v>69</c:v>
                </c:pt>
                <c:pt idx="130">
                  <c:v>108</c:v>
                </c:pt>
                <c:pt idx="131">
                  <c:v>35</c:v>
                </c:pt>
                <c:pt idx="132">
                  <c:v>30</c:v>
                </c:pt>
                <c:pt idx="133">
                  <c:v>49</c:v>
                </c:pt>
                <c:pt idx="134">
                  <c:v>59</c:v>
                </c:pt>
                <c:pt idx="135">
                  <c:v>58</c:v>
                </c:pt>
                <c:pt idx="136">
                  <c:v>46</c:v>
                </c:pt>
                <c:pt idx="137">
                  <c:v>89</c:v>
                </c:pt>
                <c:pt idx="138">
                  <c:v>30</c:v>
                </c:pt>
                <c:pt idx="139">
                  <c:v>103</c:v>
                </c:pt>
                <c:pt idx="140">
                  <c:v>117</c:v>
                </c:pt>
                <c:pt idx="141">
                  <c:v>53</c:v>
                </c:pt>
                <c:pt idx="142">
                  <c:v>66</c:v>
                </c:pt>
                <c:pt idx="143">
                  <c:v>114</c:v>
                </c:pt>
                <c:pt idx="144">
                  <c:v>39</c:v>
                </c:pt>
                <c:pt idx="145">
                  <c:v>69</c:v>
                </c:pt>
                <c:pt idx="146">
                  <c:v>106</c:v>
                </c:pt>
                <c:pt idx="147">
                  <c:v>93</c:v>
                </c:pt>
                <c:pt idx="148">
                  <c:v>46</c:v>
                </c:pt>
                <c:pt idx="149">
                  <c:v>103</c:v>
                </c:pt>
                <c:pt idx="150">
                  <c:v>115</c:v>
                </c:pt>
                <c:pt idx="151">
                  <c:v>104</c:v>
                </c:pt>
                <c:pt idx="152">
                  <c:v>78</c:v>
                </c:pt>
                <c:pt idx="153">
                  <c:v>69</c:v>
                </c:pt>
                <c:pt idx="154">
                  <c:v>62</c:v>
                </c:pt>
                <c:pt idx="155">
                  <c:v>64</c:v>
                </c:pt>
                <c:pt idx="156">
                  <c:v>66</c:v>
                </c:pt>
                <c:pt idx="157">
                  <c:v>63</c:v>
                </c:pt>
                <c:pt idx="158">
                  <c:v>38</c:v>
                </c:pt>
                <c:pt idx="159">
                  <c:v>75</c:v>
                </c:pt>
                <c:pt idx="160">
                  <c:v>36</c:v>
                </c:pt>
                <c:pt idx="161">
                  <c:v>98</c:v>
                </c:pt>
                <c:pt idx="162">
                  <c:v>61</c:v>
                </c:pt>
                <c:pt idx="163">
                  <c:v>86</c:v>
                </c:pt>
                <c:pt idx="164">
                  <c:v>31</c:v>
                </c:pt>
                <c:pt idx="165">
                  <c:v>100</c:v>
                </c:pt>
                <c:pt idx="166">
                  <c:v>31</c:v>
                </c:pt>
                <c:pt idx="167">
                  <c:v>94</c:v>
                </c:pt>
                <c:pt idx="168">
                  <c:v>45</c:v>
                </c:pt>
                <c:pt idx="169">
                  <c:v>96</c:v>
                </c:pt>
                <c:pt idx="170">
                  <c:v>104</c:v>
                </c:pt>
                <c:pt idx="171">
                  <c:v>65</c:v>
                </c:pt>
                <c:pt idx="172">
                  <c:v>90</c:v>
                </c:pt>
                <c:pt idx="173">
                  <c:v>102</c:v>
                </c:pt>
                <c:pt idx="174">
                  <c:v>80</c:v>
                </c:pt>
                <c:pt idx="175">
                  <c:v>56</c:v>
                </c:pt>
                <c:pt idx="176">
                  <c:v>87</c:v>
                </c:pt>
                <c:pt idx="177">
                  <c:v>87</c:v>
                </c:pt>
                <c:pt idx="178">
                  <c:v>79</c:v>
                </c:pt>
                <c:pt idx="179">
                  <c:v>76</c:v>
                </c:pt>
                <c:pt idx="180">
                  <c:v>67</c:v>
                </c:pt>
                <c:pt idx="181">
                  <c:v>119</c:v>
                </c:pt>
                <c:pt idx="182">
                  <c:v>82</c:v>
                </c:pt>
                <c:pt idx="183">
                  <c:v>101</c:v>
                </c:pt>
                <c:pt idx="184">
                  <c:v>92</c:v>
                </c:pt>
                <c:pt idx="185">
                  <c:v>52</c:v>
                </c:pt>
                <c:pt idx="186">
                  <c:v>54</c:v>
                </c:pt>
                <c:pt idx="187">
                  <c:v>44</c:v>
                </c:pt>
                <c:pt idx="188">
                  <c:v>34</c:v>
                </c:pt>
                <c:pt idx="189">
                  <c:v>111</c:v>
                </c:pt>
                <c:pt idx="190">
                  <c:v>74</c:v>
                </c:pt>
                <c:pt idx="191">
                  <c:v>85</c:v>
                </c:pt>
                <c:pt idx="192">
                  <c:v>33</c:v>
                </c:pt>
                <c:pt idx="193">
                  <c:v>110</c:v>
                </c:pt>
                <c:pt idx="194">
                  <c:v>71</c:v>
                </c:pt>
                <c:pt idx="195">
                  <c:v>84</c:v>
                </c:pt>
                <c:pt idx="196">
                  <c:v>75</c:v>
                </c:pt>
                <c:pt idx="197">
                  <c:v>109</c:v>
                </c:pt>
                <c:pt idx="198">
                  <c:v>95</c:v>
                </c:pt>
                <c:pt idx="199">
                  <c:v>42</c:v>
                </c:pt>
                <c:pt idx="200">
                  <c:v>106</c:v>
                </c:pt>
                <c:pt idx="201">
                  <c:v>51</c:v>
                </c:pt>
                <c:pt idx="202">
                  <c:v>108</c:v>
                </c:pt>
                <c:pt idx="203">
                  <c:v>47</c:v>
                </c:pt>
                <c:pt idx="204">
                  <c:v>111</c:v>
                </c:pt>
                <c:pt idx="205">
                  <c:v>113</c:v>
                </c:pt>
                <c:pt idx="206">
                  <c:v>81</c:v>
                </c:pt>
                <c:pt idx="207">
                  <c:v>57</c:v>
                </c:pt>
                <c:pt idx="208">
                  <c:v>33</c:v>
                </c:pt>
                <c:pt idx="209">
                  <c:v>62</c:v>
                </c:pt>
                <c:pt idx="210">
                  <c:v>82</c:v>
                </c:pt>
                <c:pt idx="211">
                  <c:v>94</c:v>
                </c:pt>
                <c:pt idx="212">
                  <c:v>109</c:v>
                </c:pt>
                <c:pt idx="213">
                  <c:v>112</c:v>
                </c:pt>
                <c:pt idx="214">
                  <c:v>113</c:v>
                </c:pt>
                <c:pt idx="215">
                  <c:v>78</c:v>
                </c:pt>
                <c:pt idx="216">
                  <c:v>114</c:v>
                </c:pt>
                <c:pt idx="217">
                  <c:v>43</c:v>
                </c:pt>
                <c:pt idx="218">
                  <c:v>80</c:v>
                </c:pt>
                <c:pt idx="219">
                  <c:v>93</c:v>
                </c:pt>
                <c:pt idx="220">
                  <c:v>101</c:v>
                </c:pt>
                <c:pt idx="221">
                  <c:v>68</c:v>
                </c:pt>
                <c:pt idx="222">
                  <c:v>53</c:v>
                </c:pt>
                <c:pt idx="223">
                  <c:v>64</c:v>
                </c:pt>
                <c:pt idx="224">
                  <c:v>90</c:v>
                </c:pt>
                <c:pt idx="225">
                  <c:v>105</c:v>
                </c:pt>
                <c:pt idx="226">
                  <c:v>70</c:v>
                </c:pt>
                <c:pt idx="227">
                  <c:v>74</c:v>
                </c:pt>
                <c:pt idx="228">
                  <c:v>110</c:v>
                </c:pt>
                <c:pt idx="229">
                  <c:v>112</c:v>
                </c:pt>
                <c:pt idx="230">
                  <c:v>54</c:v>
                </c:pt>
                <c:pt idx="231">
                  <c:v>83</c:v>
                </c:pt>
                <c:pt idx="232">
                  <c:v>113</c:v>
                </c:pt>
                <c:pt idx="23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F-4C57-AD3A-76CFED607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876591"/>
        <c:axId val="666146367"/>
      </c:scatterChart>
      <c:valAx>
        <c:axId val="58687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6146367"/>
        <c:crosses val="autoZero"/>
        <c:crossBetween val="midCat"/>
      </c:valAx>
      <c:valAx>
        <c:axId val="66614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687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404812</xdr:colOff>
      <xdr:row>4</xdr:row>
      <xdr:rowOff>128587</xdr:rowOff>
    </xdr:from>
    <xdr:to>
      <xdr:col>21</xdr:col>
      <xdr:colOff>100012</xdr:colOff>
      <xdr:row>19</xdr:row>
      <xdr:rowOff>14287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AC47835-32BE-BDB1-81DB-0A193EC97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223837</xdr:colOff>
      <xdr:row>3</xdr:row>
      <xdr:rowOff>128587</xdr:rowOff>
    </xdr:from>
    <xdr:to>
      <xdr:col>16</xdr:col>
      <xdr:colOff>100012</xdr:colOff>
      <xdr:row>17</xdr:row>
      <xdr:rowOff>185737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77E11A7-8950-FB89-9727-159DE835A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8" xr16:uid="{777A282E-A392-4349-A616-BCEF966D42E5}" autoFormatId="16" applyNumberFormats="0" applyBorderFormats="0" applyFontFormats="0" applyPatternFormats="0" applyAlignmentFormats="0" applyWidthHeightFormats="0">
  <queryTableRefresh nextId="9">
    <queryTableFields count="8">
      <queryTableField id="1" name="Categoria" tableColumnId="1"/>
      <queryTableField id="2" name="Città" tableColumnId="2"/>
      <queryTableField id="3" name="Prezzi.Prezzo Medio" tableColumnId="3"/>
      <queryTableField id="4" name="Denominazione" tableColumnId="4"/>
      <queryTableField id="5" name="Indirizzo" tableColumnId="5"/>
      <queryTableField id="6" name="Localita" tableColumnId="6"/>
      <queryTableField id="7" name="Indirizzo internet" tableColumnId="7"/>
      <queryTableField id="8" name="Indirizzo di posta elettronica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4" xr16:uid="{58671977-0714-40EC-84BB-A5102AA34A0D}" autoFormatId="16" applyNumberFormats="0" applyBorderFormats="0" applyFontFormats="0" applyPatternFormats="0" applyAlignmentFormats="0" applyWidthHeightFormats="0">
  <queryTableRefresh nextId="4">
    <queryTableFields count="3">
      <queryTableField id="1" name="Città" tableColumnId="1"/>
      <queryTableField id="2" name="Categoria" tableColumnId="2"/>
      <queryTableField id="3" name="Conteggio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F9CD1F72-A15E-4965-9EAE-310A9EE8F854}" autoFormatId="16" applyNumberFormats="0" applyBorderFormats="0" applyFontFormats="0" applyPatternFormats="0" applyAlignmentFormats="0" applyWidthHeightFormats="0">
  <queryTableRefresh nextId="6">
    <queryTableFields count="4">
      <queryTableField id="1" name="Categoria" tableColumnId="1"/>
      <queryTableField id="3" name="Città" tableColumnId="3"/>
      <queryTableField id="2" name="Prezzi.Prezzo Medio" tableColumnId="2"/>
      <queryTableField id="5" name="Conteggio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3" xr16:uid="{D95D3A44-F3E7-458C-8BAD-2350C68C6FC8}" autoFormatId="16" applyNumberFormats="0" applyBorderFormats="0" applyFontFormats="0" applyPatternFormats="0" applyAlignmentFormats="0" applyWidthHeightFormats="0">
  <queryTableRefresh nextId="4">
    <queryTableFields count="3">
      <queryTableField id="1" name="Città" tableColumnId="1"/>
      <queryTableField id="2" name="Conteggio" tableColumnId="2"/>
      <queryTableField id="3" name="Prezzi.Prezzo Medio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6" xr16:uid="{DBA0AAD9-74ED-442A-A6C9-962D47B4E42D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" xr16:uid="{931759B4-D278-488B-BE6B-3E27EBDCFD68}" autoFormatId="16" applyNumberFormats="0" applyBorderFormats="0" applyFontFormats="0" applyPatternFormats="0" applyAlignmentFormats="0" applyWidthHeightFormats="0">
  <queryTableRefresh nextId="3">
    <queryTableFields count="2">
      <queryTableField id="1" name="Denominazione" tableColumnId="1"/>
      <queryTableField id="2" name="Conteggio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2" xr16:uid="{57071375-DFFA-42D0-9239-D9B99C10AD74}" autoFormatId="16" applyNumberFormats="0" applyBorderFormats="0" applyFontFormats="0" applyPatternFormats="0" applyAlignmentFormats="0" applyWidthHeightFormats="0">
  <queryTableRefresh nextId="3">
    <queryTableFields count="2">
      <queryTableField id="1" name="Categoria" tableColumnId="1"/>
      <queryTableField id="2" name="Contegg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7B5D75-5459-4D93-955A-C68DAE6C7573}" name="Strutture_ricettive" displayName="Strutture_ricettive" ref="A8:H6266" tableType="queryTable" totalsRowShown="0">
  <autoFilter ref="A8:H6266" xr:uid="{267B5D75-5459-4D93-955A-C68DAE6C7573}"/>
  <sortState xmlns:xlrd2="http://schemas.microsoft.com/office/spreadsheetml/2017/richdata2" ref="A9:H6266">
    <sortCondition ref="C8:C6266"/>
  </sortState>
  <tableColumns count="8">
    <tableColumn id="1" xr3:uid="{8E3E1AF8-975B-4BE7-91D6-CA42C598FDFD}" uniqueName="1" name="Categoria" queryTableFieldId="1" dataDxfId="20"/>
    <tableColumn id="2" xr3:uid="{3C4B1F0B-EAAF-4F43-841E-A4C8C16CF87E}" uniqueName="2" name="Città" queryTableFieldId="2" dataDxfId="19"/>
    <tableColumn id="3" xr3:uid="{E0CA5DE5-4901-4D98-9759-FD9DD30F719D}" uniqueName="3" name="Prezzi.Prezzo Medio" queryTableFieldId="3"/>
    <tableColumn id="4" xr3:uid="{6D9F51BD-1E2F-4C03-9ACC-EAFDE5F76E98}" uniqueName="4" name="Denominazione" queryTableFieldId="4" dataDxfId="18"/>
    <tableColumn id="5" xr3:uid="{1E390FB8-EF8B-4781-8C84-A64BBBF68F66}" uniqueName="5" name="Indirizzo" queryTableFieldId="5" dataDxfId="17"/>
    <tableColumn id="6" xr3:uid="{6052C162-7386-4930-9845-528D7F030B23}" uniqueName="6" name="Localita" queryTableFieldId="6" dataDxfId="16"/>
    <tableColumn id="7" xr3:uid="{20AF7960-C224-4E97-8C4F-0318F8BD9699}" uniqueName="7" name="Indirizzo internet" queryTableFieldId="7" dataDxfId="15"/>
    <tableColumn id="8" xr3:uid="{A44284B9-19B7-4F25-9395-BE160F1E97BA}" uniqueName="8" name="Indirizzo di posta elettronica" queryTableFieldId="8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5E1CE8-9E5C-44C5-ACD3-470EC32AFADC}" name="Conteggio_cittá_e_categoria" displayName="Conteggio_cittá_e_categoria" ref="A1:C1197" tableType="queryTable" totalsRowShown="0">
  <autoFilter ref="A1:C1197" xr:uid="{645E1CE8-9E5C-44C5-ACD3-470EC32AFADC}"/>
  <sortState xmlns:xlrd2="http://schemas.microsoft.com/office/spreadsheetml/2017/richdata2" ref="A2:C1197">
    <sortCondition ref="A1:A1197"/>
  </sortState>
  <tableColumns count="3">
    <tableColumn id="1" xr3:uid="{E8536656-C5CF-4BFC-8483-CC9066631FF8}" uniqueName="1" name="Città" queryTableFieldId="1" dataDxfId="13"/>
    <tableColumn id="2" xr3:uid="{5CD55208-9705-419F-853C-C90D82C51BC8}" uniqueName="2" name="Categoria" queryTableFieldId="2" dataDxfId="12"/>
    <tableColumn id="3" xr3:uid="{48F83B4B-9931-444C-ACE1-124F2536EEB3}" uniqueName="3" name="Conteggio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06E2DD-3FDA-4EC6-9DE5-14539F44BD41}" name="CONFIDENZA" displayName="CONFIDENZA" ref="B37:F40" totalsRowShown="0">
  <autoFilter ref="B37:F40" xr:uid="{5206E2DD-3FDA-4EC6-9DE5-14539F44BD41}"/>
  <tableColumns count="5">
    <tableColumn id="1" xr3:uid="{E3E05889-2B4E-4CF1-976B-5E6B54B790A5}" name="LIVELLO CONFIDENZA" dataDxfId="11" dataCellStyle="Percentuale"/>
    <tableColumn id="2" xr3:uid="{DA2F6F08-ED65-4D02-8AF4-E1B3F4BD70DF}" name="ALFA" dataDxfId="10">
      <calculatedColumnFormula>1-B38</calculatedColumnFormula>
    </tableColumn>
    <tableColumn id="3" xr3:uid="{1BB4C371-3801-49FE-9C01-C6264F21F754}" name="MARGINE ERRORE">
      <calculatedColumnFormula>_xlfn.CONFIDENCE.NORM(C38,$C$3,$C$4)</calculatedColumnFormula>
    </tableColumn>
    <tableColumn id="4" xr3:uid="{F8DD6319-A289-478E-B83D-3403CA6CD71D}" name="LIMITE INF"/>
    <tableColumn id="5" xr3:uid="{F3987524-A0AC-4F0F-B074-27411616F8E4}" name="LIMITE SUPERIORE">
      <calculatedColumnFormula>$C$2+D38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3F0BC4A-4602-414D-A87B-E9317DF2E1F3}" name="CONFIDENZA9" displayName="CONFIDENZA9" ref="B44:F47" totalsRowShown="0">
  <autoFilter ref="B44:F47" xr:uid="{53F0BC4A-4602-414D-A87B-E9317DF2E1F3}"/>
  <tableColumns count="5">
    <tableColumn id="1" xr3:uid="{D695BFC8-AE96-4CF4-B596-3B530FA3E951}" name="LIVELLO CONFIDENZA" dataDxfId="9" dataCellStyle="Percentuale"/>
    <tableColumn id="2" xr3:uid="{75C3420E-4B90-4E7E-838F-D1E6E69DF842}" name="ALFA" dataDxfId="8">
      <calculatedColumnFormula>1-B45</calculatedColumnFormula>
    </tableColumn>
    <tableColumn id="3" xr3:uid="{A9C86A46-C2A7-4FA8-B35F-22C7A14CE48C}" name="MARGINE ERRORE" dataDxfId="7">
      <calculatedColumnFormula>_xlfn.CONFIDENCE.NORM(C45,$C$3,$C$5)</calculatedColumnFormula>
    </tableColumn>
    <tableColumn id="4" xr3:uid="{E97E5DD9-36F9-4A7E-9324-B77F5648DB62}" name="LIMITE INF" dataDxfId="6">
      <calculatedColumnFormula>$C$2-D45</calculatedColumnFormula>
    </tableColumn>
    <tableColumn id="5" xr3:uid="{783D9043-E2D6-447D-B10E-98F687405D72}" name="LIMITE SUPERIORE">
      <calculatedColumnFormula>$C$2+D45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A39BA6-4CBD-4FB5-9C9E-2FE01A379837}" name="Categorie_e_prezzo" displayName="Categorie_e_prezzo" ref="A1:D1197" tableType="queryTable" totalsRowShown="0">
  <autoFilter ref="A1:D1197" xr:uid="{54A39BA6-4CBD-4FB5-9C9E-2FE01A379837}"/>
  <sortState xmlns:xlrd2="http://schemas.microsoft.com/office/spreadsheetml/2017/richdata2" ref="A2:D1197">
    <sortCondition ref="D1:D1197"/>
  </sortState>
  <tableColumns count="4">
    <tableColumn id="1" xr3:uid="{98332BD4-6ED3-484B-8BA9-7F2DF08D5401}" uniqueName="1" name="Categoria" queryTableFieldId="1" dataDxfId="5"/>
    <tableColumn id="3" xr3:uid="{4ADD9DA2-D9C4-4766-9128-3D010EB53E10}" uniqueName="3" name="Città" queryTableFieldId="3" dataDxfId="4"/>
    <tableColumn id="2" xr3:uid="{47224CD6-3457-4DA3-8AD5-46570B9F6E05}" uniqueName="2" name="Prezzi.Prezzo Medio" queryTableFieldId="2"/>
    <tableColumn id="4" xr3:uid="{BEC4013C-96E6-4168-8D24-B4A0001B80F2}" uniqueName="4" name="Conteggio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815137-ACED-4314-BDB1-2D0B38AF8515}" name="Conteggio_cittá" displayName="Conteggio_cittá" ref="A1:C235" tableType="queryTable" totalsRowShown="0">
  <autoFilter ref="A1:C235" xr:uid="{B1815137-ACED-4314-BDB1-2D0B38AF8515}"/>
  <tableColumns count="3">
    <tableColumn id="1" xr3:uid="{61691EEC-0C5C-431A-B470-4AA3FF5D2123}" uniqueName="1" name="Città" queryTableFieldId="1" dataDxfId="3"/>
    <tableColumn id="2" xr3:uid="{B21B7718-0997-454B-82C2-A6101A08D2DF}" uniqueName="2" name="Conteggio" queryTableFieldId="2"/>
    <tableColumn id="3" xr3:uid="{240EC900-DFE7-45F5-A4A0-499A3E3A4128}" uniqueName="3" name="Prezzi.Prezzo Medio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F4B73-F4A3-490A-9246-A278529113B6}" name="Prezzi" displayName="Prezzi" ref="A1:B235" tableType="queryTable" totalsRowShown="0">
  <autoFilter ref="A1:B235" xr:uid="{FAEF4B73-F4A3-490A-9246-A278529113B6}"/>
  <sortState xmlns:xlrd2="http://schemas.microsoft.com/office/spreadsheetml/2017/richdata2" ref="A2:B235">
    <sortCondition ref="B1:B235"/>
  </sortState>
  <tableColumns count="2">
    <tableColumn id="1" xr3:uid="{8AC58460-AF80-4DE5-8586-A089E954315D}" uniqueName="1" name="Città" queryTableFieldId="1" dataDxfId="2"/>
    <tableColumn id="2" xr3:uid="{D4BAEAAD-7BB5-4AD5-86A4-DE33B5403090}" uniqueName="2" name="Prezzo Medio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AC7FA1-41D5-465A-8482-C98389CC13F9}" name="Conteggio_denominazioni" displayName="Conteggio_denominazioni" ref="A1:B5850" tableType="queryTable" totalsRowShown="0">
  <autoFilter ref="A1:B5850" xr:uid="{79AC7FA1-41D5-465A-8482-C98389CC13F9}"/>
  <sortState xmlns:xlrd2="http://schemas.microsoft.com/office/spreadsheetml/2017/richdata2" ref="A2:B5850">
    <sortCondition descending="1" ref="B1:B5850"/>
  </sortState>
  <tableColumns count="2">
    <tableColumn id="1" xr3:uid="{11C96993-D695-4FEB-8A35-CF709154830B}" uniqueName="1" name="Denominazione" queryTableFieldId="1" dataDxfId="1"/>
    <tableColumn id="2" xr3:uid="{7C587BE5-16F6-401F-9627-A51400233846}" uniqueName="2" name="Conteggio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879274-3DC5-4C6A-87FF-9EF6677EC39D}" name="Conteggio_categorie" displayName="Conteggio_categorie" ref="A1:B16" tableType="queryTable" totalsRowShown="0">
  <autoFilter ref="A1:B16" xr:uid="{95879274-3DC5-4C6A-87FF-9EF6677EC39D}"/>
  <sortState xmlns:xlrd2="http://schemas.microsoft.com/office/spreadsheetml/2017/richdata2" ref="A2:B16">
    <sortCondition descending="1" ref="B1:B16"/>
  </sortState>
  <tableColumns count="2">
    <tableColumn id="1" xr3:uid="{7EFC6B75-CB02-46F4-8484-AF8EBAAEFBA0}" uniqueName="1" name="Categoria" queryTableFieldId="1" dataDxfId="0"/>
    <tableColumn id="2" xr3:uid="{6E0F662D-A0A0-42AC-9439-754C4FD92E29}" uniqueName="2" name="Conteggio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7F28-466B-4CF5-8F7A-680576E8C61E}">
  <dimension ref="A1:H6266"/>
  <sheetViews>
    <sheetView tabSelected="1" zoomScale="85" zoomScaleNormal="85" workbookViewId="0">
      <selection activeCell="G3" sqref="G3"/>
    </sheetView>
  </sheetViews>
  <sheetFormatPr defaultRowHeight="15"/>
  <cols>
    <col min="1" max="1" width="29.85546875" bestFit="1" customWidth="1"/>
    <col min="2" max="2" width="26" bestFit="1" customWidth="1"/>
    <col min="3" max="3" width="21.5703125" bestFit="1" customWidth="1"/>
    <col min="4" max="4" width="57.140625" bestFit="1" customWidth="1"/>
    <col min="5" max="5" width="46.7109375" bestFit="1" customWidth="1"/>
    <col min="6" max="6" width="53.85546875" bestFit="1" customWidth="1"/>
    <col min="7" max="7" width="61.85546875" bestFit="1" customWidth="1"/>
    <col min="8" max="8" width="54" bestFit="1" customWidth="1"/>
  </cols>
  <sheetData>
    <row r="1" spans="1:8" ht="15.75" customHeight="1" thickBot="1">
      <c r="A1" s="194" t="s">
        <v>19568</v>
      </c>
      <c r="B1" s="194"/>
      <c r="C1" s="198"/>
      <c r="D1" s="196" t="s">
        <v>19676</v>
      </c>
      <c r="E1" s="199" t="s">
        <v>19656</v>
      </c>
      <c r="F1" s="202" t="s">
        <v>19677</v>
      </c>
      <c r="G1" s="198"/>
    </row>
    <row r="2" spans="1:8" ht="15.75" customHeight="1" thickTop="1" thickBot="1">
      <c r="A2" s="194"/>
      <c r="B2" s="194"/>
      <c r="C2" s="126"/>
      <c r="D2" s="196"/>
      <c r="E2" s="200"/>
      <c r="F2" s="203"/>
      <c r="G2" s="201"/>
      <c r="H2" s="10"/>
    </row>
    <row r="3" spans="1:8" ht="24" customHeight="1" thickBot="1">
      <c r="A3" s="195"/>
      <c r="B3" s="195"/>
      <c r="C3" s="127"/>
      <c r="D3" s="197"/>
      <c r="E3" s="204" t="s">
        <v>19657</v>
      </c>
      <c r="F3" s="254" t="s">
        <v>19679</v>
      </c>
      <c r="G3" s="127"/>
      <c r="H3" s="11"/>
    </row>
    <row r="4" spans="1:8">
      <c r="A4" s="211" t="s">
        <v>19567</v>
      </c>
      <c r="B4" s="212"/>
      <c r="C4" s="212"/>
      <c r="D4" s="212"/>
      <c r="E4" s="212"/>
      <c r="F4" s="212"/>
      <c r="G4" s="213"/>
    </row>
    <row r="5" spans="1:8" ht="15.75" thickBot="1">
      <c r="A5" s="214"/>
      <c r="B5" s="215"/>
      <c r="C5" s="215"/>
      <c r="D5" s="215"/>
      <c r="E5" s="215"/>
      <c r="F5" s="215"/>
      <c r="G5" s="216"/>
    </row>
    <row r="6" spans="1:8">
      <c r="A6" s="205" t="s">
        <v>19658</v>
      </c>
      <c r="B6" s="206"/>
      <c r="C6" s="206"/>
      <c r="D6" s="206"/>
      <c r="E6" s="206"/>
      <c r="F6" s="206"/>
      <c r="G6" s="207"/>
    </row>
    <row r="7" spans="1:8" ht="15.75" thickBot="1">
      <c r="A7" s="208"/>
      <c r="B7" s="209"/>
      <c r="C7" s="209"/>
      <c r="D7" s="209"/>
      <c r="E7" s="209"/>
      <c r="F7" s="209"/>
      <c r="G7" s="210"/>
    </row>
    <row r="8" spans="1:8">
      <c r="A8" t="s">
        <v>236</v>
      </c>
      <c r="B8" t="s">
        <v>0</v>
      </c>
      <c r="C8" t="s">
        <v>253</v>
      </c>
      <c r="D8" t="s">
        <v>254</v>
      </c>
      <c r="E8" t="s">
        <v>255</v>
      </c>
      <c r="F8" t="s">
        <v>256</v>
      </c>
      <c r="G8" t="s">
        <v>257</v>
      </c>
      <c r="H8" t="s">
        <v>258</v>
      </c>
    </row>
    <row r="9" spans="1:8">
      <c r="A9" t="s">
        <v>242</v>
      </c>
      <c r="B9" t="s">
        <v>125</v>
      </c>
      <c r="C9">
        <v>30</v>
      </c>
      <c r="D9" t="s">
        <v>7535</v>
      </c>
      <c r="E9" t="s">
        <v>7536</v>
      </c>
      <c r="F9" t="s">
        <v>7537</v>
      </c>
      <c r="G9" t="s">
        <v>7538</v>
      </c>
      <c r="H9" t="s">
        <v>7539</v>
      </c>
    </row>
    <row r="10" spans="1:8">
      <c r="A10" t="s">
        <v>243</v>
      </c>
      <c r="B10" t="s">
        <v>125</v>
      </c>
      <c r="C10">
        <v>30</v>
      </c>
      <c r="D10" t="s">
        <v>7540</v>
      </c>
      <c r="E10" t="s">
        <v>7536</v>
      </c>
      <c r="F10" t="s">
        <v>7537</v>
      </c>
      <c r="G10" t="s">
        <v>7538</v>
      </c>
      <c r="H10" t="s">
        <v>7539</v>
      </c>
    </row>
    <row r="11" spans="1:8">
      <c r="A11" t="s">
        <v>242</v>
      </c>
      <c r="B11" t="s">
        <v>125</v>
      </c>
      <c r="C11">
        <v>30</v>
      </c>
      <c r="D11" t="s">
        <v>7541</v>
      </c>
      <c r="E11" t="s">
        <v>7542</v>
      </c>
      <c r="F11" t="s">
        <v>7543</v>
      </c>
      <c r="H11" t="s">
        <v>7544</v>
      </c>
    </row>
    <row r="12" spans="1:8">
      <c r="A12" t="s">
        <v>243</v>
      </c>
      <c r="B12" t="s">
        <v>125</v>
      </c>
      <c r="C12">
        <v>30</v>
      </c>
      <c r="D12" t="s">
        <v>7545</v>
      </c>
      <c r="E12" t="s">
        <v>7546</v>
      </c>
      <c r="F12" t="s">
        <v>125</v>
      </c>
      <c r="G12" t="s">
        <v>7538</v>
      </c>
      <c r="H12" t="s">
        <v>7539</v>
      </c>
    </row>
    <row r="13" spans="1:8">
      <c r="A13" t="s">
        <v>242</v>
      </c>
      <c r="B13" t="s">
        <v>125</v>
      </c>
      <c r="C13">
        <v>30</v>
      </c>
      <c r="D13" t="s">
        <v>7547</v>
      </c>
      <c r="E13" t="s">
        <v>7548</v>
      </c>
      <c r="F13" t="s">
        <v>125</v>
      </c>
    </row>
    <row r="14" spans="1:8">
      <c r="A14" t="s">
        <v>241</v>
      </c>
      <c r="B14" t="s">
        <v>134</v>
      </c>
      <c r="C14">
        <v>30</v>
      </c>
      <c r="D14" t="s">
        <v>10215</v>
      </c>
      <c r="E14" t="s">
        <v>10216</v>
      </c>
      <c r="F14" t="s">
        <v>134</v>
      </c>
      <c r="H14" t="s">
        <v>10217</v>
      </c>
    </row>
    <row r="15" spans="1:8">
      <c r="A15" t="s">
        <v>242</v>
      </c>
      <c r="B15" t="s">
        <v>134</v>
      </c>
      <c r="C15">
        <v>30</v>
      </c>
      <c r="D15" t="s">
        <v>10218</v>
      </c>
      <c r="E15" t="s">
        <v>10219</v>
      </c>
      <c r="G15" t="s">
        <v>10220</v>
      </c>
      <c r="H15" t="s">
        <v>10221</v>
      </c>
    </row>
    <row r="16" spans="1:8">
      <c r="A16" t="s">
        <v>242</v>
      </c>
      <c r="B16" t="s">
        <v>134</v>
      </c>
      <c r="C16">
        <v>30</v>
      </c>
      <c r="D16" t="s">
        <v>10222</v>
      </c>
      <c r="E16" t="s">
        <v>10223</v>
      </c>
      <c r="G16" t="s">
        <v>10224</v>
      </c>
      <c r="H16" t="s">
        <v>10225</v>
      </c>
    </row>
    <row r="17" spans="1:8">
      <c r="A17" t="s">
        <v>238</v>
      </c>
      <c r="B17" t="s">
        <v>134</v>
      </c>
      <c r="C17">
        <v>30</v>
      </c>
      <c r="D17" t="s">
        <v>10226</v>
      </c>
      <c r="E17" t="s">
        <v>10227</v>
      </c>
      <c r="F17" t="s">
        <v>134</v>
      </c>
      <c r="H17" t="s">
        <v>10228</v>
      </c>
    </row>
    <row r="18" spans="1:8">
      <c r="A18" t="s">
        <v>238</v>
      </c>
      <c r="B18" t="s">
        <v>134</v>
      </c>
      <c r="C18">
        <v>30</v>
      </c>
      <c r="D18" t="s">
        <v>10229</v>
      </c>
      <c r="E18" t="s">
        <v>10230</v>
      </c>
      <c r="G18" t="s">
        <v>10231</v>
      </c>
      <c r="H18" t="s">
        <v>10232</v>
      </c>
    </row>
    <row r="19" spans="1:8">
      <c r="A19" t="s">
        <v>240</v>
      </c>
      <c r="B19" t="s">
        <v>134</v>
      </c>
      <c r="C19">
        <v>30</v>
      </c>
      <c r="D19" t="s">
        <v>10233</v>
      </c>
      <c r="E19" t="s">
        <v>10234</v>
      </c>
      <c r="F19" t="s">
        <v>134</v>
      </c>
      <c r="G19" t="s">
        <v>10235</v>
      </c>
      <c r="H19" t="s">
        <v>10236</v>
      </c>
    </row>
    <row r="20" spans="1:8">
      <c r="A20" t="s">
        <v>241</v>
      </c>
      <c r="B20" t="s">
        <v>134</v>
      </c>
      <c r="C20">
        <v>30</v>
      </c>
      <c r="D20" t="s">
        <v>10237</v>
      </c>
      <c r="E20" t="s">
        <v>10238</v>
      </c>
      <c r="H20" t="s">
        <v>10239</v>
      </c>
    </row>
    <row r="21" spans="1:8">
      <c r="A21" t="s">
        <v>239</v>
      </c>
      <c r="B21" t="s">
        <v>134</v>
      </c>
      <c r="C21">
        <v>30</v>
      </c>
      <c r="D21" t="s">
        <v>10240</v>
      </c>
      <c r="E21" t="s">
        <v>10241</v>
      </c>
      <c r="H21" t="s">
        <v>10242</v>
      </c>
    </row>
    <row r="22" spans="1:8">
      <c r="A22" t="s">
        <v>251</v>
      </c>
      <c r="B22" t="s">
        <v>134</v>
      </c>
      <c r="C22">
        <v>30</v>
      </c>
      <c r="D22" t="s">
        <v>10243</v>
      </c>
      <c r="E22" t="s">
        <v>10244</v>
      </c>
      <c r="F22" t="s">
        <v>134</v>
      </c>
      <c r="H22" t="s">
        <v>10245</v>
      </c>
    </row>
    <row r="23" spans="1:8">
      <c r="A23" t="s">
        <v>241</v>
      </c>
      <c r="B23" t="s">
        <v>140</v>
      </c>
      <c r="C23">
        <v>30</v>
      </c>
      <c r="D23" t="s">
        <v>12140</v>
      </c>
      <c r="E23" t="s">
        <v>12141</v>
      </c>
      <c r="F23" t="s">
        <v>140</v>
      </c>
      <c r="H23" t="s">
        <v>12142</v>
      </c>
    </row>
    <row r="24" spans="1:8">
      <c r="A24" t="s">
        <v>241</v>
      </c>
      <c r="B24" t="s">
        <v>140</v>
      </c>
      <c r="C24">
        <v>30</v>
      </c>
      <c r="D24" t="s">
        <v>12143</v>
      </c>
      <c r="E24" t="s">
        <v>12144</v>
      </c>
      <c r="F24" t="s">
        <v>140</v>
      </c>
      <c r="H24" t="s">
        <v>12145</v>
      </c>
    </row>
    <row r="25" spans="1:8">
      <c r="A25" t="s">
        <v>243</v>
      </c>
      <c r="B25" t="s">
        <v>140</v>
      </c>
      <c r="C25">
        <v>30</v>
      </c>
      <c r="D25" t="s">
        <v>12146</v>
      </c>
      <c r="E25" t="s">
        <v>12147</v>
      </c>
      <c r="F25" t="s">
        <v>140</v>
      </c>
    </row>
    <row r="26" spans="1:8">
      <c r="A26" t="s">
        <v>241</v>
      </c>
      <c r="B26" t="s">
        <v>140</v>
      </c>
      <c r="C26">
        <v>30</v>
      </c>
      <c r="D26" t="s">
        <v>12148</v>
      </c>
      <c r="E26" t="s">
        <v>12149</v>
      </c>
      <c r="F26" t="s">
        <v>140</v>
      </c>
    </row>
    <row r="27" spans="1:8">
      <c r="A27" t="s">
        <v>242</v>
      </c>
      <c r="B27" t="s">
        <v>140</v>
      </c>
      <c r="C27">
        <v>30</v>
      </c>
      <c r="D27" t="s">
        <v>12150</v>
      </c>
      <c r="E27" t="s">
        <v>12151</v>
      </c>
      <c r="F27" t="s">
        <v>140</v>
      </c>
      <c r="G27" t="s">
        <v>12152</v>
      </c>
      <c r="H27" t="s">
        <v>12153</v>
      </c>
    </row>
    <row r="28" spans="1:8">
      <c r="A28" t="s">
        <v>241</v>
      </c>
      <c r="B28" t="s">
        <v>140</v>
      </c>
      <c r="C28">
        <v>30</v>
      </c>
      <c r="D28" t="s">
        <v>12154</v>
      </c>
      <c r="E28" t="s">
        <v>12155</v>
      </c>
      <c r="F28" t="s">
        <v>140</v>
      </c>
      <c r="H28" t="s">
        <v>12156</v>
      </c>
    </row>
    <row r="29" spans="1:8">
      <c r="A29" t="s">
        <v>238</v>
      </c>
      <c r="B29" t="s">
        <v>140</v>
      </c>
      <c r="C29">
        <v>30</v>
      </c>
      <c r="D29" t="s">
        <v>12157</v>
      </c>
      <c r="E29" t="s">
        <v>12158</v>
      </c>
      <c r="F29" t="s">
        <v>140</v>
      </c>
      <c r="G29" t="s">
        <v>12159</v>
      </c>
      <c r="H29" t="s">
        <v>12160</v>
      </c>
    </row>
    <row r="30" spans="1:8">
      <c r="A30" t="s">
        <v>241</v>
      </c>
      <c r="B30" t="s">
        <v>140</v>
      </c>
      <c r="C30">
        <v>30</v>
      </c>
      <c r="D30" t="s">
        <v>12161</v>
      </c>
      <c r="E30" t="s">
        <v>12162</v>
      </c>
      <c r="F30" t="s">
        <v>140</v>
      </c>
      <c r="G30" t="s">
        <v>12163</v>
      </c>
      <c r="H30" t="s">
        <v>12164</v>
      </c>
    </row>
    <row r="31" spans="1:8">
      <c r="A31" t="s">
        <v>242</v>
      </c>
      <c r="B31" t="s">
        <v>140</v>
      </c>
      <c r="C31">
        <v>30</v>
      </c>
      <c r="D31" t="s">
        <v>12165</v>
      </c>
      <c r="E31" t="s">
        <v>12166</v>
      </c>
      <c r="F31" t="s">
        <v>140</v>
      </c>
      <c r="G31" t="s">
        <v>12167</v>
      </c>
      <c r="H31" t="s">
        <v>12168</v>
      </c>
    </row>
    <row r="32" spans="1:8">
      <c r="A32" t="s">
        <v>241</v>
      </c>
      <c r="B32" t="s">
        <v>140</v>
      </c>
      <c r="C32">
        <v>30</v>
      </c>
      <c r="D32" t="s">
        <v>12169</v>
      </c>
      <c r="E32" t="s">
        <v>12170</v>
      </c>
      <c r="F32" t="s">
        <v>140</v>
      </c>
    </row>
    <row r="33" spans="1:8">
      <c r="A33" t="s">
        <v>242</v>
      </c>
      <c r="B33" t="s">
        <v>140</v>
      </c>
      <c r="C33">
        <v>30</v>
      </c>
      <c r="D33" t="s">
        <v>2661</v>
      </c>
      <c r="E33" t="s">
        <v>12171</v>
      </c>
      <c r="F33" t="s">
        <v>140</v>
      </c>
      <c r="G33" t="s">
        <v>12172</v>
      </c>
      <c r="H33" t="s">
        <v>12173</v>
      </c>
    </row>
    <row r="34" spans="1:8">
      <c r="A34" t="s">
        <v>242</v>
      </c>
      <c r="B34" t="s">
        <v>140</v>
      </c>
      <c r="C34">
        <v>30</v>
      </c>
      <c r="D34" t="s">
        <v>12174</v>
      </c>
      <c r="E34" t="s">
        <v>12175</v>
      </c>
      <c r="F34" t="s">
        <v>140</v>
      </c>
      <c r="H34" t="s">
        <v>12176</v>
      </c>
    </row>
    <row r="35" spans="1:8">
      <c r="A35" t="s">
        <v>243</v>
      </c>
      <c r="B35" t="s">
        <v>140</v>
      </c>
      <c r="C35">
        <v>30</v>
      </c>
      <c r="D35" t="s">
        <v>12177</v>
      </c>
      <c r="E35" t="s">
        <v>12178</v>
      </c>
      <c r="F35" t="s">
        <v>140</v>
      </c>
    </row>
    <row r="36" spans="1:8">
      <c r="A36" t="s">
        <v>238</v>
      </c>
      <c r="B36" t="s">
        <v>166</v>
      </c>
      <c r="C36">
        <v>31</v>
      </c>
      <c r="D36" t="s">
        <v>1624</v>
      </c>
      <c r="F36" t="s">
        <v>1625</v>
      </c>
      <c r="G36" t="s">
        <v>1626</v>
      </c>
      <c r="H36" t="s">
        <v>1627</v>
      </c>
    </row>
    <row r="37" spans="1:8">
      <c r="A37" t="s">
        <v>241</v>
      </c>
      <c r="B37" t="s">
        <v>166</v>
      </c>
      <c r="C37">
        <v>31</v>
      </c>
      <c r="D37" t="s">
        <v>1628</v>
      </c>
      <c r="E37" t="s">
        <v>1629</v>
      </c>
      <c r="F37" t="s">
        <v>166</v>
      </c>
      <c r="H37" t="s">
        <v>1630</v>
      </c>
    </row>
    <row r="38" spans="1:8">
      <c r="A38" t="s">
        <v>241</v>
      </c>
      <c r="B38" t="s">
        <v>166</v>
      </c>
      <c r="C38">
        <v>31</v>
      </c>
      <c r="D38" t="s">
        <v>1631</v>
      </c>
      <c r="F38" t="s">
        <v>1632</v>
      </c>
      <c r="G38" t="s">
        <v>1633</v>
      </c>
    </row>
    <row r="39" spans="1:8">
      <c r="A39" t="s">
        <v>241</v>
      </c>
      <c r="B39" t="s">
        <v>166</v>
      </c>
      <c r="C39">
        <v>31</v>
      </c>
      <c r="D39" t="s">
        <v>1634</v>
      </c>
      <c r="E39" t="s">
        <v>1635</v>
      </c>
      <c r="F39" t="s">
        <v>1636</v>
      </c>
      <c r="H39" t="s">
        <v>1637</v>
      </c>
    </row>
    <row r="40" spans="1:8">
      <c r="A40" t="s">
        <v>241</v>
      </c>
      <c r="B40" t="s">
        <v>166</v>
      </c>
      <c r="C40">
        <v>31</v>
      </c>
      <c r="D40" t="s">
        <v>1638</v>
      </c>
      <c r="E40" t="s">
        <v>1639</v>
      </c>
      <c r="F40" t="s">
        <v>1640</v>
      </c>
      <c r="G40" t="s">
        <v>1641</v>
      </c>
      <c r="H40" t="s">
        <v>1642</v>
      </c>
    </row>
    <row r="41" spans="1:8">
      <c r="A41" t="s">
        <v>241</v>
      </c>
      <c r="B41" t="s">
        <v>166</v>
      </c>
      <c r="C41">
        <v>31</v>
      </c>
      <c r="D41" t="s">
        <v>1643</v>
      </c>
      <c r="F41" t="s">
        <v>1640</v>
      </c>
    </row>
    <row r="42" spans="1:8">
      <c r="A42" t="s">
        <v>241</v>
      </c>
      <c r="B42" t="s">
        <v>166</v>
      </c>
      <c r="C42">
        <v>31</v>
      </c>
      <c r="D42" t="s">
        <v>1644</v>
      </c>
      <c r="E42" t="s">
        <v>1645</v>
      </c>
      <c r="F42" t="s">
        <v>1646</v>
      </c>
      <c r="G42" t="s">
        <v>1647</v>
      </c>
      <c r="H42" t="s">
        <v>1648</v>
      </c>
    </row>
    <row r="43" spans="1:8">
      <c r="A43" t="s">
        <v>247</v>
      </c>
      <c r="B43" t="s">
        <v>166</v>
      </c>
      <c r="C43">
        <v>31</v>
      </c>
      <c r="D43" t="s">
        <v>1649</v>
      </c>
      <c r="E43" t="s">
        <v>1650</v>
      </c>
      <c r="F43" t="s">
        <v>1651</v>
      </c>
      <c r="G43" t="s">
        <v>1652</v>
      </c>
      <c r="H43" t="s">
        <v>1653</v>
      </c>
    </row>
    <row r="44" spans="1:8">
      <c r="A44" t="s">
        <v>240</v>
      </c>
      <c r="B44" t="s">
        <v>166</v>
      </c>
      <c r="C44">
        <v>31</v>
      </c>
      <c r="D44" t="s">
        <v>1654</v>
      </c>
      <c r="E44" t="s">
        <v>1655</v>
      </c>
      <c r="F44" t="s">
        <v>166</v>
      </c>
    </row>
    <row r="45" spans="1:8">
      <c r="A45" t="s">
        <v>241</v>
      </c>
      <c r="B45" t="s">
        <v>166</v>
      </c>
      <c r="C45">
        <v>31</v>
      </c>
      <c r="D45" t="s">
        <v>1656</v>
      </c>
      <c r="E45" t="s">
        <v>1657</v>
      </c>
      <c r="F45" t="s">
        <v>166</v>
      </c>
      <c r="H45" t="s">
        <v>1658</v>
      </c>
    </row>
    <row r="46" spans="1:8">
      <c r="A46" t="s">
        <v>240</v>
      </c>
      <c r="B46" t="s">
        <v>166</v>
      </c>
      <c r="C46">
        <v>31</v>
      </c>
      <c r="D46" t="s">
        <v>1659</v>
      </c>
      <c r="E46" t="s">
        <v>1660</v>
      </c>
      <c r="F46" t="s">
        <v>1651</v>
      </c>
      <c r="G46" t="s">
        <v>402</v>
      </c>
      <c r="H46" t="s">
        <v>1630</v>
      </c>
    </row>
    <row r="47" spans="1:8">
      <c r="A47" t="s">
        <v>241</v>
      </c>
      <c r="B47" t="s">
        <v>166</v>
      </c>
      <c r="C47">
        <v>31</v>
      </c>
      <c r="D47" t="s">
        <v>1661</v>
      </c>
      <c r="E47" t="s">
        <v>1662</v>
      </c>
      <c r="F47" t="s">
        <v>166</v>
      </c>
    </row>
    <row r="48" spans="1:8">
      <c r="A48" t="s">
        <v>247</v>
      </c>
      <c r="B48" t="s">
        <v>166</v>
      </c>
      <c r="C48">
        <v>31</v>
      </c>
      <c r="D48" t="s">
        <v>1663</v>
      </c>
      <c r="E48" t="s">
        <v>1664</v>
      </c>
      <c r="F48" t="s">
        <v>166</v>
      </c>
      <c r="G48" t="s">
        <v>402</v>
      </c>
      <c r="H48" t="s">
        <v>1665</v>
      </c>
    </row>
    <row r="49" spans="1:8">
      <c r="A49" t="s">
        <v>241</v>
      </c>
      <c r="B49" t="s">
        <v>166</v>
      </c>
      <c r="C49">
        <v>31</v>
      </c>
      <c r="D49" t="s">
        <v>1666</v>
      </c>
      <c r="E49" t="s">
        <v>1667</v>
      </c>
      <c r="F49" t="s">
        <v>166</v>
      </c>
      <c r="H49" t="s">
        <v>1668</v>
      </c>
    </row>
    <row r="50" spans="1:8">
      <c r="A50" t="s">
        <v>241</v>
      </c>
      <c r="B50" t="s">
        <v>166</v>
      </c>
      <c r="C50">
        <v>31</v>
      </c>
      <c r="D50" t="s">
        <v>1669</v>
      </c>
      <c r="E50" t="s">
        <v>1670</v>
      </c>
      <c r="F50" t="s">
        <v>166</v>
      </c>
      <c r="G50" t="s">
        <v>402</v>
      </c>
      <c r="H50" t="s">
        <v>1671</v>
      </c>
    </row>
    <row r="51" spans="1:8">
      <c r="A51" t="s">
        <v>240</v>
      </c>
      <c r="B51" t="s">
        <v>166</v>
      </c>
      <c r="C51">
        <v>31</v>
      </c>
      <c r="D51" t="s">
        <v>1672</v>
      </c>
      <c r="E51" t="s">
        <v>1673</v>
      </c>
      <c r="F51" t="s">
        <v>166</v>
      </c>
      <c r="G51" t="s">
        <v>1674</v>
      </c>
      <c r="H51" t="s">
        <v>1675</v>
      </c>
    </row>
    <row r="52" spans="1:8">
      <c r="A52" t="s">
        <v>241</v>
      </c>
      <c r="B52" t="s">
        <v>166</v>
      </c>
      <c r="C52">
        <v>31</v>
      </c>
      <c r="D52" t="s">
        <v>1676</v>
      </c>
      <c r="E52" t="s">
        <v>1677</v>
      </c>
      <c r="F52" t="s">
        <v>166</v>
      </c>
    </row>
    <row r="53" spans="1:8">
      <c r="A53" t="s">
        <v>241</v>
      </c>
      <c r="B53" t="s">
        <v>166</v>
      </c>
      <c r="C53">
        <v>31</v>
      </c>
      <c r="D53" t="s">
        <v>1678</v>
      </c>
      <c r="E53" t="s">
        <v>1679</v>
      </c>
      <c r="F53" t="s">
        <v>166</v>
      </c>
      <c r="G53" t="s">
        <v>1680</v>
      </c>
      <c r="H53" t="s">
        <v>1681</v>
      </c>
    </row>
    <row r="54" spans="1:8">
      <c r="A54" t="s">
        <v>241</v>
      </c>
      <c r="B54" t="s">
        <v>166</v>
      </c>
      <c r="C54">
        <v>31</v>
      </c>
      <c r="D54" t="s">
        <v>1682</v>
      </c>
      <c r="E54" t="s">
        <v>1683</v>
      </c>
      <c r="F54" t="s">
        <v>166</v>
      </c>
      <c r="G54" t="s">
        <v>1680</v>
      </c>
      <c r="H54" t="s">
        <v>1681</v>
      </c>
    </row>
    <row r="55" spans="1:8">
      <c r="A55" t="s">
        <v>241</v>
      </c>
      <c r="B55" t="s">
        <v>166</v>
      </c>
      <c r="C55">
        <v>31</v>
      </c>
      <c r="D55" t="s">
        <v>1684</v>
      </c>
      <c r="E55" t="s">
        <v>1679</v>
      </c>
      <c r="F55" t="s">
        <v>166</v>
      </c>
      <c r="G55" t="s">
        <v>1680</v>
      </c>
      <c r="H55" t="s">
        <v>1681</v>
      </c>
    </row>
    <row r="56" spans="1:8">
      <c r="A56" t="s">
        <v>241</v>
      </c>
      <c r="B56" t="s">
        <v>166</v>
      </c>
      <c r="C56">
        <v>31</v>
      </c>
      <c r="D56" t="s">
        <v>1685</v>
      </c>
      <c r="E56" t="s">
        <v>608</v>
      </c>
      <c r="F56" t="s">
        <v>166</v>
      </c>
      <c r="G56" t="s">
        <v>1686</v>
      </c>
      <c r="H56" t="s">
        <v>1658</v>
      </c>
    </row>
    <row r="57" spans="1:8">
      <c r="A57" t="s">
        <v>241</v>
      </c>
      <c r="B57" t="s">
        <v>166</v>
      </c>
      <c r="C57">
        <v>31</v>
      </c>
      <c r="D57" t="s">
        <v>1687</v>
      </c>
      <c r="E57" t="s">
        <v>1688</v>
      </c>
      <c r="F57" t="s">
        <v>166</v>
      </c>
    </row>
    <row r="58" spans="1:8">
      <c r="A58" t="s">
        <v>242</v>
      </c>
      <c r="B58" t="s">
        <v>168</v>
      </c>
      <c r="C58">
        <v>31</v>
      </c>
      <c r="D58" t="s">
        <v>3026</v>
      </c>
      <c r="E58" t="s">
        <v>3027</v>
      </c>
      <c r="F58" t="s">
        <v>168</v>
      </c>
      <c r="H58" t="s">
        <v>3028</v>
      </c>
    </row>
    <row r="59" spans="1:8">
      <c r="A59" t="s">
        <v>243</v>
      </c>
      <c r="B59" t="s">
        <v>168</v>
      </c>
      <c r="C59">
        <v>31</v>
      </c>
      <c r="D59" t="s">
        <v>3029</v>
      </c>
      <c r="E59" t="s">
        <v>3030</v>
      </c>
      <c r="F59" t="s">
        <v>168</v>
      </c>
      <c r="G59" t="s">
        <v>3031</v>
      </c>
      <c r="H59" t="s">
        <v>3032</v>
      </c>
    </row>
    <row r="60" spans="1:8">
      <c r="A60" t="s">
        <v>242</v>
      </c>
      <c r="B60" t="s">
        <v>168</v>
      </c>
      <c r="C60">
        <v>31</v>
      </c>
      <c r="D60" t="s">
        <v>3033</v>
      </c>
      <c r="E60" t="s">
        <v>3034</v>
      </c>
      <c r="F60" t="s">
        <v>168</v>
      </c>
      <c r="H60" t="s">
        <v>3035</v>
      </c>
    </row>
    <row r="61" spans="1:8">
      <c r="A61" t="s">
        <v>244</v>
      </c>
      <c r="B61" t="s">
        <v>168</v>
      </c>
      <c r="C61">
        <v>31</v>
      </c>
      <c r="D61" t="s">
        <v>1282</v>
      </c>
      <c r="E61" t="s">
        <v>3036</v>
      </c>
    </row>
    <row r="62" spans="1:8">
      <c r="A62" t="s">
        <v>242</v>
      </c>
      <c r="B62" t="s">
        <v>168</v>
      </c>
      <c r="C62">
        <v>31</v>
      </c>
      <c r="D62" t="s">
        <v>3037</v>
      </c>
      <c r="E62" t="s">
        <v>3038</v>
      </c>
      <c r="F62" t="s">
        <v>168</v>
      </c>
      <c r="G62" t="s">
        <v>3039</v>
      </c>
      <c r="H62" t="s">
        <v>3040</v>
      </c>
    </row>
    <row r="63" spans="1:8">
      <c r="A63" t="s">
        <v>243</v>
      </c>
      <c r="B63" t="s">
        <v>168</v>
      </c>
      <c r="C63">
        <v>31</v>
      </c>
      <c r="D63" t="s">
        <v>3041</v>
      </c>
      <c r="E63" t="s">
        <v>3042</v>
      </c>
      <c r="F63" t="s">
        <v>168</v>
      </c>
      <c r="H63" t="s">
        <v>3043</v>
      </c>
    </row>
    <row r="64" spans="1:8">
      <c r="A64" t="s">
        <v>242</v>
      </c>
      <c r="B64" t="s">
        <v>168</v>
      </c>
      <c r="C64">
        <v>31</v>
      </c>
      <c r="D64" t="s">
        <v>3044</v>
      </c>
      <c r="E64" t="s">
        <v>3045</v>
      </c>
      <c r="F64" t="s">
        <v>168</v>
      </c>
      <c r="G64" t="s">
        <v>3046</v>
      </c>
      <c r="H64" t="s">
        <v>3047</v>
      </c>
    </row>
    <row r="65" spans="1:8">
      <c r="A65" t="s">
        <v>241</v>
      </c>
      <c r="B65" t="s">
        <v>168</v>
      </c>
      <c r="C65">
        <v>31</v>
      </c>
      <c r="D65" t="s">
        <v>3048</v>
      </c>
      <c r="E65" t="s">
        <v>3049</v>
      </c>
      <c r="F65" t="s">
        <v>168</v>
      </c>
      <c r="G65" t="s">
        <v>3050</v>
      </c>
      <c r="H65" t="s">
        <v>3051</v>
      </c>
    </row>
    <row r="66" spans="1:8">
      <c r="A66" t="s">
        <v>242</v>
      </c>
      <c r="B66" t="s">
        <v>168</v>
      </c>
      <c r="C66">
        <v>31</v>
      </c>
      <c r="D66" t="s">
        <v>3052</v>
      </c>
      <c r="E66" t="s">
        <v>3053</v>
      </c>
      <c r="F66" t="s">
        <v>168</v>
      </c>
      <c r="G66" t="s">
        <v>3054</v>
      </c>
      <c r="H66" t="s">
        <v>3055</v>
      </c>
    </row>
    <row r="67" spans="1:8">
      <c r="A67" t="s">
        <v>243</v>
      </c>
      <c r="B67" t="s">
        <v>168</v>
      </c>
      <c r="C67">
        <v>31</v>
      </c>
      <c r="D67" t="s">
        <v>3056</v>
      </c>
      <c r="E67" t="s">
        <v>3057</v>
      </c>
      <c r="F67" t="s">
        <v>168</v>
      </c>
      <c r="H67" t="s">
        <v>3058</v>
      </c>
    </row>
    <row r="68" spans="1:8">
      <c r="A68" t="s">
        <v>242</v>
      </c>
      <c r="B68" t="s">
        <v>115</v>
      </c>
      <c r="C68">
        <v>31</v>
      </c>
      <c r="D68" t="s">
        <v>3369</v>
      </c>
      <c r="E68" t="s">
        <v>3370</v>
      </c>
      <c r="F68" t="s">
        <v>115</v>
      </c>
    </row>
    <row r="69" spans="1:8">
      <c r="A69" t="s">
        <v>249</v>
      </c>
      <c r="B69" t="s">
        <v>115</v>
      </c>
      <c r="C69">
        <v>31</v>
      </c>
      <c r="D69" t="s">
        <v>3371</v>
      </c>
      <c r="F69" t="s">
        <v>3372</v>
      </c>
      <c r="G69" t="s">
        <v>3373</v>
      </c>
      <c r="H69" t="s">
        <v>3374</v>
      </c>
    </row>
    <row r="70" spans="1:8">
      <c r="A70" t="s">
        <v>241</v>
      </c>
      <c r="B70" t="s">
        <v>115</v>
      </c>
      <c r="C70">
        <v>31</v>
      </c>
      <c r="D70" t="s">
        <v>3375</v>
      </c>
      <c r="E70" t="s">
        <v>3376</v>
      </c>
      <c r="H70" t="s">
        <v>3377</v>
      </c>
    </row>
    <row r="71" spans="1:8">
      <c r="A71" t="s">
        <v>241</v>
      </c>
      <c r="B71" t="s">
        <v>115</v>
      </c>
      <c r="C71">
        <v>31</v>
      </c>
      <c r="D71" t="s">
        <v>3378</v>
      </c>
      <c r="E71" t="s">
        <v>3379</v>
      </c>
      <c r="F71" t="s">
        <v>115</v>
      </c>
    </row>
    <row r="72" spans="1:8">
      <c r="A72" t="s">
        <v>244</v>
      </c>
      <c r="B72" t="s">
        <v>115</v>
      </c>
      <c r="C72">
        <v>31</v>
      </c>
      <c r="D72" t="s">
        <v>3380</v>
      </c>
      <c r="F72" t="s">
        <v>3381</v>
      </c>
      <c r="H72" t="s">
        <v>3382</v>
      </c>
    </row>
    <row r="73" spans="1:8">
      <c r="A73" t="s">
        <v>240</v>
      </c>
      <c r="B73" t="s">
        <v>115</v>
      </c>
      <c r="C73">
        <v>31</v>
      </c>
      <c r="D73" t="s">
        <v>3383</v>
      </c>
      <c r="E73" t="s">
        <v>3384</v>
      </c>
      <c r="F73" t="s">
        <v>115</v>
      </c>
    </row>
    <row r="74" spans="1:8">
      <c r="A74" t="s">
        <v>241</v>
      </c>
      <c r="B74" t="s">
        <v>115</v>
      </c>
      <c r="C74">
        <v>31</v>
      </c>
      <c r="D74" t="s">
        <v>3385</v>
      </c>
      <c r="E74" t="s">
        <v>3386</v>
      </c>
      <c r="F74" t="s">
        <v>115</v>
      </c>
    </row>
    <row r="75" spans="1:8">
      <c r="A75" t="s">
        <v>241</v>
      </c>
      <c r="B75" t="s">
        <v>115</v>
      </c>
      <c r="C75">
        <v>31</v>
      </c>
      <c r="D75" t="s">
        <v>3387</v>
      </c>
      <c r="E75" t="s">
        <v>3386</v>
      </c>
      <c r="F75" t="s">
        <v>115</v>
      </c>
      <c r="G75" t="s">
        <v>3388</v>
      </c>
      <c r="H75" t="s">
        <v>3389</v>
      </c>
    </row>
    <row r="76" spans="1:8">
      <c r="A76" t="s">
        <v>241</v>
      </c>
      <c r="B76" t="s">
        <v>115</v>
      </c>
      <c r="C76">
        <v>31</v>
      </c>
      <c r="D76" t="s">
        <v>3390</v>
      </c>
      <c r="E76" t="s">
        <v>3391</v>
      </c>
      <c r="F76" t="s">
        <v>3392</v>
      </c>
      <c r="H76" t="s">
        <v>3393</v>
      </c>
    </row>
    <row r="77" spans="1:8">
      <c r="A77" t="s">
        <v>240</v>
      </c>
      <c r="B77" t="s">
        <v>115</v>
      </c>
      <c r="C77">
        <v>31</v>
      </c>
      <c r="D77" t="s">
        <v>3394</v>
      </c>
      <c r="E77" t="s">
        <v>3395</v>
      </c>
      <c r="F77" t="s">
        <v>115</v>
      </c>
    </row>
    <row r="78" spans="1:8">
      <c r="A78" t="s">
        <v>246</v>
      </c>
      <c r="B78" t="s">
        <v>115</v>
      </c>
      <c r="C78">
        <v>31</v>
      </c>
      <c r="D78" t="s">
        <v>3396</v>
      </c>
      <c r="E78" t="s">
        <v>3397</v>
      </c>
      <c r="H78" t="s">
        <v>3398</v>
      </c>
    </row>
    <row r="79" spans="1:8">
      <c r="A79" t="s">
        <v>241</v>
      </c>
      <c r="B79" t="s">
        <v>115</v>
      </c>
      <c r="C79">
        <v>31</v>
      </c>
      <c r="D79" t="s">
        <v>3399</v>
      </c>
      <c r="E79" t="s">
        <v>3400</v>
      </c>
      <c r="F79" t="s">
        <v>95</v>
      </c>
    </row>
    <row r="80" spans="1:8">
      <c r="A80" t="s">
        <v>241</v>
      </c>
      <c r="B80" t="s">
        <v>2</v>
      </c>
      <c r="C80">
        <v>31</v>
      </c>
      <c r="D80" t="s">
        <v>18809</v>
      </c>
      <c r="E80" t="s">
        <v>18810</v>
      </c>
      <c r="F80" t="s">
        <v>2</v>
      </c>
      <c r="G80" t="s">
        <v>18811</v>
      </c>
      <c r="H80" t="s">
        <v>18812</v>
      </c>
    </row>
    <row r="81" spans="1:8">
      <c r="A81" t="s">
        <v>241</v>
      </c>
      <c r="B81" t="s">
        <v>2</v>
      </c>
      <c r="C81">
        <v>31</v>
      </c>
      <c r="D81" t="s">
        <v>18813</v>
      </c>
      <c r="E81" t="s">
        <v>18814</v>
      </c>
      <c r="F81" t="s">
        <v>18815</v>
      </c>
      <c r="G81" t="s">
        <v>18816</v>
      </c>
      <c r="H81" t="s">
        <v>18817</v>
      </c>
    </row>
    <row r="82" spans="1:8">
      <c r="A82" t="s">
        <v>242</v>
      </c>
      <c r="B82" t="s">
        <v>2</v>
      </c>
      <c r="C82">
        <v>31</v>
      </c>
      <c r="D82" t="s">
        <v>18818</v>
      </c>
      <c r="E82" t="s">
        <v>18819</v>
      </c>
      <c r="F82" t="s">
        <v>2</v>
      </c>
      <c r="H82" t="s">
        <v>18820</v>
      </c>
    </row>
    <row r="83" spans="1:8">
      <c r="A83" t="s">
        <v>243</v>
      </c>
      <c r="B83" t="s">
        <v>2</v>
      </c>
      <c r="C83">
        <v>31</v>
      </c>
      <c r="D83" t="s">
        <v>18821</v>
      </c>
      <c r="E83" t="s">
        <v>18822</v>
      </c>
      <c r="F83" t="s">
        <v>2</v>
      </c>
      <c r="H83" t="s">
        <v>18823</v>
      </c>
    </row>
    <row r="84" spans="1:8">
      <c r="A84" t="s">
        <v>241</v>
      </c>
      <c r="B84" t="s">
        <v>2</v>
      </c>
      <c r="C84">
        <v>31</v>
      </c>
      <c r="D84" t="s">
        <v>18824</v>
      </c>
      <c r="E84" t="s">
        <v>18825</v>
      </c>
      <c r="F84" t="s">
        <v>2</v>
      </c>
      <c r="H84" t="s">
        <v>18826</v>
      </c>
    </row>
    <row r="85" spans="1:8">
      <c r="A85" t="s">
        <v>241</v>
      </c>
      <c r="B85" t="s">
        <v>2</v>
      </c>
      <c r="C85">
        <v>31</v>
      </c>
      <c r="D85" t="s">
        <v>18827</v>
      </c>
      <c r="E85" t="s">
        <v>18828</v>
      </c>
      <c r="F85" t="s">
        <v>2</v>
      </c>
      <c r="H85" t="s">
        <v>18829</v>
      </c>
    </row>
    <row r="86" spans="1:8">
      <c r="A86" t="s">
        <v>242</v>
      </c>
      <c r="B86" t="s">
        <v>2</v>
      </c>
      <c r="C86">
        <v>31</v>
      </c>
      <c r="D86" t="s">
        <v>18830</v>
      </c>
      <c r="E86" t="s">
        <v>18831</v>
      </c>
      <c r="H86" t="s">
        <v>18832</v>
      </c>
    </row>
    <row r="87" spans="1:8">
      <c r="A87" t="s">
        <v>241</v>
      </c>
      <c r="B87" t="s">
        <v>2</v>
      </c>
      <c r="C87">
        <v>31</v>
      </c>
      <c r="D87" t="s">
        <v>18833</v>
      </c>
      <c r="E87" t="s">
        <v>18834</v>
      </c>
      <c r="H87" t="s">
        <v>18835</v>
      </c>
    </row>
    <row r="88" spans="1:8">
      <c r="A88" t="s">
        <v>241</v>
      </c>
      <c r="B88" t="s">
        <v>2</v>
      </c>
      <c r="C88">
        <v>31</v>
      </c>
      <c r="D88" t="s">
        <v>18836</v>
      </c>
      <c r="E88" t="s">
        <v>18837</v>
      </c>
      <c r="F88" t="s">
        <v>18838</v>
      </c>
      <c r="G88" t="s">
        <v>18839</v>
      </c>
      <c r="H88" t="s">
        <v>18840</v>
      </c>
    </row>
    <row r="89" spans="1:8">
      <c r="A89" t="s">
        <v>246</v>
      </c>
      <c r="B89" t="s">
        <v>2</v>
      </c>
      <c r="C89">
        <v>31</v>
      </c>
      <c r="D89" t="s">
        <v>18841</v>
      </c>
    </row>
    <row r="90" spans="1:8">
      <c r="A90" t="s">
        <v>241</v>
      </c>
      <c r="B90" t="s">
        <v>2</v>
      </c>
      <c r="C90">
        <v>31</v>
      </c>
      <c r="D90" t="s">
        <v>18842</v>
      </c>
      <c r="E90" t="s">
        <v>18843</v>
      </c>
      <c r="H90" t="s">
        <v>18844</v>
      </c>
    </row>
    <row r="91" spans="1:8">
      <c r="A91" t="s">
        <v>241</v>
      </c>
      <c r="B91" t="s">
        <v>2</v>
      </c>
      <c r="C91">
        <v>31</v>
      </c>
      <c r="D91" t="s">
        <v>18845</v>
      </c>
      <c r="E91" t="s">
        <v>18846</v>
      </c>
      <c r="F91" t="s">
        <v>4930</v>
      </c>
      <c r="G91" t="s">
        <v>18847</v>
      </c>
      <c r="H91" t="s">
        <v>18848</v>
      </c>
    </row>
    <row r="92" spans="1:8">
      <c r="A92" t="s">
        <v>241</v>
      </c>
      <c r="B92" t="s">
        <v>2</v>
      </c>
      <c r="C92">
        <v>31</v>
      </c>
      <c r="D92" t="s">
        <v>18849</v>
      </c>
      <c r="E92" t="s">
        <v>18850</v>
      </c>
      <c r="G92" t="s">
        <v>18851</v>
      </c>
      <c r="H92" t="s">
        <v>18852</v>
      </c>
    </row>
    <row r="93" spans="1:8">
      <c r="A93" t="s">
        <v>242</v>
      </c>
      <c r="B93" t="s">
        <v>2</v>
      </c>
      <c r="C93">
        <v>31</v>
      </c>
      <c r="D93" t="s">
        <v>18853</v>
      </c>
      <c r="E93" t="s">
        <v>18854</v>
      </c>
      <c r="F93" t="s">
        <v>2</v>
      </c>
      <c r="H93" t="s">
        <v>18855</v>
      </c>
    </row>
    <row r="94" spans="1:8">
      <c r="A94" t="s">
        <v>241</v>
      </c>
      <c r="B94" t="s">
        <v>2</v>
      </c>
      <c r="C94">
        <v>31</v>
      </c>
      <c r="D94" t="s">
        <v>18856</v>
      </c>
      <c r="E94" t="s">
        <v>18857</v>
      </c>
      <c r="F94" t="s">
        <v>2</v>
      </c>
      <c r="G94" t="s">
        <v>18858</v>
      </c>
      <c r="H94" t="s">
        <v>5351</v>
      </c>
    </row>
    <row r="95" spans="1:8">
      <c r="A95" t="s">
        <v>241</v>
      </c>
      <c r="B95" t="s">
        <v>2</v>
      </c>
      <c r="C95">
        <v>31</v>
      </c>
      <c r="D95" t="s">
        <v>18859</v>
      </c>
      <c r="E95" t="s">
        <v>18860</v>
      </c>
      <c r="F95" t="s">
        <v>18861</v>
      </c>
      <c r="H95" t="s">
        <v>18862</v>
      </c>
    </row>
    <row r="96" spans="1:8">
      <c r="A96" t="s">
        <v>241</v>
      </c>
      <c r="B96" t="s">
        <v>2</v>
      </c>
      <c r="C96">
        <v>31</v>
      </c>
      <c r="D96" t="s">
        <v>18863</v>
      </c>
      <c r="E96" t="s">
        <v>18864</v>
      </c>
      <c r="F96" t="s">
        <v>2</v>
      </c>
    </row>
    <row r="97" spans="1:8">
      <c r="A97" t="s">
        <v>246</v>
      </c>
      <c r="B97" t="s">
        <v>2</v>
      </c>
      <c r="C97">
        <v>31</v>
      </c>
      <c r="D97" t="s">
        <v>18865</v>
      </c>
      <c r="H97" t="s">
        <v>18866</v>
      </c>
    </row>
    <row r="98" spans="1:8">
      <c r="A98" t="s">
        <v>241</v>
      </c>
      <c r="B98" t="s">
        <v>2</v>
      </c>
      <c r="C98">
        <v>31</v>
      </c>
      <c r="D98" t="s">
        <v>18867</v>
      </c>
      <c r="E98" t="s">
        <v>18868</v>
      </c>
      <c r="F98" t="s">
        <v>18869</v>
      </c>
      <c r="G98" t="s">
        <v>18870</v>
      </c>
      <c r="H98" t="s">
        <v>18871</v>
      </c>
    </row>
    <row r="99" spans="1:8">
      <c r="A99" t="s">
        <v>240</v>
      </c>
      <c r="B99" t="s">
        <v>2</v>
      </c>
      <c r="C99">
        <v>31</v>
      </c>
      <c r="D99" t="s">
        <v>18872</v>
      </c>
      <c r="E99" t="s">
        <v>18873</v>
      </c>
      <c r="F99" t="s">
        <v>2</v>
      </c>
      <c r="G99" t="s">
        <v>18874</v>
      </c>
      <c r="H99" t="s">
        <v>18875</v>
      </c>
    </row>
    <row r="100" spans="1:8">
      <c r="A100" t="s">
        <v>240</v>
      </c>
      <c r="B100" t="s">
        <v>2</v>
      </c>
      <c r="C100">
        <v>31</v>
      </c>
      <c r="D100" t="s">
        <v>18876</v>
      </c>
      <c r="E100" t="s">
        <v>18877</v>
      </c>
      <c r="F100" t="s">
        <v>2</v>
      </c>
      <c r="G100" t="s">
        <v>18874</v>
      </c>
      <c r="H100" t="s">
        <v>18878</v>
      </c>
    </row>
    <row r="101" spans="1:8">
      <c r="A101" t="s">
        <v>242</v>
      </c>
      <c r="B101" t="s">
        <v>2</v>
      </c>
      <c r="C101">
        <v>31</v>
      </c>
      <c r="D101" t="s">
        <v>18879</v>
      </c>
      <c r="E101" t="s">
        <v>18880</v>
      </c>
      <c r="F101" t="s">
        <v>2</v>
      </c>
      <c r="H101" t="s">
        <v>18881</v>
      </c>
    </row>
    <row r="102" spans="1:8">
      <c r="A102" t="s">
        <v>241</v>
      </c>
      <c r="B102" t="s">
        <v>2</v>
      </c>
      <c r="C102">
        <v>31</v>
      </c>
      <c r="D102" t="s">
        <v>18882</v>
      </c>
      <c r="E102" t="s">
        <v>18883</v>
      </c>
      <c r="F102" t="s">
        <v>18884</v>
      </c>
      <c r="G102" t="s">
        <v>18885</v>
      </c>
      <c r="H102" t="s">
        <v>18886</v>
      </c>
    </row>
    <row r="103" spans="1:8">
      <c r="A103" t="s">
        <v>241</v>
      </c>
      <c r="B103" t="s">
        <v>2</v>
      </c>
      <c r="C103">
        <v>31</v>
      </c>
      <c r="D103" t="s">
        <v>18887</v>
      </c>
      <c r="E103" t="s">
        <v>18888</v>
      </c>
      <c r="F103" t="s">
        <v>2</v>
      </c>
      <c r="H103" t="s">
        <v>18889</v>
      </c>
    </row>
    <row r="104" spans="1:8">
      <c r="A104" t="s">
        <v>242</v>
      </c>
      <c r="B104" t="s">
        <v>2</v>
      </c>
      <c r="C104">
        <v>31</v>
      </c>
      <c r="D104" t="s">
        <v>18890</v>
      </c>
      <c r="E104" t="s">
        <v>18891</v>
      </c>
      <c r="F104" t="s">
        <v>2</v>
      </c>
      <c r="H104" t="s">
        <v>18892</v>
      </c>
    </row>
    <row r="105" spans="1:8">
      <c r="A105" t="s">
        <v>242</v>
      </c>
      <c r="B105" t="s">
        <v>2</v>
      </c>
      <c r="C105">
        <v>31</v>
      </c>
      <c r="D105" t="s">
        <v>18893</v>
      </c>
      <c r="E105" t="s">
        <v>18894</v>
      </c>
      <c r="F105" t="s">
        <v>2</v>
      </c>
      <c r="G105" t="s">
        <v>18895</v>
      </c>
      <c r="H105" t="s">
        <v>18896</v>
      </c>
    </row>
    <row r="106" spans="1:8">
      <c r="A106" t="s">
        <v>242</v>
      </c>
      <c r="B106" t="s">
        <v>2</v>
      </c>
      <c r="C106">
        <v>31</v>
      </c>
      <c r="D106" t="s">
        <v>18897</v>
      </c>
      <c r="E106" t="s">
        <v>18898</v>
      </c>
      <c r="F106" t="s">
        <v>2</v>
      </c>
      <c r="H106" t="s">
        <v>18899</v>
      </c>
    </row>
    <row r="107" spans="1:8">
      <c r="A107" t="s">
        <v>242</v>
      </c>
      <c r="B107" t="s">
        <v>2</v>
      </c>
      <c r="C107">
        <v>31</v>
      </c>
      <c r="D107" t="s">
        <v>18900</v>
      </c>
      <c r="E107" t="s">
        <v>18901</v>
      </c>
      <c r="F107" t="s">
        <v>18902</v>
      </c>
      <c r="G107" t="s">
        <v>18903</v>
      </c>
      <c r="H107" t="s">
        <v>18904</v>
      </c>
    </row>
    <row r="108" spans="1:8">
      <c r="A108" t="s">
        <v>242</v>
      </c>
      <c r="B108" t="s">
        <v>2</v>
      </c>
      <c r="C108">
        <v>31</v>
      </c>
      <c r="D108" t="s">
        <v>18905</v>
      </c>
      <c r="E108" t="s">
        <v>18906</v>
      </c>
      <c r="F108" t="s">
        <v>2</v>
      </c>
      <c r="G108" t="s">
        <v>18907</v>
      </c>
      <c r="H108" t="s">
        <v>18908</v>
      </c>
    </row>
    <row r="109" spans="1:8">
      <c r="A109" t="s">
        <v>238</v>
      </c>
      <c r="B109" t="s">
        <v>2</v>
      </c>
      <c r="C109">
        <v>31</v>
      </c>
      <c r="D109" t="s">
        <v>18909</v>
      </c>
      <c r="E109" t="s">
        <v>18910</v>
      </c>
      <c r="F109" t="s">
        <v>2</v>
      </c>
      <c r="G109" t="s">
        <v>18911</v>
      </c>
      <c r="H109" t="s">
        <v>18912</v>
      </c>
    </row>
    <row r="110" spans="1:8">
      <c r="A110" t="s">
        <v>240</v>
      </c>
      <c r="B110" t="s">
        <v>2</v>
      </c>
      <c r="C110">
        <v>31</v>
      </c>
      <c r="D110" t="s">
        <v>18913</v>
      </c>
      <c r="E110" t="s">
        <v>18914</v>
      </c>
      <c r="F110" t="s">
        <v>2</v>
      </c>
      <c r="G110" t="s">
        <v>18915</v>
      </c>
      <c r="H110" t="s">
        <v>18916</v>
      </c>
    </row>
    <row r="111" spans="1:8">
      <c r="A111" t="s">
        <v>240</v>
      </c>
      <c r="B111" t="s">
        <v>2</v>
      </c>
      <c r="C111">
        <v>31</v>
      </c>
      <c r="D111" t="s">
        <v>6826</v>
      </c>
      <c r="E111" t="s">
        <v>18917</v>
      </c>
      <c r="F111" t="s">
        <v>2</v>
      </c>
      <c r="G111" t="s">
        <v>18918</v>
      </c>
      <c r="H111" t="s">
        <v>18919</v>
      </c>
    </row>
    <row r="112" spans="1:8">
      <c r="A112" t="s">
        <v>240</v>
      </c>
      <c r="B112" t="s">
        <v>2</v>
      </c>
      <c r="C112">
        <v>31</v>
      </c>
      <c r="D112" t="s">
        <v>18920</v>
      </c>
      <c r="E112" t="s">
        <v>18921</v>
      </c>
      <c r="F112" t="s">
        <v>2</v>
      </c>
      <c r="G112" t="s">
        <v>18922</v>
      </c>
      <c r="H112" t="s">
        <v>18923</v>
      </c>
    </row>
    <row r="113" spans="1:8">
      <c r="A113" t="s">
        <v>240</v>
      </c>
      <c r="B113" t="s">
        <v>2</v>
      </c>
      <c r="C113">
        <v>31</v>
      </c>
      <c r="D113" t="s">
        <v>18924</v>
      </c>
      <c r="E113" t="s">
        <v>18925</v>
      </c>
      <c r="F113" t="s">
        <v>2</v>
      </c>
      <c r="G113" t="s">
        <v>18926</v>
      </c>
      <c r="H113" t="s">
        <v>18927</v>
      </c>
    </row>
    <row r="114" spans="1:8">
      <c r="A114" t="s">
        <v>240</v>
      </c>
      <c r="B114" t="s">
        <v>2</v>
      </c>
      <c r="C114">
        <v>31</v>
      </c>
      <c r="D114" t="s">
        <v>18928</v>
      </c>
      <c r="E114" t="s">
        <v>18929</v>
      </c>
      <c r="F114" t="s">
        <v>2</v>
      </c>
      <c r="G114" t="s">
        <v>18930</v>
      </c>
      <c r="H114" t="s">
        <v>18931</v>
      </c>
    </row>
    <row r="115" spans="1:8">
      <c r="A115" t="s">
        <v>240</v>
      </c>
      <c r="B115" t="s">
        <v>2</v>
      </c>
      <c r="C115">
        <v>31</v>
      </c>
      <c r="D115" t="s">
        <v>9436</v>
      </c>
      <c r="E115" t="s">
        <v>18932</v>
      </c>
      <c r="F115" t="s">
        <v>2</v>
      </c>
      <c r="G115" t="s">
        <v>18933</v>
      </c>
      <c r="H115" t="s">
        <v>18934</v>
      </c>
    </row>
    <row r="116" spans="1:8">
      <c r="A116" t="s">
        <v>240</v>
      </c>
      <c r="B116" t="s">
        <v>2</v>
      </c>
      <c r="C116">
        <v>31</v>
      </c>
      <c r="D116" t="s">
        <v>909</v>
      </c>
      <c r="E116" t="s">
        <v>18935</v>
      </c>
      <c r="F116" t="s">
        <v>2</v>
      </c>
      <c r="G116" t="s">
        <v>18936</v>
      </c>
      <c r="H116" t="s">
        <v>18937</v>
      </c>
    </row>
    <row r="117" spans="1:8">
      <c r="A117" t="s">
        <v>240</v>
      </c>
      <c r="B117" t="s">
        <v>2</v>
      </c>
      <c r="C117">
        <v>31</v>
      </c>
      <c r="D117" t="s">
        <v>18893</v>
      </c>
      <c r="E117" t="s">
        <v>18938</v>
      </c>
      <c r="F117" t="s">
        <v>2</v>
      </c>
      <c r="G117" t="s">
        <v>18874</v>
      </c>
      <c r="H117" t="s">
        <v>18939</v>
      </c>
    </row>
    <row r="118" spans="1:8">
      <c r="A118" t="s">
        <v>243</v>
      </c>
      <c r="B118" t="s">
        <v>2</v>
      </c>
      <c r="C118">
        <v>31</v>
      </c>
      <c r="D118" t="s">
        <v>18940</v>
      </c>
      <c r="E118" t="s">
        <v>18941</v>
      </c>
      <c r="F118" t="s">
        <v>2</v>
      </c>
      <c r="G118" t="s">
        <v>18942</v>
      </c>
      <c r="H118" t="s">
        <v>18943</v>
      </c>
    </row>
    <row r="119" spans="1:8">
      <c r="A119" t="s">
        <v>241</v>
      </c>
      <c r="B119" t="s">
        <v>2</v>
      </c>
      <c r="C119">
        <v>31</v>
      </c>
      <c r="D119" t="s">
        <v>18944</v>
      </c>
      <c r="E119" t="s">
        <v>18945</v>
      </c>
      <c r="F119" t="s">
        <v>2</v>
      </c>
      <c r="H119" t="s">
        <v>18946</v>
      </c>
    </row>
    <row r="120" spans="1:8">
      <c r="A120" t="s">
        <v>238</v>
      </c>
      <c r="B120" t="s">
        <v>2</v>
      </c>
      <c r="C120">
        <v>31</v>
      </c>
      <c r="D120" t="s">
        <v>18947</v>
      </c>
      <c r="E120" t="s">
        <v>18948</v>
      </c>
      <c r="F120" t="s">
        <v>2</v>
      </c>
      <c r="G120" t="s">
        <v>18949</v>
      </c>
      <c r="H120" t="s">
        <v>18950</v>
      </c>
    </row>
    <row r="121" spans="1:8">
      <c r="A121" t="s">
        <v>241</v>
      </c>
      <c r="B121" t="s">
        <v>2</v>
      </c>
      <c r="C121">
        <v>31</v>
      </c>
      <c r="D121" t="s">
        <v>5486</v>
      </c>
      <c r="E121" t="s">
        <v>18951</v>
      </c>
      <c r="F121" t="s">
        <v>2</v>
      </c>
      <c r="H121" t="s">
        <v>18952</v>
      </c>
    </row>
    <row r="122" spans="1:8">
      <c r="A122" t="s">
        <v>239</v>
      </c>
      <c r="B122" t="s">
        <v>2</v>
      </c>
      <c r="C122">
        <v>31</v>
      </c>
      <c r="D122" t="s">
        <v>18953</v>
      </c>
      <c r="E122" t="s">
        <v>18954</v>
      </c>
      <c r="H122" t="s">
        <v>18955</v>
      </c>
    </row>
    <row r="123" spans="1:8">
      <c r="A123" t="s">
        <v>241</v>
      </c>
      <c r="B123" t="s">
        <v>2</v>
      </c>
      <c r="C123">
        <v>31</v>
      </c>
      <c r="D123" t="s">
        <v>18956</v>
      </c>
      <c r="E123" t="s">
        <v>18957</v>
      </c>
      <c r="G123" t="s">
        <v>18958</v>
      </c>
      <c r="H123" t="s">
        <v>18959</v>
      </c>
    </row>
    <row r="124" spans="1:8">
      <c r="A124" t="s">
        <v>241</v>
      </c>
      <c r="B124" t="s">
        <v>2</v>
      </c>
      <c r="C124">
        <v>31</v>
      </c>
      <c r="D124" t="s">
        <v>18960</v>
      </c>
      <c r="E124" t="s">
        <v>18961</v>
      </c>
      <c r="H124" t="s">
        <v>18962</v>
      </c>
    </row>
    <row r="125" spans="1:8">
      <c r="A125" t="s">
        <v>240</v>
      </c>
      <c r="B125" t="s">
        <v>2</v>
      </c>
      <c r="C125">
        <v>31</v>
      </c>
      <c r="D125" t="s">
        <v>18963</v>
      </c>
      <c r="E125" t="s">
        <v>18964</v>
      </c>
      <c r="F125" t="s">
        <v>2</v>
      </c>
      <c r="G125" t="s">
        <v>18965</v>
      </c>
      <c r="H125" t="s">
        <v>18966</v>
      </c>
    </row>
    <row r="126" spans="1:8">
      <c r="A126" t="s">
        <v>239</v>
      </c>
      <c r="B126" t="s">
        <v>2</v>
      </c>
      <c r="C126">
        <v>31</v>
      </c>
      <c r="D126" t="s">
        <v>18967</v>
      </c>
      <c r="E126" t="s">
        <v>18968</v>
      </c>
    </row>
    <row r="127" spans="1:8">
      <c r="A127" t="s">
        <v>241</v>
      </c>
      <c r="B127" t="s">
        <v>2</v>
      </c>
      <c r="C127">
        <v>31</v>
      </c>
      <c r="D127" t="s">
        <v>18969</v>
      </c>
      <c r="E127" t="s">
        <v>18970</v>
      </c>
      <c r="H127" t="s">
        <v>18971</v>
      </c>
    </row>
    <row r="128" spans="1:8">
      <c r="A128" t="s">
        <v>241</v>
      </c>
      <c r="B128" t="s">
        <v>2</v>
      </c>
      <c r="C128">
        <v>31</v>
      </c>
      <c r="D128" t="s">
        <v>18972</v>
      </c>
      <c r="E128" t="s">
        <v>18973</v>
      </c>
      <c r="H128" t="s">
        <v>18974</v>
      </c>
    </row>
    <row r="129" spans="1:8">
      <c r="A129" t="s">
        <v>241</v>
      </c>
      <c r="B129" t="s">
        <v>2</v>
      </c>
      <c r="C129">
        <v>31</v>
      </c>
      <c r="D129" t="s">
        <v>3850</v>
      </c>
      <c r="E129" t="s">
        <v>18975</v>
      </c>
      <c r="F129" t="s">
        <v>18976</v>
      </c>
      <c r="H129" t="s">
        <v>18977</v>
      </c>
    </row>
    <row r="130" spans="1:8">
      <c r="A130" t="s">
        <v>242</v>
      </c>
      <c r="B130" t="s">
        <v>2</v>
      </c>
      <c r="C130">
        <v>31</v>
      </c>
      <c r="D130" t="s">
        <v>18978</v>
      </c>
      <c r="E130" t="s">
        <v>18979</v>
      </c>
      <c r="G130" t="s">
        <v>18980</v>
      </c>
      <c r="H130" t="s">
        <v>18981</v>
      </c>
    </row>
    <row r="131" spans="1:8">
      <c r="A131" t="s">
        <v>241</v>
      </c>
      <c r="B131" t="s">
        <v>2</v>
      </c>
      <c r="C131">
        <v>31</v>
      </c>
      <c r="D131" t="s">
        <v>18982</v>
      </c>
      <c r="E131" t="s">
        <v>18983</v>
      </c>
      <c r="F131" t="s">
        <v>18984</v>
      </c>
      <c r="H131" t="s">
        <v>18985</v>
      </c>
    </row>
    <row r="132" spans="1:8">
      <c r="A132" t="s">
        <v>241</v>
      </c>
      <c r="B132" t="s">
        <v>2</v>
      </c>
      <c r="C132">
        <v>31</v>
      </c>
      <c r="D132" t="s">
        <v>18986</v>
      </c>
      <c r="E132" t="s">
        <v>18987</v>
      </c>
      <c r="H132" t="s">
        <v>18988</v>
      </c>
    </row>
    <row r="133" spans="1:8">
      <c r="A133" t="s">
        <v>241</v>
      </c>
      <c r="B133" t="s">
        <v>2</v>
      </c>
      <c r="C133">
        <v>31</v>
      </c>
      <c r="D133" t="s">
        <v>18989</v>
      </c>
      <c r="E133" t="s">
        <v>18990</v>
      </c>
      <c r="F133" t="s">
        <v>18991</v>
      </c>
      <c r="H133" t="s">
        <v>18992</v>
      </c>
    </row>
    <row r="134" spans="1:8">
      <c r="A134" t="s">
        <v>242</v>
      </c>
      <c r="B134" t="s">
        <v>2</v>
      </c>
      <c r="C134">
        <v>31</v>
      </c>
      <c r="D134" t="s">
        <v>18993</v>
      </c>
      <c r="E134" t="s">
        <v>18994</v>
      </c>
      <c r="F134" t="s">
        <v>2</v>
      </c>
      <c r="G134" t="s">
        <v>18995</v>
      </c>
      <c r="H134" t="s">
        <v>18996</v>
      </c>
    </row>
    <row r="135" spans="1:8">
      <c r="A135" t="s">
        <v>241</v>
      </c>
      <c r="B135" t="s">
        <v>2</v>
      </c>
      <c r="C135">
        <v>31</v>
      </c>
      <c r="D135" t="s">
        <v>18997</v>
      </c>
      <c r="E135" t="s">
        <v>18998</v>
      </c>
      <c r="F135" t="s">
        <v>18999</v>
      </c>
      <c r="G135" t="s">
        <v>19000</v>
      </c>
      <c r="H135" t="s">
        <v>19001</v>
      </c>
    </row>
    <row r="136" spans="1:8">
      <c r="A136" t="s">
        <v>239</v>
      </c>
      <c r="B136" t="s">
        <v>2</v>
      </c>
      <c r="C136">
        <v>31</v>
      </c>
      <c r="D136" t="s">
        <v>19002</v>
      </c>
      <c r="E136" t="s">
        <v>19003</v>
      </c>
      <c r="G136" t="s">
        <v>19004</v>
      </c>
      <c r="H136" t="s">
        <v>19005</v>
      </c>
    </row>
    <row r="137" spans="1:8">
      <c r="A137" t="s">
        <v>241</v>
      </c>
      <c r="B137" t="s">
        <v>2</v>
      </c>
      <c r="C137">
        <v>31</v>
      </c>
      <c r="D137" t="s">
        <v>19006</v>
      </c>
      <c r="E137" t="s">
        <v>19007</v>
      </c>
      <c r="F137" t="s">
        <v>19008</v>
      </c>
      <c r="H137" t="s">
        <v>19009</v>
      </c>
    </row>
    <row r="138" spans="1:8">
      <c r="A138" t="s">
        <v>239</v>
      </c>
      <c r="B138" t="s">
        <v>2</v>
      </c>
      <c r="C138">
        <v>31</v>
      </c>
      <c r="D138" t="s">
        <v>19010</v>
      </c>
      <c r="E138" t="s">
        <v>19011</v>
      </c>
      <c r="G138" t="s">
        <v>19012</v>
      </c>
      <c r="H138" t="s">
        <v>19013</v>
      </c>
    </row>
    <row r="139" spans="1:8">
      <c r="A139" t="s">
        <v>239</v>
      </c>
      <c r="B139" t="s">
        <v>2</v>
      </c>
      <c r="C139">
        <v>31</v>
      </c>
      <c r="D139" t="s">
        <v>19014</v>
      </c>
      <c r="E139" t="s">
        <v>19015</v>
      </c>
      <c r="H139" t="s">
        <v>18955</v>
      </c>
    </row>
    <row r="140" spans="1:8">
      <c r="A140" t="s">
        <v>241</v>
      </c>
      <c r="B140" t="s">
        <v>2</v>
      </c>
      <c r="C140">
        <v>31</v>
      </c>
      <c r="D140" t="s">
        <v>19016</v>
      </c>
      <c r="E140" t="s">
        <v>19017</v>
      </c>
      <c r="F140" t="s">
        <v>2</v>
      </c>
      <c r="G140" t="s">
        <v>19018</v>
      </c>
      <c r="H140" t="s">
        <v>19019</v>
      </c>
    </row>
    <row r="141" spans="1:8">
      <c r="A141" t="s">
        <v>241</v>
      </c>
      <c r="B141" t="s">
        <v>2</v>
      </c>
      <c r="C141">
        <v>31</v>
      </c>
      <c r="D141" t="s">
        <v>19020</v>
      </c>
      <c r="E141" t="s">
        <v>19021</v>
      </c>
      <c r="F141" t="s">
        <v>19022</v>
      </c>
      <c r="G141" t="s">
        <v>19023</v>
      </c>
      <c r="H141" t="s">
        <v>19024</v>
      </c>
    </row>
    <row r="142" spans="1:8">
      <c r="A142" t="s">
        <v>241</v>
      </c>
      <c r="B142" t="s">
        <v>2</v>
      </c>
      <c r="C142">
        <v>31</v>
      </c>
      <c r="D142" t="s">
        <v>19025</v>
      </c>
      <c r="E142" t="s">
        <v>19026</v>
      </c>
      <c r="H142" t="s">
        <v>19027</v>
      </c>
    </row>
    <row r="143" spans="1:8">
      <c r="A143" t="s">
        <v>241</v>
      </c>
      <c r="B143" t="s">
        <v>2</v>
      </c>
      <c r="C143">
        <v>31</v>
      </c>
      <c r="D143" t="s">
        <v>9636</v>
      </c>
      <c r="E143" t="s">
        <v>19028</v>
      </c>
      <c r="F143" t="s">
        <v>2</v>
      </c>
      <c r="G143" t="s">
        <v>19029</v>
      </c>
      <c r="H143" t="s">
        <v>19030</v>
      </c>
    </row>
    <row r="144" spans="1:8">
      <c r="A144" t="s">
        <v>241</v>
      </c>
      <c r="B144" t="s">
        <v>2</v>
      </c>
      <c r="C144">
        <v>31</v>
      </c>
      <c r="D144" t="s">
        <v>19031</v>
      </c>
      <c r="E144" t="s">
        <v>18891</v>
      </c>
      <c r="F144" t="s">
        <v>2</v>
      </c>
      <c r="H144" t="s">
        <v>19032</v>
      </c>
    </row>
    <row r="145" spans="1:8">
      <c r="A145" t="s">
        <v>242</v>
      </c>
      <c r="B145" t="s">
        <v>2</v>
      </c>
      <c r="C145">
        <v>31</v>
      </c>
      <c r="D145" t="s">
        <v>19033</v>
      </c>
      <c r="E145" t="s">
        <v>19034</v>
      </c>
      <c r="F145" t="s">
        <v>19035</v>
      </c>
      <c r="H145" t="s">
        <v>19036</v>
      </c>
    </row>
    <row r="146" spans="1:8">
      <c r="A146" t="s">
        <v>242</v>
      </c>
      <c r="B146" t="s">
        <v>2</v>
      </c>
      <c r="C146">
        <v>31</v>
      </c>
      <c r="D146" t="s">
        <v>19037</v>
      </c>
      <c r="E146" t="s">
        <v>19038</v>
      </c>
      <c r="F146" t="s">
        <v>2</v>
      </c>
      <c r="H146" t="s">
        <v>19039</v>
      </c>
    </row>
    <row r="147" spans="1:8">
      <c r="A147" t="s">
        <v>241</v>
      </c>
      <c r="B147" t="s">
        <v>2</v>
      </c>
      <c r="C147">
        <v>31</v>
      </c>
      <c r="D147" t="s">
        <v>19040</v>
      </c>
      <c r="E147" t="s">
        <v>19041</v>
      </c>
      <c r="F147" t="s">
        <v>2</v>
      </c>
      <c r="G147" t="s">
        <v>19042</v>
      </c>
      <c r="H147" t="s">
        <v>19043</v>
      </c>
    </row>
    <row r="148" spans="1:8">
      <c r="A148" t="s">
        <v>241</v>
      </c>
      <c r="B148" t="s">
        <v>2</v>
      </c>
      <c r="C148">
        <v>31</v>
      </c>
      <c r="D148" t="s">
        <v>19044</v>
      </c>
      <c r="E148" t="s">
        <v>19045</v>
      </c>
      <c r="F148" t="s">
        <v>2</v>
      </c>
      <c r="G148" t="s">
        <v>19046</v>
      </c>
      <c r="H148" t="s">
        <v>19047</v>
      </c>
    </row>
    <row r="149" spans="1:8">
      <c r="A149" t="s">
        <v>241</v>
      </c>
      <c r="B149" t="s">
        <v>2</v>
      </c>
      <c r="C149">
        <v>31</v>
      </c>
      <c r="D149" t="s">
        <v>19048</v>
      </c>
      <c r="E149" t="s">
        <v>19049</v>
      </c>
      <c r="F149" t="s">
        <v>2</v>
      </c>
      <c r="G149" t="s">
        <v>19050</v>
      </c>
      <c r="H149" t="s">
        <v>19051</v>
      </c>
    </row>
    <row r="150" spans="1:8">
      <c r="A150" t="s">
        <v>241</v>
      </c>
      <c r="B150" t="s">
        <v>2</v>
      </c>
      <c r="C150">
        <v>31</v>
      </c>
      <c r="D150" t="s">
        <v>19052</v>
      </c>
      <c r="E150" t="s">
        <v>19053</v>
      </c>
      <c r="F150" t="s">
        <v>2</v>
      </c>
      <c r="G150" t="s">
        <v>18922</v>
      </c>
      <c r="H150" t="s">
        <v>18923</v>
      </c>
    </row>
    <row r="151" spans="1:8">
      <c r="A151" t="s">
        <v>238</v>
      </c>
      <c r="B151" t="s">
        <v>2</v>
      </c>
      <c r="C151">
        <v>31</v>
      </c>
      <c r="D151" t="s">
        <v>19054</v>
      </c>
      <c r="E151" t="s">
        <v>18810</v>
      </c>
      <c r="F151" t="s">
        <v>2</v>
      </c>
      <c r="G151" t="s">
        <v>19055</v>
      </c>
      <c r="H151" t="s">
        <v>18812</v>
      </c>
    </row>
    <row r="152" spans="1:8">
      <c r="A152" t="s">
        <v>241</v>
      </c>
      <c r="B152" t="s">
        <v>2</v>
      </c>
      <c r="C152">
        <v>31</v>
      </c>
      <c r="D152" t="s">
        <v>19056</v>
      </c>
      <c r="E152" t="s">
        <v>19057</v>
      </c>
      <c r="F152" t="s">
        <v>2</v>
      </c>
    </row>
    <row r="153" spans="1:8">
      <c r="A153" t="s">
        <v>241</v>
      </c>
      <c r="B153" t="s">
        <v>2</v>
      </c>
      <c r="C153">
        <v>31</v>
      </c>
      <c r="D153" t="s">
        <v>19058</v>
      </c>
      <c r="E153" t="s">
        <v>19059</v>
      </c>
      <c r="F153" t="s">
        <v>2</v>
      </c>
      <c r="G153" t="s">
        <v>19060</v>
      </c>
      <c r="H153" t="s">
        <v>19061</v>
      </c>
    </row>
    <row r="154" spans="1:8">
      <c r="A154" t="s">
        <v>251</v>
      </c>
      <c r="B154" t="s">
        <v>2</v>
      </c>
      <c r="C154">
        <v>31</v>
      </c>
      <c r="D154" t="s">
        <v>19062</v>
      </c>
      <c r="E154" t="s">
        <v>19063</v>
      </c>
      <c r="F154" t="s">
        <v>2</v>
      </c>
      <c r="H154" t="s">
        <v>19064</v>
      </c>
    </row>
    <row r="155" spans="1:8">
      <c r="A155" t="s">
        <v>251</v>
      </c>
      <c r="B155" t="s">
        <v>2</v>
      </c>
      <c r="C155">
        <v>31</v>
      </c>
      <c r="D155" t="s">
        <v>19065</v>
      </c>
      <c r="E155" t="s">
        <v>19066</v>
      </c>
      <c r="F155" t="s">
        <v>2</v>
      </c>
    </row>
    <row r="156" spans="1:8">
      <c r="A156" t="s">
        <v>241</v>
      </c>
      <c r="B156" t="s">
        <v>2</v>
      </c>
      <c r="C156">
        <v>31</v>
      </c>
      <c r="D156" t="s">
        <v>19067</v>
      </c>
      <c r="E156" t="s">
        <v>19068</v>
      </c>
      <c r="F156" t="s">
        <v>2</v>
      </c>
      <c r="G156" t="s">
        <v>19069</v>
      </c>
      <c r="H156" t="s">
        <v>19070</v>
      </c>
    </row>
    <row r="157" spans="1:8">
      <c r="A157" t="s">
        <v>241</v>
      </c>
      <c r="B157" t="s">
        <v>2</v>
      </c>
      <c r="C157">
        <v>31</v>
      </c>
      <c r="D157" t="s">
        <v>19071</v>
      </c>
      <c r="E157" t="s">
        <v>19072</v>
      </c>
      <c r="G157" t="s">
        <v>19073</v>
      </c>
      <c r="H157" t="s">
        <v>19074</v>
      </c>
    </row>
    <row r="158" spans="1:8">
      <c r="A158" t="s">
        <v>242</v>
      </c>
      <c r="B158" t="s">
        <v>2</v>
      </c>
      <c r="C158">
        <v>31</v>
      </c>
      <c r="D158" t="s">
        <v>19075</v>
      </c>
      <c r="E158" t="s">
        <v>19076</v>
      </c>
      <c r="F158" t="s">
        <v>19077</v>
      </c>
      <c r="G158" t="s">
        <v>19078</v>
      </c>
      <c r="H158" t="s">
        <v>19079</v>
      </c>
    </row>
    <row r="159" spans="1:8">
      <c r="A159" t="s">
        <v>241</v>
      </c>
      <c r="B159" t="s">
        <v>2</v>
      </c>
      <c r="C159">
        <v>31</v>
      </c>
      <c r="D159" t="s">
        <v>19080</v>
      </c>
      <c r="E159" t="s">
        <v>19081</v>
      </c>
      <c r="G159" t="s">
        <v>19082</v>
      </c>
      <c r="H159" t="s">
        <v>19083</v>
      </c>
    </row>
    <row r="160" spans="1:8">
      <c r="A160" t="s">
        <v>241</v>
      </c>
      <c r="B160" t="s">
        <v>2</v>
      </c>
      <c r="C160">
        <v>31</v>
      </c>
      <c r="D160" t="s">
        <v>19084</v>
      </c>
      <c r="E160" t="s">
        <v>19085</v>
      </c>
      <c r="F160" t="s">
        <v>19086</v>
      </c>
      <c r="H160" t="s">
        <v>19087</v>
      </c>
    </row>
    <row r="161" spans="1:8">
      <c r="A161" t="s">
        <v>242</v>
      </c>
      <c r="B161" t="s">
        <v>2</v>
      </c>
      <c r="C161">
        <v>31</v>
      </c>
      <c r="D161" t="s">
        <v>19088</v>
      </c>
      <c r="E161" t="s">
        <v>19089</v>
      </c>
      <c r="F161" t="s">
        <v>2</v>
      </c>
      <c r="G161" t="s">
        <v>19090</v>
      </c>
      <c r="H161" t="s">
        <v>19091</v>
      </c>
    </row>
    <row r="162" spans="1:8">
      <c r="A162" t="s">
        <v>238</v>
      </c>
      <c r="B162" t="s">
        <v>2</v>
      </c>
      <c r="C162">
        <v>31</v>
      </c>
      <c r="D162" t="s">
        <v>19092</v>
      </c>
      <c r="E162" t="s">
        <v>19093</v>
      </c>
      <c r="G162" t="s">
        <v>18949</v>
      </c>
      <c r="H162" t="s">
        <v>18950</v>
      </c>
    </row>
    <row r="163" spans="1:8">
      <c r="A163" t="s">
        <v>242</v>
      </c>
      <c r="B163" t="s">
        <v>2</v>
      </c>
      <c r="C163">
        <v>31</v>
      </c>
      <c r="D163" t="s">
        <v>19094</v>
      </c>
      <c r="E163" t="s">
        <v>19095</v>
      </c>
      <c r="F163" t="s">
        <v>2</v>
      </c>
      <c r="G163" t="s">
        <v>19096</v>
      </c>
      <c r="H163" t="s">
        <v>19097</v>
      </c>
    </row>
    <row r="164" spans="1:8">
      <c r="A164" t="s">
        <v>238</v>
      </c>
      <c r="B164" t="s">
        <v>2</v>
      </c>
      <c r="C164">
        <v>31</v>
      </c>
      <c r="D164" t="s">
        <v>19098</v>
      </c>
      <c r="E164" t="s">
        <v>19099</v>
      </c>
      <c r="F164" t="s">
        <v>2</v>
      </c>
      <c r="G164" t="s">
        <v>19100</v>
      </c>
      <c r="H164" t="s">
        <v>19101</v>
      </c>
    </row>
    <row r="165" spans="1:8">
      <c r="A165" t="s">
        <v>238</v>
      </c>
      <c r="B165" t="s">
        <v>2</v>
      </c>
      <c r="C165">
        <v>31</v>
      </c>
      <c r="D165" t="s">
        <v>19102</v>
      </c>
      <c r="E165" t="s">
        <v>19103</v>
      </c>
      <c r="F165" t="s">
        <v>2</v>
      </c>
      <c r="G165" t="s">
        <v>19104</v>
      </c>
      <c r="H165" t="s">
        <v>19105</v>
      </c>
    </row>
    <row r="166" spans="1:8">
      <c r="A166" t="s">
        <v>238</v>
      </c>
      <c r="B166" t="s">
        <v>2</v>
      </c>
      <c r="C166">
        <v>31</v>
      </c>
      <c r="D166" t="s">
        <v>19106</v>
      </c>
      <c r="E166" t="s">
        <v>19107</v>
      </c>
      <c r="F166" t="s">
        <v>2</v>
      </c>
      <c r="H166" t="s">
        <v>19108</v>
      </c>
    </row>
    <row r="167" spans="1:8">
      <c r="A167" t="s">
        <v>238</v>
      </c>
      <c r="B167" t="s">
        <v>2</v>
      </c>
      <c r="C167">
        <v>31</v>
      </c>
      <c r="D167" t="s">
        <v>19109</v>
      </c>
      <c r="E167" t="s">
        <v>19110</v>
      </c>
      <c r="F167" t="s">
        <v>2</v>
      </c>
      <c r="H167" t="s">
        <v>19111</v>
      </c>
    </row>
    <row r="168" spans="1:8">
      <c r="A168" t="s">
        <v>238</v>
      </c>
      <c r="B168" t="s">
        <v>2</v>
      </c>
      <c r="C168">
        <v>31</v>
      </c>
      <c r="D168" t="s">
        <v>19112</v>
      </c>
      <c r="E168" t="s">
        <v>19113</v>
      </c>
      <c r="F168" t="s">
        <v>2</v>
      </c>
    </row>
    <row r="169" spans="1:8">
      <c r="A169" t="s">
        <v>238</v>
      </c>
      <c r="B169" t="s">
        <v>2</v>
      </c>
      <c r="C169">
        <v>31</v>
      </c>
      <c r="D169" t="s">
        <v>19114</v>
      </c>
      <c r="E169" t="s">
        <v>19115</v>
      </c>
      <c r="F169" t="s">
        <v>2</v>
      </c>
      <c r="H169" t="s">
        <v>19116</v>
      </c>
    </row>
    <row r="170" spans="1:8">
      <c r="A170" t="s">
        <v>241</v>
      </c>
      <c r="B170" t="s">
        <v>2</v>
      </c>
      <c r="C170">
        <v>31</v>
      </c>
      <c r="D170" t="s">
        <v>19117</v>
      </c>
      <c r="E170" t="s">
        <v>19118</v>
      </c>
      <c r="F170" t="s">
        <v>2</v>
      </c>
      <c r="G170" t="s">
        <v>19119</v>
      </c>
      <c r="H170" t="s">
        <v>19120</v>
      </c>
    </row>
    <row r="171" spans="1:8">
      <c r="A171" t="s">
        <v>241</v>
      </c>
      <c r="B171" t="s">
        <v>2</v>
      </c>
      <c r="C171">
        <v>31</v>
      </c>
      <c r="D171" t="s">
        <v>19121</v>
      </c>
      <c r="E171" t="s">
        <v>19122</v>
      </c>
      <c r="G171" t="s">
        <v>19123</v>
      </c>
      <c r="H171" t="s">
        <v>19124</v>
      </c>
    </row>
    <row r="172" spans="1:8">
      <c r="A172" t="s">
        <v>241</v>
      </c>
      <c r="B172" t="s">
        <v>2</v>
      </c>
      <c r="C172">
        <v>31</v>
      </c>
      <c r="D172" t="s">
        <v>19125</v>
      </c>
      <c r="E172" t="s">
        <v>19126</v>
      </c>
      <c r="F172" t="s">
        <v>2</v>
      </c>
      <c r="G172" t="s">
        <v>19127</v>
      </c>
      <c r="H172" t="s">
        <v>19128</v>
      </c>
    </row>
    <row r="173" spans="1:8">
      <c r="A173" t="s">
        <v>241</v>
      </c>
      <c r="B173" t="s">
        <v>2</v>
      </c>
      <c r="C173">
        <v>31</v>
      </c>
      <c r="D173" t="s">
        <v>19129</v>
      </c>
      <c r="E173" t="s">
        <v>19130</v>
      </c>
      <c r="F173" t="s">
        <v>2</v>
      </c>
    </row>
    <row r="174" spans="1:8">
      <c r="A174" t="s">
        <v>241</v>
      </c>
      <c r="B174" t="s">
        <v>2</v>
      </c>
      <c r="C174">
        <v>31</v>
      </c>
      <c r="D174" t="s">
        <v>19131</v>
      </c>
      <c r="E174" t="s">
        <v>19132</v>
      </c>
      <c r="F174" t="s">
        <v>2</v>
      </c>
      <c r="G174" t="s">
        <v>19133</v>
      </c>
      <c r="H174" t="s">
        <v>19134</v>
      </c>
    </row>
    <row r="175" spans="1:8">
      <c r="A175" t="s">
        <v>241</v>
      </c>
      <c r="B175" t="s">
        <v>2</v>
      </c>
      <c r="C175">
        <v>31</v>
      </c>
      <c r="D175" t="s">
        <v>19135</v>
      </c>
      <c r="E175" t="s">
        <v>19136</v>
      </c>
      <c r="F175" t="s">
        <v>2</v>
      </c>
      <c r="H175" t="s">
        <v>19137</v>
      </c>
    </row>
    <row r="176" spans="1:8">
      <c r="A176" t="s">
        <v>242</v>
      </c>
      <c r="B176" t="s">
        <v>2</v>
      </c>
      <c r="C176">
        <v>31</v>
      </c>
      <c r="D176" t="s">
        <v>19138</v>
      </c>
      <c r="E176" t="s">
        <v>19139</v>
      </c>
      <c r="H176" t="s">
        <v>19140</v>
      </c>
    </row>
    <row r="177" spans="1:8">
      <c r="A177" t="s">
        <v>242</v>
      </c>
      <c r="B177" t="s">
        <v>2</v>
      </c>
      <c r="C177">
        <v>31</v>
      </c>
      <c r="D177" t="s">
        <v>19141</v>
      </c>
      <c r="E177" t="s">
        <v>19142</v>
      </c>
      <c r="F177" t="s">
        <v>2</v>
      </c>
      <c r="G177" t="s">
        <v>19143</v>
      </c>
      <c r="H177" t="s">
        <v>19144</v>
      </c>
    </row>
    <row r="178" spans="1:8">
      <c r="A178" t="s">
        <v>239</v>
      </c>
      <c r="B178" t="s">
        <v>2</v>
      </c>
      <c r="C178">
        <v>31</v>
      </c>
      <c r="D178" t="s">
        <v>19145</v>
      </c>
      <c r="H178" t="s">
        <v>19146</v>
      </c>
    </row>
    <row r="179" spans="1:8">
      <c r="A179" t="s">
        <v>241</v>
      </c>
      <c r="B179" t="s">
        <v>2</v>
      </c>
      <c r="C179">
        <v>31</v>
      </c>
      <c r="D179" t="s">
        <v>19147</v>
      </c>
      <c r="E179" t="s">
        <v>19148</v>
      </c>
      <c r="F179" t="s">
        <v>19149</v>
      </c>
      <c r="H179" t="s">
        <v>19150</v>
      </c>
    </row>
    <row r="180" spans="1:8">
      <c r="A180" t="s">
        <v>241</v>
      </c>
      <c r="B180" t="s">
        <v>2</v>
      </c>
      <c r="C180">
        <v>31</v>
      </c>
      <c r="D180" t="s">
        <v>19151</v>
      </c>
      <c r="E180" t="s">
        <v>19152</v>
      </c>
      <c r="F180" t="s">
        <v>19153</v>
      </c>
      <c r="H180" t="s">
        <v>19154</v>
      </c>
    </row>
    <row r="181" spans="1:8">
      <c r="A181" t="s">
        <v>241</v>
      </c>
      <c r="B181" t="s">
        <v>2</v>
      </c>
      <c r="C181">
        <v>31</v>
      </c>
      <c r="D181" t="s">
        <v>19155</v>
      </c>
      <c r="E181" t="s">
        <v>19156</v>
      </c>
      <c r="H181" t="s">
        <v>19157</v>
      </c>
    </row>
    <row r="182" spans="1:8">
      <c r="A182" t="s">
        <v>241</v>
      </c>
      <c r="B182" t="s">
        <v>2</v>
      </c>
      <c r="C182">
        <v>31</v>
      </c>
      <c r="D182" t="s">
        <v>19158</v>
      </c>
      <c r="E182" t="s">
        <v>19159</v>
      </c>
      <c r="H182" t="s">
        <v>19160</v>
      </c>
    </row>
    <row r="183" spans="1:8">
      <c r="A183" t="s">
        <v>241</v>
      </c>
      <c r="B183" t="s">
        <v>2</v>
      </c>
      <c r="C183">
        <v>31</v>
      </c>
      <c r="D183" t="s">
        <v>19161</v>
      </c>
      <c r="E183" t="s">
        <v>19162</v>
      </c>
      <c r="F183" t="s">
        <v>19163</v>
      </c>
      <c r="H183" t="s">
        <v>19164</v>
      </c>
    </row>
    <row r="184" spans="1:8">
      <c r="A184" t="s">
        <v>241</v>
      </c>
      <c r="B184" t="s">
        <v>2</v>
      </c>
      <c r="C184">
        <v>31</v>
      </c>
      <c r="D184" t="s">
        <v>19165</v>
      </c>
      <c r="E184" t="s">
        <v>19166</v>
      </c>
      <c r="H184" t="s">
        <v>5374</v>
      </c>
    </row>
    <row r="185" spans="1:8">
      <c r="A185" t="s">
        <v>241</v>
      </c>
      <c r="B185" t="s">
        <v>2</v>
      </c>
      <c r="C185">
        <v>31</v>
      </c>
      <c r="D185" t="s">
        <v>19167</v>
      </c>
      <c r="E185" t="s">
        <v>19168</v>
      </c>
      <c r="F185" t="s">
        <v>2</v>
      </c>
      <c r="G185" t="s">
        <v>19169</v>
      </c>
      <c r="H185" t="s">
        <v>19170</v>
      </c>
    </row>
    <row r="186" spans="1:8">
      <c r="A186" t="s">
        <v>241</v>
      </c>
      <c r="B186" t="s">
        <v>2</v>
      </c>
      <c r="C186">
        <v>31</v>
      </c>
      <c r="D186" t="s">
        <v>19171</v>
      </c>
      <c r="E186" t="s">
        <v>19172</v>
      </c>
      <c r="F186" t="s">
        <v>2</v>
      </c>
      <c r="H186" t="s">
        <v>19173</v>
      </c>
    </row>
    <row r="187" spans="1:8">
      <c r="A187" t="s">
        <v>241</v>
      </c>
      <c r="B187" t="s">
        <v>2</v>
      </c>
      <c r="C187">
        <v>31</v>
      </c>
      <c r="D187" t="s">
        <v>19174</v>
      </c>
      <c r="E187" t="s">
        <v>19175</v>
      </c>
      <c r="F187" t="s">
        <v>2</v>
      </c>
      <c r="G187" t="s">
        <v>19176</v>
      </c>
      <c r="H187" t="s">
        <v>19177</v>
      </c>
    </row>
    <row r="188" spans="1:8">
      <c r="A188" t="s">
        <v>241</v>
      </c>
      <c r="B188" t="s">
        <v>2</v>
      </c>
      <c r="C188">
        <v>31</v>
      </c>
      <c r="D188" t="s">
        <v>19178</v>
      </c>
      <c r="E188" t="s">
        <v>19179</v>
      </c>
      <c r="F188" t="s">
        <v>2</v>
      </c>
      <c r="H188" t="s">
        <v>19180</v>
      </c>
    </row>
    <row r="189" spans="1:8">
      <c r="A189" t="s">
        <v>238</v>
      </c>
      <c r="B189" t="s">
        <v>2</v>
      </c>
      <c r="C189">
        <v>31</v>
      </c>
      <c r="D189" t="s">
        <v>19181</v>
      </c>
      <c r="E189" t="s">
        <v>19182</v>
      </c>
      <c r="F189" t="s">
        <v>2</v>
      </c>
      <c r="H189" t="s">
        <v>19183</v>
      </c>
    </row>
    <row r="190" spans="1:8">
      <c r="A190" t="s">
        <v>241</v>
      </c>
      <c r="B190" t="s">
        <v>2</v>
      </c>
      <c r="C190">
        <v>31</v>
      </c>
      <c r="D190" t="s">
        <v>19184</v>
      </c>
      <c r="E190" t="s">
        <v>19185</v>
      </c>
      <c r="F190" t="s">
        <v>2</v>
      </c>
      <c r="H190" t="s">
        <v>19186</v>
      </c>
    </row>
    <row r="191" spans="1:8">
      <c r="A191" t="s">
        <v>242</v>
      </c>
      <c r="B191" t="s">
        <v>2</v>
      </c>
      <c r="C191">
        <v>31</v>
      </c>
      <c r="D191" t="s">
        <v>19187</v>
      </c>
      <c r="E191" t="s">
        <v>19188</v>
      </c>
      <c r="F191" t="s">
        <v>2</v>
      </c>
    </row>
    <row r="192" spans="1:8">
      <c r="A192" t="s">
        <v>248</v>
      </c>
      <c r="B192" t="s">
        <v>2</v>
      </c>
      <c r="C192">
        <v>31</v>
      </c>
      <c r="D192" t="s">
        <v>19189</v>
      </c>
      <c r="E192" t="s">
        <v>19190</v>
      </c>
      <c r="F192" t="s">
        <v>2</v>
      </c>
      <c r="H192" t="s">
        <v>19191</v>
      </c>
    </row>
    <row r="193" spans="1:8">
      <c r="A193" t="s">
        <v>242</v>
      </c>
      <c r="B193" t="s">
        <v>2</v>
      </c>
      <c r="C193">
        <v>31</v>
      </c>
      <c r="D193" t="s">
        <v>19192</v>
      </c>
      <c r="E193" t="s">
        <v>19193</v>
      </c>
      <c r="F193" t="s">
        <v>2</v>
      </c>
      <c r="G193" t="s">
        <v>19194</v>
      </c>
      <c r="H193" t="s">
        <v>19195</v>
      </c>
    </row>
    <row r="194" spans="1:8">
      <c r="A194" t="s">
        <v>241</v>
      </c>
      <c r="B194" t="s">
        <v>2</v>
      </c>
      <c r="C194">
        <v>31</v>
      </c>
      <c r="D194" t="s">
        <v>19196</v>
      </c>
      <c r="E194" t="s">
        <v>19197</v>
      </c>
      <c r="F194" t="s">
        <v>2</v>
      </c>
      <c r="G194" t="s">
        <v>19198</v>
      </c>
      <c r="H194" t="s">
        <v>19199</v>
      </c>
    </row>
    <row r="195" spans="1:8">
      <c r="A195" t="s">
        <v>241</v>
      </c>
      <c r="B195" t="s">
        <v>2</v>
      </c>
      <c r="C195">
        <v>31</v>
      </c>
      <c r="D195" t="s">
        <v>19200</v>
      </c>
      <c r="E195" t="s">
        <v>19201</v>
      </c>
      <c r="F195" t="s">
        <v>2</v>
      </c>
      <c r="G195" t="s">
        <v>19202</v>
      </c>
      <c r="H195" t="s">
        <v>19203</v>
      </c>
    </row>
    <row r="196" spans="1:8">
      <c r="A196" t="s">
        <v>242</v>
      </c>
      <c r="B196" t="s">
        <v>2</v>
      </c>
      <c r="C196">
        <v>31</v>
      </c>
      <c r="D196" t="s">
        <v>19204</v>
      </c>
      <c r="E196" t="s">
        <v>19205</v>
      </c>
      <c r="F196" t="s">
        <v>2</v>
      </c>
      <c r="G196" t="s">
        <v>19206</v>
      </c>
      <c r="H196" t="s">
        <v>19207</v>
      </c>
    </row>
    <row r="197" spans="1:8">
      <c r="A197" t="s">
        <v>242</v>
      </c>
      <c r="B197" t="s">
        <v>2</v>
      </c>
      <c r="C197">
        <v>31</v>
      </c>
      <c r="D197" t="s">
        <v>19208</v>
      </c>
      <c r="E197" t="s">
        <v>19209</v>
      </c>
      <c r="F197" t="s">
        <v>2</v>
      </c>
      <c r="H197" t="s">
        <v>19210</v>
      </c>
    </row>
    <row r="198" spans="1:8">
      <c r="A198" t="s">
        <v>241</v>
      </c>
      <c r="B198" t="s">
        <v>2</v>
      </c>
      <c r="C198">
        <v>31</v>
      </c>
      <c r="D198" t="s">
        <v>19211</v>
      </c>
      <c r="E198" t="s">
        <v>19212</v>
      </c>
      <c r="F198" t="s">
        <v>2</v>
      </c>
      <c r="G198" t="s">
        <v>19213</v>
      </c>
      <c r="H198" t="s">
        <v>19214</v>
      </c>
    </row>
    <row r="199" spans="1:8">
      <c r="A199" t="s">
        <v>238</v>
      </c>
      <c r="B199" t="s">
        <v>2</v>
      </c>
      <c r="C199">
        <v>31</v>
      </c>
      <c r="D199" t="s">
        <v>19215</v>
      </c>
      <c r="E199" t="s">
        <v>19216</v>
      </c>
      <c r="F199" t="s">
        <v>19217</v>
      </c>
      <c r="G199" t="s">
        <v>19218</v>
      </c>
      <c r="H199" t="s">
        <v>18855</v>
      </c>
    </row>
    <row r="200" spans="1:8">
      <c r="A200" t="s">
        <v>238</v>
      </c>
      <c r="B200" t="s">
        <v>2</v>
      </c>
      <c r="C200">
        <v>31</v>
      </c>
      <c r="D200" t="s">
        <v>19219</v>
      </c>
      <c r="E200" t="s">
        <v>19220</v>
      </c>
      <c r="F200" t="s">
        <v>2</v>
      </c>
      <c r="G200" t="s">
        <v>19221</v>
      </c>
      <c r="H200" t="s">
        <v>19222</v>
      </c>
    </row>
    <row r="201" spans="1:8">
      <c r="A201" t="s">
        <v>242</v>
      </c>
      <c r="B201" t="s">
        <v>2</v>
      </c>
      <c r="C201">
        <v>31</v>
      </c>
      <c r="D201" t="s">
        <v>19223</v>
      </c>
      <c r="E201" t="s">
        <v>19224</v>
      </c>
      <c r="F201" t="s">
        <v>2</v>
      </c>
    </row>
    <row r="202" spans="1:8">
      <c r="A202" t="s">
        <v>241</v>
      </c>
      <c r="B202" t="s">
        <v>2</v>
      </c>
      <c r="C202">
        <v>31</v>
      </c>
      <c r="D202" t="s">
        <v>19225</v>
      </c>
      <c r="E202" t="s">
        <v>19226</v>
      </c>
      <c r="F202" t="s">
        <v>2</v>
      </c>
      <c r="G202" t="s">
        <v>19227</v>
      </c>
      <c r="H202" t="s">
        <v>19228</v>
      </c>
    </row>
    <row r="203" spans="1:8">
      <c r="A203" t="s">
        <v>242</v>
      </c>
      <c r="B203" t="s">
        <v>2</v>
      </c>
      <c r="C203">
        <v>31</v>
      </c>
      <c r="D203" t="s">
        <v>19229</v>
      </c>
      <c r="E203" t="s">
        <v>19230</v>
      </c>
      <c r="F203" t="s">
        <v>2</v>
      </c>
      <c r="H203" t="s">
        <v>19231</v>
      </c>
    </row>
    <row r="204" spans="1:8">
      <c r="A204" t="s">
        <v>238</v>
      </c>
      <c r="B204" t="s">
        <v>2</v>
      </c>
      <c r="C204">
        <v>31</v>
      </c>
      <c r="D204" t="s">
        <v>19232</v>
      </c>
      <c r="E204" t="s">
        <v>19233</v>
      </c>
      <c r="F204" t="s">
        <v>2</v>
      </c>
      <c r="G204" t="s">
        <v>19234</v>
      </c>
      <c r="H204" t="s">
        <v>19235</v>
      </c>
    </row>
    <row r="205" spans="1:8">
      <c r="A205" t="s">
        <v>241</v>
      </c>
      <c r="B205" t="s">
        <v>2</v>
      </c>
      <c r="C205">
        <v>31</v>
      </c>
      <c r="D205" t="s">
        <v>19236</v>
      </c>
      <c r="E205" t="s">
        <v>19237</v>
      </c>
      <c r="F205" t="s">
        <v>2</v>
      </c>
      <c r="G205" t="s">
        <v>19238</v>
      </c>
      <c r="H205" t="s">
        <v>19239</v>
      </c>
    </row>
    <row r="206" spans="1:8">
      <c r="A206" t="s">
        <v>243</v>
      </c>
      <c r="B206" t="s">
        <v>2</v>
      </c>
      <c r="C206">
        <v>31</v>
      </c>
      <c r="D206" t="s">
        <v>19240</v>
      </c>
      <c r="E206" t="s">
        <v>19241</v>
      </c>
      <c r="F206" t="s">
        <v>2</v>
      </c>
    </row>
    <row r="207" spans="1:8">
      <c r="A207" t="s">
        <v>243</v>
      </c>
      <c r="B207" t="s">
        <v>2</v>
      </c>
      <c r="C207">
        <v>31</v>
      </c>
      <c r="D207" t="s">
        <v>19242</v>
      </c>
      <c r="E207" t="s">
        <v>19243</v>
      </c>
      <c r="F207" t="s">
        <v>2</v>
      </c>
    </row>
    <row r="208" spans="1:8">
      <c r="A208" t="s">
        <v>243</v>
      </c>
      <c r="B208" t="s">
        <v>2</v>
      </c>
      <c r="C208">
        <v>31</v>
      </c>
      <c r="D208" t="s">
        <v>19244</v>
      </c>
      <c r="E208" t="s">
        <v>19245</v>
      </c>
      <c r="F208" t="s">
        <v>2</v>
      </c>
    </row>
    <row r="209" spans="1:8">
      <c r="A209" t="s">
        <v>243</v>
      </c>
      <c r="B209" t="s">
        <v>2</v>
      </c>
      <c r="C209">
        <v>31</v>
      </c>
      <c r="D209" t="s">
        <v>19246</v>
      </c>
      <c r="E209" t="s">
        <v>19247</v>
      </c>
      <c r="F209" t="s">
        <v>2</v>
      </c>
    </row>
    <row r="210" spans="1:8">
      <c r="A210" t="s">
        <v>241</v>
      </c>
      <c r="B210" t="s">
        <v>2</v>
      </c>
      <c r="C210">
        <v>31</v>
      </c>
      <c r="D210" t="s">
        <v>19248</v>
      </c>
      <c r="E210" t="s">
        <v>19249</v>
      </c>
      <c r="F210" t="s">
        <v>2</v>
      </c>
      <c r="G210" t="s">
        <v>19250</v>
      </c>
      <c r="H210" t="s">
        <v>19251</v>
      </c>
    </row>
    <row r="211" spans="1:8">
      <c r="A211" t="s">
        <v>243</v>
      </c>
      <c r="B211" t="s">
        <v>2</v>
      </c>
      <c r="C211">
        <v>31</v>
      </c>
      <c r="D211" t="s">
        <v>19252</v>
      </c>
      <c r="E211" t="s">
        <v>19253</v>
      </c>
      <c r="F211" t="s">
        <v>2</v>
      </c>
      <c r="H211" t="s">
        <v>19254</v>
      </c>
    </row>
    <row r="212" spans="1:8">
      <c r="A212" t="s">
        <v>241</v>
      </c>
      <c r="B212" t="s">
        <v>2</v>
      </c>
      <c r="C212">
        <v>31</v>
      </c>
      <c r="D212" t="s">
        <v>19255</v>
      </c>
      <c r="E212" t="s">
        <v>18891</v>
      </c>
      <c r="F212" t="s">
        <v>2</v>
      </c>
      <c r="H212" t="s">
        <v>19256</v>
      </c>
    </row>
    <row r="213" spans="1:8">
      <c r="A213" t="s">
        <v>241</v>
      </c>
      <c r="B213" t="s">
        <v>2</v>
      </c>
      <c r="C213">
        <v>31</v>
      </c>
      <c r="D213" t="s">
        <v>19257</v>
      </c>
      <c r="E213" t="s">
        <v>19258</v>
      </c>
      <c r="F213" t="s">
        <v>2</v>
      </c>
      <c r="G213" t="s">
        <v>19259</v>
      </c>
      <c r="H213" t="s">
        <v>19260</v>
      </c>
    </row>
    <row r="214" spans="1:8">
      <c r="A214" t="s">
        <v>243</v>
      </c>
      <c r="B214" t="s">
        <v>2</v>
      </c>
      <c r="C214">
        <v>31</v>
      </c>
      <c r="D214" t="s">
        <v>19261</v>
      </c>
      <c r="E214" t="s">
        <v>19262</v>
      </c>
      <c r="F214" t="s">
        <v>2</v>
      </c>
    </row>
    <row r="215" spans="1:8">
      <c r="A215" t="s">
        <v>241</v>
      </c>
      <c r="B215" t="s">
        <v>2</v>
      </c>
      <c r="C215">
        <v>31</v>
      </c>
      <c r="D215" t="s">
        <v>19263</v>
      </c>
      <c r="E215" t="s">
        <v>19264</v>
      </c>
      <c r="F215" t="s">
        <v>2</v>
      </c>
      <c r="G215" t="s">
        <v>19265</v>
      </c>
      <c r="H215" t="s">
        <v>19266</v>
      </c>
    </row>
    <row r="216" spans="1:8">
      <c r="A216" t="s">
        <v>241</v>
      </c>
      <c r="B216" t="s">
        <v>2</v>
      </c>
      <c r="C216">
        <v>31</v>
      </c>
      <c r="D216" t="s">
        <v>19267</v>
      </c>
      <c r="E216" t="s">
        <v>19268</v>
      </c>
      <c r="F216" t="s">
        <v>2</v>
      </c>
    </row>
    <row r="217" spans="1:8">
      <c r="A217" t="s">
        <v>241</v>
      </c>
      <c r="B217" t="s">
        <v>2</v>
      </c>
      <c r="C217">
        <v>31</v>
      </c>
      <c r="D217" t="s">
        <v>19269</v>
      </c>
      <c r="E217" t="s">
        <v>19270</v>
      </c>
      <c r="F217" t="s">
        <v>2</v>
      </c>
      <c r="G217" t="s">
        <v>19271</v>
      </c>
      <c r="H217" t="s">
        <v>19272</v>
      </c>
    </row>
    <row r="218" spans="1:8">
      <c r="A218" t="s">
        <v>241</v>
      </c>
      <c r="B218" t="s">
        <v>2</v>
      </c>
      <c r="C218">
        <v>31</v>
      </c>
      <c r="D218" t="s">
        <v>19273</v>
      </c>
      <c r="E218" t="s">
        <v>18951</v>
      </c>
      <c r="F218" t="s">
        <v>2</v>
      </c>
      <c r="G218" t="s">
        <v>19274</v>
      </c>
      <c r="H218" t="s">
        <v>18952</v>
      </c>
    </row>
    <row r="219" spans="1:8">
      <c r="A219" t="s">
        <v>241</v>
      </c>
      <c r="B219" t="s">
        <v>2</v>
      </c>
      <c r="C219">
        <v>31</v>
      </c>
      <c r="D219" t="s">
        <v>19275</v>
      </c>
      <c r="E219" t="s">
        <v>19276</v>
      </c>
      <c r="F219" t="s">
        <v>2</v>
      </c>
      <c r="G219" t="s">
        <v>19277</v>
      </c>
      <c r="H219" t="s">
        <v>19278</v>
      </c>
    </row>
    <row r="220" spans="1:8">
      <c r="A220" t="s">
        <v>238</v>
      </c>
      <c r="B220" t="s">
        <v>2</v>
      </c>
      <c r="C220">
        <v>31</v>
      </c>
      <c r="D220" t="s">
        <v>19279</v>
      </c>
      <c r="E220" t="s">
        <v>19280</v>
      </c>
      <c r="F220" t="s">
        <v>2</v>
      </c>
      <c r="G220" t="s">
        <v>19281</v>
      </c>
      <c r="H220" t="s">
        <v>19282</v>
      </c>
    </row>
    <row r="221" spans="1:8">
      <c r="A221" t="s">
        <v>249</v>
      </c>
      <c r="B221" t="s">
        <v>2</v>
      </c>
      <c r="C221">
        <v>31</v>
      </c>
      <c r="D221" t="s">
        <v>9600</v>
      </c>
      <c r="E221" t="s">
        <v>19283</v>
      </c>
      <c r="F221" t="s">
        <v>2</v>
      </c>
      <c r="G221" t="s">
        <v>19284</v>
      </c>
      <c r="H221" t="s">
        <v>19285</v>
      </c>
    </row>
    <row r="222" spans="1:8">
      <c r="A222" t="s">
        <v>243</v>
      </c>
      <c r="B222" t="s">
        <v>2</v>
      </c>
      <c r="C222">
        <v>31</v>
      </c>
      <c r="D222" t="s">
        <v>19286</v>
      </c>
      <c r="E222" t="s">
        <v>18822</v>
      </c>
      <c r="F222" t="s">
        <v>2</v>
      </c>
    </row>
    <row r="223" spans="1:8">
      <c r="A223" t="s">
        <v>238</v>
      </c>
      <c r="B223" t="s">
        <v>2</v>
      </c>
      <c r="C223">
        <v>31</v>
      </c>
      <c r="D223" t="s">
        <v>19287</v>
      </c>
      <c r="E223" t="s">
        <v>19288</v>
      </c>
      <c r="F223" t="s">
        <v>2</v>
      </c>
      <c r="G223" t="s">
        <v>19289</v>
      </c>
      <c r="H223" t="s">
        <v>19290</v>
      </c>
    </row>
    <row r="224" spans="1:8">
      <c r="A224" t="s">
        <v>238</v>
      </c>
      <c r="B224" t="s">
        <v>114</v>
      </c>
      <c r="C224">
        <v>32</v>
      </c>
      <c r="D224" t="s">
        <v>3311</v>
      </c>
      <c r="E224" t="s">
        <v>3312</v>
      </c>
      <c r="F224" t="s">
        <v>114</v>
      </c>
      <c r="G224" t="s">
        <v>3313</v>
      </c>
      <c r="H224" t="s">
        <v>3314</v>
      </c>
    </row>
    <row r="225" spans="1:8">
      <c r="A225" t="s">
        <v>242</v>
      </c>
      <c r="B225" t="s">
        <v>114</v>
      </c>
      <c r="C225">
        <v>32</v>
      </c>
      <c r="D225" t="s">
        <v>3315</v>
      </c>
      <c r="E225" t="s">
        <v>3316</v>
      </c>
      <c r="F225" t="s">
        <v>114</v>
      </c>
      <c r="G225" t="s">
        <v>3317</v>
      </c>
      <c r="H225" t="s">
        <v>3318</v>
      </c>
    </row>
    <row r="226" spans="1:8">
      <c r="A226" t="s">
        <v>242</v>
      </c>
      <c r="B226" t="s">
        <v>114</v>
      </c>
      <c r="C226">
        <v>32</v>
      </c>
      <c r="D226" t="s">
        <v>3319</v>
      </c>
      <c r="E226" t="s">
        <v>3320</v>
      </c>
      <c r="F226" t="s">
        <v>114</v>
      </c>
      <c r="H226" t="s">
        <v>3321</v>
      </c>
    </row>
    <row r="227" spans="1:8">
      <c r="A227" t="s">
        <v>242</v>
      </c>
      <c r="B227" t="s">
        <v>114</v>
      </c>
      <c r="C227">
        <v>32</v>
      </c>
      <c r="D227" t="s">
        <v>3322</v>
      </c>
      <c r="E227" t="s">
        <v>3323</v>
      </c>
      <c r="F227" t="s">
        <v>3324</v>
      </c>
      <c r="G227" t="s">
        <v>3325</v>
      </c>
      <c r="H227" t="s">
        <v>3326</v>
      </c>
    </row>
    <row r="228" spans="1:8">
      <c r="A228" t="s">
        <v>243</v>
      </c>
      <c r="B228" t="s">
        <v>114</v>
      </c>
      <c r="C228">
        <v>32</v>
      </c>
      <c r="D228" t="s">
        <v>3327</v>
      </c>
      <c r="E228" t="s">
        <v>3328</v>
      </c>
      <c r="G228" t="s">
        <v>3329</v>
      </c>
    </row>
    <row r="229" spans="1:8">
      <c r="A229" t="s">
        <v>243</v>
      </c>
      <c r="B229" t="s">
        <v>114</v>
      </c>
      <c r="C229">
        <v>32</v>
      </c>
      <c r="D229" t="s">
        <v>3330</v>
      </c>
      <c r="E229" t="s">
        <v>3331</v>
      </c>
      <c r="G229" t="s">
        <v>3332</v>
      </c>
      <c r="H229" t="s">
        <v>3333</v>
      </c>
    </row>
    <row r="230" spans="1:8">
      <c r="A230" t="s">
        <v>241</v>
      </c>
      <c r="B230" t="s">
        <v>114</v>
      </c>
      <c r="C230">
        <v>32</v>
      </c>
      <c r="D230" t="s">
        <v>3334</v>
      </c>
      <c r="E230" t="s">
        <v>3335</v>
      </c>
      <c r="G230" t="s">
        <v>3336</v>
      </c>
      <c r="H230" t="s">
        <v>3337</v>
      </c>
    </row>
    <row r="231" spans="1:8">
      <c r="A231" t="s">
        <v>242</v>
      </c>
      <c r="B231" t="s">
        <v>114</v>
      </c>
      <c r="C231">
        <v>32</v>
      </c>
      <c r="D231" t="s">
        <v>1388</v>
      </c>
      <c r="E231" t="s">
        <v>3338</v>
      </c>
      <c r="F231" t="s">
        <v>114</v>
      </c>
      <c r="G231" t="s">
        <v>3339</v>
      </c>
      <c r="H231" t="s">
        <v>3340</v>
      </c>
    </row>
    <row r="232" spans="1:8">
      <c r="A232" t="s">
        <v>242</v>
      </c>
      <c r="B232" t="s">
        <v>114</v>
      </c>
      <c r="C232">
        <v>32</v>
      </c>
      <c r="D232" t="s">
        <v>3341</v>
      </c>
      <c r="E232" t="s">
        <v>3342</v>
      </c>
      <c r="F232" t="s">
        <v>114</v>
      </c>
      <c r="G232" t="s">
        <v>3343</v>
      </c>
      <c r="H232" t="s">
        <v>3344</v>
      </c>
    </row>
    <row r="233" spans="1:8">
      <c r="A233" t="s">
        <v>240</v>
      </c>
      <c r="B233" t="s">
        <v>114</v>
      </c>
      <c r="C233">
        <v>32</v>
      </c>
      <c r="D233" t="s">
        <v>3345</v>
      </c>
      <c r="E233" t="s">
        <v>3346</v>
      </c>
      <c r="F233" t="s">
        <v>114</v>
      </c>
      <c r="G233" t="s">
        <v>3347</v>
      </c>
      <c r="H233" t="s">
        <v>3348</v>
      </c>
    </row>
    <row r="234" spans="1:8">
      <c r="A234" t="s">
        <v>240</v>
      </c>
      <c r="B234" t="s">
        <v>114</v>
      </c>
      <c r="C234">
        <v>32</v>
      </c>
      <c r="D234" t="s">
        <v>3349</v>
      </c>
      <c r="E234" t="s">
        <v>3350</v>
      </c>
      <c r="F234" t="s">
        <v>3351</v>
      </c>
      <c r="H234" t="s">
        <v>3352</v>
      </c>
    </row>
    <row r="235" spans="1:8">
      <c r="A235" t="s">
        <v>240</v>
      </c>
      <c r="B235" t="s">
        <v>114</v>
      </c>
      <c r="C235">
        <v>32</v>
      </c>
      <c r="D235" t="s">
        <v>3353</v>
      </c>
      <c r="E235" t="s">
        <v>3354</v>
      </c>
      <c r="F235" t="s">
        <v>114</v>
      </c>
      <c r="G235" t="s">
        <v>3355</v>
      </c>
      <c r="H235" t="s">
        <v>3356</v>
      </c>
    </row>
    <row r="236" spans="1:8">
      <c r="A236" t="s">
        <v>241</v>
      </c>
      <c r="B236" t="s">
        <v>114</v>
      </c>
      <c r="C236">
        <v>32</v>
      </c>
      <c r="D236" t="s">
        <v>3357</v>
      </c>
      <c r="E236" t="s">
        <v>3358</v>
      </c>
      <c r="F236" t="s">
        <v>114</v>
      </c>
      <c r="H236" t="s">
        <v>3359</v>
      </c>
    </row>
    <row r="237" spans="1:8">
      <c r="A237" t="s">
        <v>242</v>
      </c>
      <c r="B237" t="s">
        <v>114</v>
      </c>
      <c r="C237">
        <v>32</v>
      </c>
      <c r="D237" t="s">
        <v>3360</v>
      </c>
      <c r="E237" t="s">
        <v>3361</v>
      </c>
      <c r="F237" t="s">
        <v>3362</v>
      </c>
      <c r="H237" t="s">
        <v>3363</v>
      </c>
    </row>
    <row r="238" spans="1:8">
      <c r="A238" t="s">
        <v>238</v>
      </c>
      <c r="B238" t="s">
        <v>114</v>
      </c>
      <c r="C238">
        <v>32</v>
      </c>
      <c r="D238" t="s">
        <v>3364</v>
      </c>
      <c r="E238" t="s">
        <v>3365</v>
      </c>
      <c r="F238" t="s">
        <v>3366</v>
      </c>
      <c r="G238" t="s">
        <v>3367</v>
      </c>
      <c r="H238" t="s">
        <v>3368</v>
      </c>
    </row>
    <row r="239" spans="1:8">
      <c r="A239" t="s">
        <v>243</v>
      </c>
      <c r="B239" t="s">
        <v>122</v>
      </c>
      <c r="C239">
        <v>32</v>
      </c>
      <c r="D239" t="s">
        <v>6682</v>
      </c>
      <c r="E239" t="s">
        <v>6683</v>
      </c>
      <c r="F239" t="s">
        <v>122</v>
      </c>
      <c r="H239" t="s">
        <v>6684</v>
      </c>
    </row>
    <row r="240" spans="1:8">
      <c r="A240" t="s">
        <v>241</v>
      </c>
      <c r="B240" t="s">
        <v>122</v>
      </c>
      <c r="C240">
        <v>32</v>
      </c>
      <c r="D240" t="s">
        <v>6685</v>
      </c>
      <c r="E240" t="s">
        <v>6686</v>
      </c>
      <c r="F240" t="s">
        <v>122</v>
      </c>
      <c r="G240" t="s">
        <v>6687</v>
      </c>
      <c r="H240" t="s">
        <v>6688</v>
      </c>
    </row>
    <row r="241" spans="1:8">
      <c r="A241" t="s">
        <v>241</v>
      </c>
      <c r="B241" t="s">
        <v>122</v>
      </c>
      <c r="C241">
        <v>32</v>
      </c>
      <c r="D241" t="s">
        <v>6689</v>
      </c>
      <c r="E241" t="s">
        <v>6690</v>
      </c>
      <c r="F241" t="s">
        <v>122</v>
      </c>
      <c r="H241" t="s">
        <v>6691</v>
      </c>
    </row>
    <row r="242" spans="1:8">
      <c r="A242" t="s">
        <v>247</v>
      </c>
      <c r="B242" t="s">
        <v>122</v>
      </c>
      <c r="C242">
        <v>32</v>
      </c>
      <c r="D242" t="s">
        <v>6692</v>
      </c>
      <c r="E242" t="s">
        <v>6693</v>
      </c>
      <c r="G242" t="s">
        <v>6694</v>
      </c>
      <c r="H242" t="s">
        <v>6695</v>
      </c>
    </row>
    <row r="243" spans="1:8">
      <c r="A243" t="s">
        <v>249</v>
      </c>
      <c r="B243" t="s">
        <v>122</v>
      </c>
      <c r="C243">
        <v>32</v>
      </c>
      <c r="D243" t="s">
        <v>6696</v>
      </c>
      <c r="E243" t="s">
        <v>6697</v>
      </c>
      <c r="F243" t="s">
        <v>122</v>
      </c>
      <c r="G243" t="s">
        <v>6698</v>
      </c>
      <c r="H243" t="s">
        <v>6699</v>
      </c>
    </row>
    <row r="244" spans="1:8">
      <c r="A244" t="s">
        <v>240</v>
      </c>
      <c r="B244" t="s">
        <v>122</v>
      </c>
      <c r="C244">
        <v>32</v>
      </c>
      <c r="D244" t="s">
        <v>6700</v>
      </c>
      <c r="E244" t="s">
        <v>6701</v>
      </c>
      <c r="F244" t="s">
        <v>122</v>
      </c>
      <c r="G244" t="s">
        <v>6702</v>
      </c>
      <c r="H244" t="s">
        <v>6703</v>
      </c>
    </row>
    <row r="245" spans="1:8">
      <c r="A245" t="s">
        <v>242</v>
      </c>
      <c r="B245" t="s">
        <v>122</v>
      </c>
      <c r="C245">
        <v>32</v>
      </c>
      <c r="D245" t="s">
        <v>6704</v>
      </c>
      <c r="E245" t="s">
        <v>6705</v>
      </c>
      <c r="F245" t="s">
        <v>122</v>
      </c>
    </row>
    <row r="246" spans="1:8">
      <c r="A246" t="s">
        <v>241</v>
      </c>
      <c r="B246" t="s">
        <v>122</v>
      </c>
      <c r="C246">
        <v>32</v>
      </c>
      <c r="D246" t="s">
        <v>6706</v>
      </c>
      <c r="E246" t="s">
        <v>6707</v>
      </c>
      <c r="G246" t="s">
        <v>6708</v>
      </c>
      <c r="H246" t="s">
        <v>6709</v>
      </c>
    </row>
    <row r="247" spans="1:8">
      <c r="A247" t="s">
        <v>242</v>
      </c>
      <c r="B247" t="s">
        <v>122</v>
      </c>
      <c r="C247">
        <v>32</v>
      </c>
      <c r="D247" t="s">
        <v>6710</v>
      </c>
      <c r="E247" t="s">
        <v>6711</v>
      </c>
      <c r="F247" t="s">
        <v>122</v>
      </c>
    </row>
    <row r="248" spans="1:8">
      <c r="A248" t="s">
        <v>242</v>
      </c>
      <c r="B248" t="s">
        <v>122</v>
      </c>
      <c r="C248">
        <v>32</v>
      </c>
      <c r="D248" t="s">
        <v>6712</v>
      </c>
      <c r="E248" t="s">
        <v>6713</v>
      </c>
      <c r="F248" t="s">
        <v>122</v>
      </c>
      <c r="G248" t="s">
        <v>6714</v>
      </c>
      <c r="H248" t="s">
        <v>6715</v>
      </c>
    </row>
    <row r="249" spans="1:8">
      <c r="A249" t="s">
        <v>249</v>
      </c>
      <c r="B249" t="s">
        <v>122</v>
      </c>
      <c r="C249">
        <v>32</v>
      </c>
      <c r="D249" t="s">
        <v>6716</v>
      </c>
      <c r="F249" t="s">
        <v>6717</v>
      </c>
      <c r="G249" t="s">
        <v>6718</v>
      </c>
      <c r="H249" t="s">
        <v>6719</v>
      </c>
    </row>
    <row r="250" spans="1:8">
      <c r="A250" t="s">
        <v>242</v>
      </c>
      <c r="B250" t="s">
        <v>122</v>
      </c>
      <c r="C250">
        <v>32</v>
      </c>
      <c r="D250" t="s">
        <v>6720</v>
      </c>
      <c r="E250" t="s">
        <v>6711</v>
      </c>
      <c r="F250" t="s">
        <v>122</v>
      </c>
    </row>
    <row r="251" spans="1:8">
      <c r="A251" t="s">
        <v>242</v>
      </c>
      <c r="B251" t="s">
        <v>122</v>
      </c>
      <c r="C251">
        <v>32</v>
      </c>
      <c r="D251" t="s">
        <v>6721</v>
      </c>
      <c r="E251" t="s">
        <v>6722</v>
      </c>
      <c r="F251" t="s">
        <v>122</v>
      </c>
      <c r="G251" t="s">
        <v>6723</v>
      </c>
      <c r="H251" t="s">
        <v>6724</v>
      </c>
    </row>
    <row r="252" spans="1:8">
      <c r="A252" t="s">
        <v>239</v>
      </c>
      <c r="B252" t="s">
        <v>122</v>
      </c>
      <c r="C252">
        <v>32</v>
      </c>
      <c r="D252" t="s">
        <v>6725</v>
      </c>
      <c r="E252" t="s">
        <v>6726</v>
      </c>
      <c r="G252" t="s">
        <v>6727</v>
      </c>
      <c r="H252" t="s">
        <v>6728</v>
      </c>
    </row>
    <row r="253" spans="1:8">
      <c r="A253" t="s">
        <v>242</v>
      </c>
      <c r="B253" t="s">
        <v>122</v>
      </c>
      <c r="C253">
        <v>32</v>
      </c>
      <c r="D253" t="s">
        <v>6729</v>
      </c>
      <c r="E253" t="s">
        <v>6730</v>
      </c>
      <c r="F253" t="s">
        <v>122</v>
      </c>
      <c r="G253" t="s">
        <v>6714</v>
      </c>
      <c r="H253" t="s">
        <v>6715</v>
      </c>
    </row>
    <row r="254" spans="1:8">
      <c r="A254" t="s">
        <v>242</v>
      </c>
      <c r="B254" t="s">
        <v>122</v>
      </c>
      <c r="C254">
        <v>32</v>
      </c>
      <c r="D254" t="s">
        <v>6731</v>
      </c>
      <c r="E254" t="s">
        <v>6732</v>
      </c>
      <c r="G254" t="s">
        <v>6733</v>
      </c>
      <c r="H254" t="s">
        <v>6734</v>
      </c>
    </row>
    <row r="255" spans="1:8">
      <c r="A255" t="s">
        <v>242</v>
      </c>
      <c r="B255" t="s">
        <v>122</v>
      </c>
      <c r="C255">
        <v>32</v>
      </c>
      <c r="D255" t="s">
        <v>6735</v>
      </c>
      <c r="E255" t="s">
        <v>6736</v>
      </c>
      <c r="H255" t="s">
        <v>6737</v>
      </c>
    </row>
    <row r="256" spans="1:8">
      <c r="A256" t="s">
        <v>244</v>
      </c>
      <c r="B256" t="s">
        <v>122</v>
      </c>
      <c r="C256">
        <v>32</v>
      </c>
      <c r="D256" t="s">
        <v>1282</v>
      </c>
      <c r="F256" t="s">
        <v>6738</v>
      </c>
    </row>
    <row r="257" spans="1:8">
      <c r="A257" t="s">
        <v>241</v>
      </c>
      <c r="B257" t="s">
        <v>23</v>
      </c>
      <c r="C257">
        <v>32</v>
      </c>
      <c r="D257" t="s">
        <v>8821</v>
      </c>
      <c r="E257" t="s">
        <v>8822</v>
      </c>
      <c r="H257" t="s">
        <v>8823</v>
      </c>
    </row>
    <row r="258" spans="1:8">
      <c r="A258" t="s">
        <v>240</v>
      </c>
      <c r="B258" t="s">
        <v>23</v>
      </c>
      <c r="C258">
        <v>32</v>
      </c>
      <c r="D258" t="s">
        <v>8824</v>
      </c>
      <c r="E258" t="s">
        <v>8825</v>
      </c>
      <c r="F258" t="s">
        <v>23</v>
      </c>
      <c r="G258" t="s">
        <v>8826</v>
      </c>
      <c r="H258" t="s">
        <v>8827</v>
      </c>
    </row>
    <row r="259" spans="1:8">
      <c r="A259" t="s">
        <v>240</v>
      </c>
      <c r="B259" t="s">
        <v>23</v>
      </c>
      <c r="C259">
        <v>32</v>
      </c>
      <c r="D259" t="s">
        <v>8828</v>
      </c>
      <c r="E259" t="s">
        <v>8829</v>
      </c>
      <c r="F259" t="s">
        <v>23</v>
      </c>
      <c r="G259" t="s">
        <v>8830</v>
      </c>
      <c r="H259" t="s">
        <v>8831</v>
      </c>
    </row>
    <row r="260" spans="1:8">
      <c r="A260" t="s">
        <v>242</v>
      </c>
      <c r="B260" t="s">
        <v>23</v>
      </c>
      <c r="C260">
        <v>32</v>
      </c>
      <c r="D260" t="s">
        <v>8832</v>
      </c>
      <c r="E260" t="s">
        <v>8833</v>
      </c>
      <c r="F260" t="s">
        <v>23</v>
      </c>
      <c r="G260" t="s">
        <v>8834</v>
      </c>
      <c r="H260" t="s">
        <v>8835</v>
      </c>
    </row>
    <row r="261" spans="1:8">
      <c r="A261" t="s">
        <v>245</v>
      </c>
      <c r="B261" t="s">
        <v>23</v>
      </c>
      <c r="C261">
        <v>32</v>
      </c>
      <c r="D261" t="s">
        <v>8836</v>
      </c>
      <c r="E261" t="s">
        <v>8837</v>
      </c>
      <c r="F261" t="s">
        <v>8838</v>
      </c>
      <c r="G261" t="s">
        <v>8839</v>
      </c>
      <c r="H261" t="s">
        <v>8840</v>
      </c>
    </row>
    <row r="262" spans="1:8">
      <c r="A262" t="s">
        <v>241</v>
      </c>
      <c r="B262" t="s">
        <v>23</v>
      </c>
      <c r="C262">
        <v>32</v>
      </c>
      <c r="D262" t="s">
        <v>8841</v>
      </c>
      <c r="E262" t="s">
        <v>8842</v>
      </c>
      <c r="F262" t="s">
        <v>8843</v>
      </c>
      <c r="G262" t="s">
        <v>8844</v>
      </c>
      <c r="H262" t="s">
        <v>8845</v>
      </c>
    </row>
    <row r="263" spans="1:8">
      <c r="A263" t="s">
        <v>242</v>
      </c>
      <c r="B263" t="s">
        <v>23</v>
      </c>
      <c r="C263">
        <v>32</v>
      </c>
      <c r="D263" t="s">
        <v>8846</v>
      </c>
      <c r="E263" t="s">
        <v>8847</v>
      </c>
      <c r="G263" t="s">
        <v>8848</v>
      </c>
      <c r="H263" t="s">
        <v>8849</v>
      </c>
    </row>
    <row r="264" spans="1:8">
      <c r="A264" t="s">
        <v>242</v>
      </c>
      <c r="B264" t="s">
        <v>23</v>
      </c>
      <c r="C264">
        <v>32</v>
      </c>
      <c r="D264" t="s">
        <v>8850</v>
      </c>
      <c r="E264" t="s">
        <v>8851</v>
      </c>
      <c r="F264" t="s">
        <v>8843</v>
      </c>
      <c r="H264" t="s">
        <v>8852</v>
      </c>
    </row>
    <row r="265" spans="1:8">
      <c r="A265" t="s">
        <v>243</v>
      </c>
      <c r="B265" t="s">
        <v>23</v>
      </c>
      <c r="C265">
        <v>32</v>
      </c>
      <c r="D265" t="s">
        <v>8853</v>
      </c>
      <c r="E265" t="s">
        <v>8854</v>
      </c>
      <c r="H265" t="s">
        <v>8855</v>
      </c>
    </row>
    <row r="266" spans="1:8">
      <c r="A266" t="s">
        <v>241</v>
      </c>
      <c r="B266" t="s">
        <v>91</v>
      </c>
      <c r="C266">
        <v>32</v>
      </c>
      <c r="D266" t="s">
        <v>11831</v>
      </c>
      <c r="E266" t="s">
        <v>11832</v>
      </c>
      <c r="F266" t="s">
        <v>91</v>
      </c>
      <c r="H266" t="s">
        <v>11833</v>
      </c>
    </row>
    <row r="267" spans="1:8">
      <c r="A267" t="s">
        <v>241</v>
      </c>
      <c r="B267" t="s">
        <v>91</v>
      </c>
      <c r="C267">
        <v>32</v>
      </c>
      <c r="D267" t="s">
        <v>11834</v>
      </c>
      <c r="E267" t="s">
        <v>11835</v>
      </c>
      <c r="F267" t="s">
        <v>91</v>
      </c>
      <c r="G267" t="s">
        <v>11836</v>
      </c>
      <c r="H267" t="s">
        <v>11837</v>
      </c>
    </row>
    <row r="268" spans="1:8">
      <c r="A268" t="s">
        <v>241</v>
      </c>
      <c r="B268" t="s">
        <v>91</v>
      </c>
      <c r="C268">
        <v>32</v>
      </c>
      <c r="D268" t="s">
        <v>11838</v>
      </c>
      <c r="E268" t="s">
        <v>11839</v>
      </c>
      <c r="F268" t="s">
        <v>91</v>
      </c>
      <c r="H268" t="s">
        <v>11840</v>
      </c>
    </row>
    <row r="269" spans="1:8">
      <c r="A269" t="s">
        <v>238</v>
      </c>
      <c r="B269" t="s">
        <v>91</v>
      </c>
      <c r="C269">
        <v>32</v>
      </c>
      <c r="D269" t="s">
        <v>7590</v>
      </c>
      <c r="E269" t="s">
        <v>11841</v>
      </c>
      <c r="F269" t="s">
        <v>91</v>
      </c>
      <c r="G269" t="s">
        <v>11842</v>
      </c>
      <c r="H269" t="s">
        <v>11843</v>
      </c>
    </row>
    <row r="270" spans="1:8">
      <c r="A270" t="s">
        <v>242</v>
      </c>
      <c r="B270" t="s">
        <v>91</v>
      </c>
      <c r="C270">
        <v>32</v>
      </c>
      <c r="D270" t="s">
        <v>11844</v>
      </c>
      <c r="E270" t="s">
        <v>11845</v>
      </c>
      <c r="F270" t="s">
        <v>91</v>
      </c>
      <c r="G270" t="s">
        <v>11846</v>
      </c>
      <c r="H270" t="s">
        <v>11847</v>
      </c>
    </row>
    <row r="271" spans="1:8">
      <c r="A271" t="s">
        <v>241</v>
      </c>
      <c r="B271" t="s">
        <v>91</v>
      </c>
      <c r="C271">
        <v>32</v>
      </c>
      <c r="D271" t="s">
        <v>11848</v>
      </c>
      <c r="E271" t="s">
        <v>11849</v>
      </c>
      <c r="F271" t="s">
        <v>91</v>
      </c>
      <c r="G271" t="s">
        <v>11850</v>
      </c>
      <c r="H271" t="s">
        <v>11851</v>
      </c>
    </row>
    <row r="272" spans="1:8">
      <c r="A272" t="s">
        <v>241</v>
      </c>
      <c r="B272" t="s">
        <v>91</v>
      </c>
      <c r="C272">
        <v>32</v>
      </c>
      <c r="D272" t="s">
        <v>11852</v>
      </c>
      <c r="E272" t="s">
        <v>11853</v>
      </c>
      <c r="F272" t="s">
        <v>91</v>
      </c>
      <c r="G272" t="s">
        <v>11854</v>
      </c>
      <c r="H272" t="s">
        <v>11855</v>
      </c>
    </row>
    <row r="273" spans="1:8">
      <c r="A273" t="s">
        <v>241</v>
      </c>
      <c r="B273" t="s">
        <v>91</v>
      </c>
      <c r="C273">
        <v>32</v>
      </c>
      <c r="D273" t="s">
        <v>11856</v>
      </c>
      <c r="E273" t="s">
        <v>11857</v>
      </c>
      <c r="F273" t="s">
        <v>91</v>
      </c>
      <c r="G273" t="s">
        <v>11858</v>
      </c>
      <c r="H273" t="s">
        <v>11859</v>
      </c>
    </row>
    <row r="274" spans="1:8">
      <c r="A274" t="s">
        <v>241</v>
      </c>
      <c r="B274" t="s">
        <v>91</v>
      </c>
      <c r="C274">
        <v>32</v>
      </c>
      <c r="D274" t="s">
        <v>11860</v>
      </c>
      <c r="E274" t="s">
        <v>11861</v>
      </c>
      <c r="F274" t="s">
        <v>91</v>
      </c>
      <c r="G274" t="s">
        <v>11862</v>
      </c>
      <c r="H274" t="s">
        <v>11863</v>
      </c>
    </row>
    <row r="275" spans="1:8">
      <c r="A275" t="s">
        <v>243</v>
      </c>
      <c r="B275" t="s">
        <v>91</v>
      </c>
      <c r="C275">
        <v>32</v>
      </c>
      <c r="D275" t="s">
        <v>11864</v>
      </c>
      <c r="E275" t="s">
        <v>11865</v>
      </c>
      <c r="F275" t="s">
        <v>91</v>
      </c>
      <c r="H275" t="s">
        <v>11866</v>
      </c>
    </row>
    <row r="276" spans="1:8">
      <c r="A276" t="s">
        <v>241</v>
      </c>
      <c r="B276" t="s">
        <v>91</v>
      </c>
      <c r="C276">
        <v>32</v>
      </c>
      <c r="D276" t="s">
        <v>11867</v>
      </c>
      <c r="E276" t="s">
        <v>11868</v>
      </c>
      <c r="F276" t="s">
        <v>91</v>
      </c>
      <c r="G276" t="s">
        <v>11869</v>
      </c>
      <c r="H276" t="s">
        <v>11870</v>
      </c>
    </row>
    <row r="277" spans="1:8">
      <c r="A277" t="s">
        <v>240</v>
      </c>
      <c r="B277" t="s">
        <v>91</v>
      </c>
      <c r="C277">
        <v>32</v>
      </c>
      <c r="D277" t="s">
        <v>11871</v>
      </c>
      <c r="E277" t="s">
        <v>11872</v>
      </c>
      <c r="F277" t="s">
        <v>91</v>
      </c>
      <c r="G277" t="s">
        <v>11873</v>
      </c>
      <c r="H277" t="s">
        <v>11874</v>
      </c>
    </row>
    <row r="278" spans="1:8">
      <c r="A278" t="s">
        <v>241</v>
      </c>
      <c r="B278" t="s">
        <v>91</v>
      </c>
      <c r="C278">
        <v>32</v>
      </c>
      <c r="D278" t="s">
        <v>11875</v>
      </c>
      <c r="E278" t="s">
        <v>11876</v>
      </c>
      <c r="G278" t="s">
        <v>11877</v>
      </c>
      <c r="H278" t="s">
        <v>11878</v>
      </c>
    </row>
    <row r="279" spans="1:8">
      <c r="A279" t="s">
        <v>241</v>
      </c>
      <c r="B279" t="s">
        <v>91</v>
      </c>
      <c r="C279">
        <v>32</v>
      </c>
      <c r="D279" t="s">
        <v>11879</v>
      </c>
      <c r="E279" t="s">
        <v>11880</v>
      </c>
      <c r="G279" t="s">
        <v>11881</v>
      </c>
      <c r="H279" t="s">
        <v>11882</v>
      </c>
    </row>
    <row r="280" spans="1:8">
      <c r="A280" t="s">
        <v>241</v>
      </c>
      <c r="B280" t="s">
        <v>91</v>
      </c>
      <c r="C280">
        <v>32</v>
      </c>
      <c r="D280" t="s">
        <v>11883</v>
      </c>
      <c r="E280" t="s">
        <v>11884</v>
      </c>
      <c r="H280" t="s">
        <v>11885</v>
      </c>
    </row>
    <row r="281" spans="1:8">
      <c r="A281" t="s">
        <v>241</v>
      </c>
      <c r="B281" t="s">
        <v>91</v>
      </c>
      <c r="C281">
        <v>32</v>
      </c>
      <c r="D281" t="s">
        <v>11886</v>
      </c>
      <c r="E281" t="s">
        <v>11887</v>
      </c>
      <c r="H281" t="s">
        <v>11888</v>
      </c>
    </row>
    <row r="282" spans="1:8">
      <c r="A282" t="s">
        <v>241</v>
      </c>
      <c r="B282" t="s">
        <v>91</v>
      </c>
      <c r="C282">
        <v>32</v>
      </c>
      <c r="D282" t="s">
        <v>11889</v>
      </c>
      <c r="E282" t="s">
        <v>11890</v>
      </c>
      <c r="F282" t="s">
        <v>11891</v>
      </c>
      <c r="H282" t="s">
        <v>11892</v>
      </c>
    </row>
    <row r="283" spans="1:8">
      <c r="A283" t="s">
        <v>238</v>
      </c>
      <c r="B283" t="s">
        <v>91</v>
      </c>
      <c r="C283">
        <v>32</v>
      </c>
      <c r="D283" t="s">
        <v>11893</v>
      </c>
      <c r="E283" t="s">
        <v>11894</v>
      </c>
      <c r="H283" t="s">
        <v>11885</v>
      </c>
    </row>
    <row r="284" spans="1:8">
      <c r="A284" t="s">
        <v>244</v>
      </c>
      <c r="B284" t="s">
        <v>91</v>
      </c>
      <c r="C284">
        <v>32</v>
      </c>
      <c r="D284" t="s">
        <v>1282</v>
      </c>
      <c r="H284" t="s">
        <v>11895</v>
      </c>
    </row>
    <row r="285" spans="1:8">
      <c r="A285" t="s">
        <v>241</v>
      </c>
      <c r="B285" t="s">
        <v>91</v>
      </c>
      <c r="C285">
        <v>32</v>
      </c>
      <c r="D285" t="s">
        <v>11896</v>
      </c>
      <c r="E285" t="s">
        <v>11897</v>
      </c>
      <c r="G285" t="s">
        <v>11898</v>
      </c>
      <c r="H285" t="s">
        <v>11899</v>
      </c>
    </row>
    <row r="286" spans="1:8">
      <c r="A286" t="s">
        <v>241</v>
      </c>
      <c r="B286" t="s">
        <v>91</v>
      </c>
      <c r="C286">
        <v>32</v>
      </c>
      <c r="D286" t="s">
        <v>11900</v>
      </c>
      <c r="E286" t="s">
        <v>11901</v>
      </c>
      <c r="F286" t="s">
        <v>11902</v>
      </c>
      <c r="G286" t="s">
        <v>11903</v>
      </c>
      <c r="H286" t="s">
        <v>11904</v>
      </c>
    </row>
    <row r="287" spans="1:8">
      <c r="A287" t="s">
        <v>241</v>
      </c>
      <c r="B287" t="s">
        <v>91</v>
      </c>
      <c r="C287">
        <v>32</v>
      </c>
      <c r="D287" t="s">
        <v>1299</v>
      </c>
      <c r="E287" t="s">
        <v>11905</v>
      </c>
      <c r="F287" t="s">
        <v>91</v>
      </c>
      <c r="G287" t="s">
        <v>11906</v>
      </c>
      <c r="H287" t="s">
        <v>11907</v>
      </c>
    </row>
    <row r="288" spans="1:8">
      <c r="A288" t="s">
        <v>241</v>
      </c>
      <c r="B288" t="s">
        <v>91</v>
      </c>
      <c r="C288">
        <v>32</v>
      </c>
      <c r="D288" t="s">
        <v>11908</v>
      </c>
      <c r="E288" t="s">
        <v>11909</v>
      </c>
      <c r="H288" t="s">
        <v>11910</v>
      </c>
    </row>
    <row r="289" spans="1:8">
      <c r="A289" t="s">
        <v>241</v>
      </c>
      <c r="B289" t="s">
        <v>91</v>
      </c>
      <c r="C289">
        <v>32</v>
      </c>
      <c r="D289" t="s">
        <v>3813</v>
      </c>
      <c r="E289" t="s">
        <v>11911</v>
      </c>
      <c r="F289" t="s">
        <v>91</v>
      </c>
      <c r="G289" t="s">
        <v>11912</v>
      </c>
      <c r="H289" t="s">
        <v>11913</v>
      </c>
    </row>
    <row r="290" spans="1:8">
      <c r="A290" t="s">
        <v>243</v>
      </c>
      <c r="B290" t="s">
        <v>91</v>
      </c>
      <c r="C290">
        <v>32</v>
      </c>
      <c r="D290" t="s">
        <v>11914</v>
      </c>
      <c r="E290" t="s">
        <v>11915</v>
      </c>
      <c r="F290" t="s">
        <v>91</v>
      </c>
      <c r="G290" t="s">
        <v>11916</v>
      </c>
      <c r="H290" t="s">
        <v>11917</v>
      </c>
    </row>
    <row r="291" spans="1:8">
      <c r="A291" t="s">
        <v>241</v>
      </c>
      <c r="B291" t="s">
        <v>91</v>
      </c>
      <c r="C291">
        <v>32</v>
      </c>
      <c r="D291" t="s">
        <v>11918</v>
      </c>
      <c r="E291" t="s">
        <v>11919</v>
      </c>
      <c r="F291" t="s">
        <v>11891</v>
      </c>
      <c r="H291" t="s">
        <v>11920</v>
      </c>
    </row>
    <row r="292" spans="1:8">
      <c r="A292" t="s">
        <v>243</v>
      </c>
      <c r="B292" t="s">
        <v>91</v>
      </c>
      <c r="C292">
        <v>32</v>
      </c>
      <c r="D292" t="s">
        <v>11921</v>
      </c>
      <c r="E292" t="s">
        <v>11922</v>
      </c>
      <c r="F292" t="s">
        <v>91</v>
      </c>
      <c r="G292" t="s">
        <v>11923</v>
      </c>
      <c r="H292" t="s">
        <v>11924</v>
      </c>
    </row>
    <row r="293" spans="1:8">
      <c r="A293" t="s">
        <v>241</v>
      </c>
      <c r="B293" t="s">
        <v>91</v>
      </c>
      <c r="C293">
        <v>32</v>
      </c>
      <c r="D293" t="s">
        <v>11925</v>
      </c>
      <c r="E293" t="s">
        <v>11926</v>
      </c>
      <c r="F293" t="s">
        <v>91</v>
      </c>
      <c r="G293" t="s">
        <v>11927</v>
      </c>
      <c r="H293" t="s">
        <v>11928</v>
      </c>
    </row>
    <row r="294" spans="1:8">
      <c r="A294" t="s">
        <v>241</v>
      </c>
      <c r="B294" t="s">
        <v>91</v>
      </c>
      <c r="C294">
        <v>32</v>
      </c>
      <c r="D294" t="s">
        <v>11929</v>
      </c>
      <c r="E294" t="s">
        <v>11930</v>
      </c>
      <c r="F294" t="s">
        <v>91</v>
      </c>
      <c r="G294" t="s">
        <v>11931</v>
      </c>
      <c r="H294" t="s">
        <v>11932</v>
      </c>
    </row>
    <row r="295" spans="1:8">
      <c r="A295" t="s">
        <v>242</v>
      </c>
      <c r="B295" t="s">
        <v>91</v>
      </c>
      <c r="C295">
        <v>32</v>
      </c>
      <c r="D295" t="s">
        <v>11933</v>
      </c>
      <c r="E295" t="s">
        <v>11934</v>
      </c>
      <c r="H295" t="s">
        <v>11935</v>
      </c>
    </row>
    <row r="296" spans="1:8">
      <c r="A296" t="s">
        <v>241</v>
      </c>
      <c r="B296" t="s">
        <v>91</v>
      </c>
      <c r="C296">
        <v>32</v>
      </c>
      <c r="D296" t="s">
        <v>11936</v>
      </c>
      <c r="E296" t="s">
        <v>11937</v>
      </c>
      <c r="F296" t="s">
        <v>5709</v>
      </c>
      <c r="G296" t="s">
        <v>11938</v>
      </c>
      <c r="H296" t="s">
        <v>11939</v>
      </c>
    </row>
    <row r="297" spans="1:8">
      <c r="A297" t="s">
        <v>241</v>
      </c>
      <c r="B297" t="s">
        <v>91</v>
      </c>
      <c r="C297">
        <v>32</v>
      </c>
      <c r="D297" t="s">
        <v>11940</v>
      </c>
      <c r="E297" t="s">
        <v>11941</v>
      </c>
      <c r="F297" t="s">
        <v>91</v>
      </c>
      <c r="H297" t="s">
        <v>11942</v>
      </c>
    </row>
    <row r="298" spans="1:8">
      <c r="A298" t="s">
        <v>241</v>
      </c>
      <c r="B298" t="s">
        <v>91</v>
      </c>
      <c r="C298">
        <v>32</v>
      </c>
      <c r="D298" t="s">
        <v>11943</v>
      </c>
      <c r="E298" t="s">
        <v>11944</v>
      </c>
      <c r="F298" t="s">
        <v>91</v>
      </c>
      <c r="H298" t="s">
        <v>11945</v>
      </c>
    </row>
    <row r="299" spans="1:8">
      <c r="A299" t="s">
        <v>240</v>
      </c>
      <c r="B299" t="s">
        <v>91</v>
      </c>
      <c r="C299">
        <v>32</v>
      </c>
      <c r="D299" t="s">
        <v>11946</v>
      </c>
      <c r="E299" t="s">
        <v>11947</v>
      </c>
      <c r="F299" t="s">
        <v>91</v>
      </c>
      <c r="G299" t="s">
        <v>11948</v>
      </c>
      <c r="H299" t="s">
        <v>11949</v>
      </c>
    </row>
    <row r="300" spans="1:8">
      <c r="A300" t="s">
        <v>240</v>
      </c>
      <c r="B300" t="s">
        <v>91</v>
      </c>
      <c r="C300">
        <v>32</v>
      </c>
      <c r="D300" t="s">
        <v>11950</v>
      </c>
      <c r="E300" t="s">
        <v>11951</v>
      </c>
      <c r="F300" t="s">
        <v>91</v>
      </c>
      <c r="G300" t="s">
        <v>11952</v>
      </c>
      <c r="H300" t="s">
        <v>11953</v>
      </c>
    </row>
    <row r="301" spans="1:8">
      <c r="A301" t="s">
        <v>246</v>
      </c>
      <c r="B301" t="s">
        <v>91</v>
      </c>
      <c r="C301">
        <v>32</v>
      </c>
      <c r="D301" t="s">
        <v>11954</v>
      </c>
      <c r="E301" t="s">
        <v>11955</v>
      </c>
      <c r="F301" t="s">
        <v>91</v>
      </c>
      <c r="G301" t="s">
        <v>11956</v>
      </c>
      <c r="H301" t="s">
        <v>11957</v>
      </c>
    </row>
    <row r="302" spans="1:8">
      <c r="A302" t="s">
        <v>242</v>
      </c>
      <c r="B302" t="s">
        <v>91</v>
      </c>
      <c r="C302">
        <v>32</v>
      </c>
      <c r="D302" t="s">
        <v>11958</v>
      </c>
      <c r="E302" t="s">
        <v>11959</v>
      </c>
      <c r="F302" t="s">
        <v>91</v>
      </c>
      <c r="G302" t="s">
        <v>11960</v>
      </c>
      <c r="H302" t="s">
        <v>11961</v>
      </c>
    </row>
    <row r="303" spans="1:8">
      <c r="A303" t="s">
        <v>241</v>
      </c>
      <c r="B303" t="s">
        <v>91</v>
      </c>
      <c r="C303">
        <v>32</v>
      </c>
      <c r="D303" t="s">
        <v>11962</v>
      </c>
      <c r="E303" t="s">
        <v>11963</v>
      </c>
      <c r="F303" t="s">
        <v>91</v>
      </c>
      <c r="G303" t="s">
        <v>11964</v>
      </c>
      <c r="H303" t="s">
        <v>11965</v>
      </c>
    </row>
    <row r="304" spans="1:8">
      <c r="A304" t="s">
        <v>238</v>
      </c>
      <c r="B304" t="s">
        <v>91</v>
      </c>
      <c r="C304">
        <v>32</v>
      </c>
      <c r="D304" t="s">
        <v>11966</v>
      </c>
      <c r="E304" t="s">
        <v>11967</v>
      </c>
      <c r="F304" t="s">
        <v>91</v>
      </c>
      <c r="G304" t="s">
        <v>11968</v>
      </c>
      <c r="H304" t="s">
        <v>11969</v>
      </c>
    </row>
    <row r="305" spans="1:8">
      <c r="A305" t="s">
        <v>241</v>
      </c>
      <c r="B305" t="s">
        <v>91</v>
      </c>
      <c r="C305">
        <v>32</v>
      </c>
      <c r="D305" t="s">
        <v>11970</v>
      </c>
      <c r="E305" t="s">
        <v>11971</v>
      </c>
      <c r="F305" t="s">
        <v>11972</v>
      </c>
      <c r="G305" t="s">
        <v>11973</v>
      </c>
      <c r="H305" t="s">
        <v>11974</v>
      </c>
    </row>
    <row r="306" spans="1:8">
      <c r="A306" t="s">
        <v>242</v>
      </c>
      <c r="B306" t="s">
        <v>91</v>
      </c>
      <c r="C306">
        <v>32</v>
      </c>
      <c r="D306" t="s">
        <v>11975</v>
      </c>
      <c r="F306" t="s">
        <v>11976</v>
      </c>
      <c r="G306" t="s">
        <v>11977</v>
      </c>
      <c r="H306" t="s">
        <v>11978</v>
      </c>
    </row>
    <row r="307" spans="1:8">
      <c r="A307" t="s">
        <v>240</v>
      </c>
      <c r="B307" t="s">
        <v>91</v>
      </c>
      <c r="C307">
        <v>32</v>
      </c>
      <c r="D307" t="s">
        <v>11682</v>
      </c>
      <c r="E307" t="s">
        <v>11979</v>
      </c>
      <c r="F307" t="s">
        <v>91</v>
      </c>
      <c r="G307" t="s">
        <v>11980</v>
      </c>
      <c r="H307" t="s">
        <v>11981</v>
      </c>
    </row>
    <row r="308" spans="1:8">
      <c r="A308" t="s">
        <v>241</v>
      </c>
      <c r="B308" t="s">
        <v>111</v>
      </c>
      <c r="C308">
        <v>33</v>
      </c>
      <c r="D308" t="s">
        <v>2624</v>
      </c>
      <c r="E308" t="s">
        <v>2625</v>
      </c>
      <c r="F308" t="s">
        <v>111</v>
      </c>
      <c r="G308" t="s">
        <v>2626</v>
      </c>
      <c r="H308" t="s">
        <v>2627</v>
      </c>
    </row>
    <row r="309" spans="1:8">
      <c r="A309" t="s">
        <v>242</v>
      </c>
      <c r="B309" t="s">
        <v>111</v>
      </c>
      <c r="C309">
        <v>33</v>
      </c>
      <c r="D309" t="s">
        <v>2628</v>
      </c>
      <c r="E309" t="s">
        <v>2629</v>
      </c>
      <c r="F309" t="s">
        <v>111</v>
      </c>
      <c r="G309" t="s">
        <v>2630</v>
      </c>
      <c r="H309" t="s">
        <v>2631</v>
      </c>
    </row>
    <row r="310" spans="1:8">
      <c r="A310" t="s">
        <v>240</v>
      </c>
      <c r="B310" t="s">
        <v>111</v>
      </c>
      <c r="C310">
        <v>33</v>
      </c>
      <c r="D310" t="s">
        <v>2632</v>
      </c>
      <c r="E310" t="s">
        <v>2633</v>
      </c>
      <c r="F310" t="s">
        <v>111</v>
      </c>
      <c r="G310" t="s">
        <v>2634</v>
      </c>
      <c r="H310" t="s">
        <v>2635</v>
      </c>
    </row>
    <row r="311" spans="1:8">
      <c r="A311" t="s">
        <v>244</v>
      </c>
      <c r="B311" t="s">
        <v>111</v>
      </c>
      <c r="C311">
        <v>33</v>
      </c>
      <c r="D311" t="s">
        <v>1282</v>
      </c>
    </row>
    <row r="312" spans="1:8">
      <c r="A312" t="s">
        <v>241</v>
      </c>
      <c r="B312" t="s">
        <v>111</v>
      </c>
      <c r="C312">
        <v>33</v>
      </c>
      <c r="D312" t="s">
        <v>2636</v>
      </c>
      <c r="E312" t="s">
        <v>2637</v>
      </c>
      <c r="F312" t="s">
        <v>111</v>
      </c>
      <c r="H312" t="s">
        <v>2638</v>
      </c>
    </row>
    <row r="313" spans="1:8">
      <c r="A313" t="s">
        <v>239</v>
      </c>
      <c r="B313" t="s">
        <v>111</v>
      </c>
      <c r="C313">
        <v>33</v>
      </c>
      <c r="D313" t="s">
        <v>2639</v>
      </c>
      <c r="E313" t="s">
        <v>2637</v>
      </c>
      <c r="F313" t="s">
        <v>111</v>
      </c>
      <c r="H313" t="s">
        <v>2640</v>
      </c>
    </row>
    <row r="314" spans="1:8">
      <c r="A314" t="s">
        <v>242</v>
      </c>
      <c r="B314" t="s">
        <v>111</v>
      </c>
      <c r="C314">
        <v>33</v>
      </c>
      <c r="D314" t="s">
        <v>2641</v>
      </c>
      <c r="E314" t="s">
        <v>2642</v>
      </c>
      <c r="G314" t="s">
        <v>2643</v>
      </c>
      <c r="H314" t="s">
        <v>2644</v>
      </c>
    </row>
    <row r="315" spans="1:8">
      <c r="A315" t="s">
        <v>243</v>
      </c>
      <c r="B315" t="s">
        <v>111</v>
      </c>
      <c r="C315">
        <v>33</v>
      </c>
      <c r="D315" t="s">
        <v>2645</v>
      </c>
      <c r="E315" t="s">
        <v>2646</v>
      </c>
      <c r="F315" t="s">
        <v>111</v>
      </c>
      <c r="H315" t="s">
        <v>2647</v>
      </c>
    </row>
    <row r="316" spans="1:8">
      <c r="A316" t="s">
        <v>241</v>
      </c>
      <c r="B316" t="s">
        <v>111</v>
      </c>
      <c r="C316">
        <v>33</v>
      </c>
      <c r="D316" t="s">
        <v>2648</v>
      </c>
      <c r="E316" t="s">
        <v>2629</v>
      </c>
      <c r="F316" t="s">
        <v>2649</v>
      </c>
      <c r="G316" t="s">
        <v>2650</v>
      </c>
      <c r="H316" t="s">
        <v>2651</v>
      </c>
    </row>
    <row r="317" spans="1:8">
      <c r="A317" t="s">
        <v>241</v>
      </c>
      <c r="B317" t="s">
        <v>111</v>
      </c>
      <c r="C317">
        <v>33</v>
      </c>
      <c r="D317" t="s">
        <v>2652</v>
      </c>
    </row>
    <row r="318" spans="1:8">
      <c r="A318" t="s">
        <v>242</v>
      </c>
      <c r="B318" t="s">
        <v>111</v>
      </c>
      <c r="C318">
        <v>33</v>
      </c>
      <c r="D318" t="s">
        <v>2653</v>
      </c>
      <c r="F318" t="s">
        <v>111</v>
      </c>
      <c r="G318" t="s">
        <v>2654</v>
      </c>
      <c r="H318" t="s">
        <v>2655</v>
      </c>
    </row>
    <row r="319" spans="1:8">
      <c r="A319" t="s">
        <v>241</v>
      </c>
      <c r="B319" t="s">
        <v>81</v>
      </c>
      <c r="C319">
        <v>33</v>
      </c>
      <c r="D319" t="s">
        <v>8866</v>
      </c>
      <c r="E319" t="s">
        <v>8867</v>
      </c>
      <c r="H319" t="s">
        <v>8868</v>
      </c>
    </row>
    <row r="320" spans="1:8">
      <c r="A320" t="s">
        <v>240</v>
      </c>
      <c r="B320" t="s">
        <v>81</v>
      </c>
      <c r="C320">
        <v>33</v>
      </c>
      <c r="D320" t="s">
        <v>8869</v>
      </c>
      <c r="E320" t="s">
        <v>8870</v>
      </c>
      <c r="F320" t="s">
        <v>81</v>
      </c>
      <c r="G320" t="s">
        <v>8871</v>
      </c>
      <c r="H320" t="s">
        <v>8872</v>
      </c>
    </row>
    <row r="321" spans="1:8">
      <c r="A321" t="s">
        <v>240</v>
      </c>
      <c r="B321" t="s">
        <v>81</v>
      </c>
      <c r="C321">
        <v>33</v>
      </c>
      <c r="D321" t="s">
        <v>8873</v>
      </c>
      <c r="E321" t="s">
        <v>8874</v>
      </c>
      <c r="F321" t="s">
        <v>81</v>
      </c>
    </row>
    <row r="322" spans="1:8">
      <c r="A322" t="s">
        <v>240</v>
      </c>
      <c r="B322" t="s">
        <v>81</v>
      </c>
      <c r="C322">
        <v>33</v>
      </c>
      <c r="D322" t="s">
        <v>8875</v>
      </c>
      <c r="E322" t="s">
        <v>8876</v>
      </c>
      <c r="F322" t="s">
        <v>81</v>
      </c>
    </row>
    <row r="323" spans="1:8">
      <c r="A323" t="s">
        <v>242</v>
      </c>
      <c r="B323" t="s">
        <v>81</v>
      </c>
      <c r="C323">
        <v>33</v>
      </c>
      <c r="D323" t="s">
        <v>8877</v>
      </c>
      <c r="E323" t="s">
        <v>8878</v>
      </c>
      <c r="F323" t="s">
        <v>81</v>
      </c>
      <c r="G323" t="s">
        <v>8879</v>
      </c>
      <c r="H323" t="s">
        <v>8880</v>
      </c>
    </row>
    <row r="324" spans="1:8">
      <c r="A324" t="s">
        <v>242</v>
      </c>
      <c r="B324" t="s">
        <v>81</v>
      </c>
      <c r="C324">
        <v>33</v>
      </c>
      <c r="D324" t="s">
        <v>8881</v>
      </c>
      <c r="E324" t="s">
        <v>8882</v>
      </c>
      <c r="F324" t="s">
        <v>81</v>
      </c>
      <c r="G324" t="s">
        <v>8883</v>
      </c>
      <c r="H324" t="s">
        <v>8884</v>
      </c>
    </row>
    <row r="325" spans="1:8">
      <c r="A325" t="s">
        <v>242</v>
      </c>
      <c r="B325" t="s">
        <v>81</v>
      </c>
      <c r="C325">
        <v>33</v>
      </c>
      <c r="D325" t="s">
        <v>8885</v>
      </c>
      <c r="E325" t="s">
        <v>8886</v>
      </c>
      <c r="F325" t="s">
        <v>81</v>
      </c>
      <c r="G325" t="s">
        <v>8887</v>
      </c>
      <c r="H325" t="s">
        <v>8888</v>
      </c>
    </row>
    <row r="326" spans="1:8">
      <c r="A326" t="s">
        <v>241</v>
      </c>
      <c r="B326" t="s">
        <v>81</v>
      </c>
      <c r="C326">
        <v>33</v>
      </c>
      <c r="D326" t="s">
        <v>8889</v>
      </c>
      <c r="E326" t="s">
        <v>8890</v>
      </c>
      <c r="G326" t="s">
        <v>8891</v>
      </c>
      <c r="H326" t="s">
        <v>8892</v>
      </c>
    </row>
    <row r="327" spans="1:8">
      <c r="A327" t="s">
        <v>243</v>
      </c>
      <c r="B327" t="s">
        <v>81</v>
      </c>
      <c r="C327">
        <v>33</v>
      </c>
      <c r="D327" t="s">
        <v>6854</v>
      </c>
      <c r="E327" t="s">
        <v>8893</v>
      </c>
      <c r="G327" t="s">
        <v>8894</v>
      </c>
      <c r="H327" t="s">
        <v>8895</v>
      </c>
    </row>
    <row r="328" spans="1:8">
      <c r="A328" t="s">
        <v>241</v>
      </c>
      <c r="B328" t="s">
        <v>81</v>
      </c>
      <c r="C328">
        <v>33</v>
      </c>
      <c r="D328" t="s">
        <v>8896</v>
      </c>
      <c r="E328" t="s">
        <v>8897</v>
      </c>
      <c r="G328" t="s">
        <v>8898</v>
      </c>
      <c r="H328" t="s">
        <v>8899</v>
      </c>
    </row>
    <row r="329" spans="1:8">
      <c r="A329" t="s">
        <v>243</v>
      </c>
      <c r="B329" t="s">
        <v>81</v>
      </c>
      <c r="C329">
        <v>33</v>
      </c>
      <c r="D329" t="s">
        <v>8900</v>
      </c>
      <c r="E329" t="s">
        <v>8901</v>
      </c>
      <c r="F329" t="s">
        <v>81</v>
      </c>
      <c r="G329" t="s">
        <v>8902</v>
      </c>
      <c r="H329" t="s">
        <v>8903</v>
      </c>
    </row>
    <row r="330" spans="1:8">
      <c r="A330" t="s">
        <v>249</v>
      </c>
      <c r="B330" t="s">
        <v>210</v>
      </c>
      <c r="C330">
        <v>33</v>
      </c>
      <c r="D330" t="s">
        <v>10351</v>
      </c>
      <c r="E330" t="s">
        <v>10352</v>
      </c>
      <c r="F330" t="s">
        <v>10353</v>
      </c>
      <c r="H330" t="s">
        <v>10354</v>
      </c>
    </row>
    <row r="331" spans="1:8">
      <c r="A331" t="s">
        <v>242</v>
      </c>
      <c r="B331" t="s">
        <v>210</v>
      </c>
      <c r="C331">
        <v>33</v>
      </c>
      <c r="D331" t="s">
        <v>10355</v>
      </c>
      <c r="E331" t="s">
        <v>10356</v>
      </c>
      <c r="F331" t="s">
        <v>210</v>
      </c>
      <c r="H331" t="s">
        <v>10357</v>
      </c>
    </row>
    <row r="332" spans="1:8">
      <c r="A332" t="s">
        <v>240</v>
      </c>
      <c r="B332" t="s">
        <v>210</v>
      </c>
      <c r="C332">
        <v>33</v>
      </c>
      <c r="D332" t="s">
        <v>10358</v>
      </c>
      <c r="F332" t="s">
        <v>10359</v>
      </c>
      <c r="H332" t="s">
        <v>10360</v>
      </c>
    </row>
    <row r="333" spans="1:8">
      <c r="A333" t="s">
        <v>247</v>
      </c>
      <c r="B333" t="s">
        <v>210</v>
      </c>
      <c r="C333">
        <v>33</v>
      </c>
      <c r="D333" t="s">
        <v>10361</v>
      </c>
      <c r="E333" t="s">
        <v>10362</v>
      </c>
      <c r="G333" t="s">
        <v>10363</v>
      </c>
      <c r="H333" t="s">
        <v>10364</v>
      </c>
    </row>
    <row r="334" spans="1:8">
      <c r="A334" t="s">
        <v>242</v>
      </c>
      <c r="B334" t="s">
        <v>210</v>
      </c>
      <c r="C334">
        <v>33</v>
      </c>
      <c r="D334" t="s">
        <v>10365</v>
      </c>
      <c r="E334" t="s">
        <v>10366</v>
      </c>
      <c r="F334" t="s">
        <v>10367</v>
      </c>
      <c r="H334" t="s">
        <v>10368</v>
      </c>
    </row>
    <row r="335" spans="1:8">
      <c r="A335" t="s">
        <v>241</v>
      </c>
      <c r="B335" t="s">
        <v>210</v>
      </c>
      <c r="C335">
        <v>33</v>
      </c>
      <c r="D335" t="s">
        <v>10369</v>
      </c>
      <c r="E335" t="s">
        <v>10370</v>
      </c>
      <c r="F335" t="s">
        <v>10371</v>
      </c>
      <c r="G335" t="s">
        <v>10372</v>
      </c>
      <c r="H335" t="s">
        <v>10373</v>
      </c>
    </row>
    <row r="336" spans="1:8">
      <c r="A336" t="s">
        <v>242</v>
      </c>
      <c r="B336" t="s">
        <v>210</v>
      </c>
      <c r="C336">
        <v>33</v>
      </c>
      <c r="D336" t="s">
        <v>10374</v>
      </c>
      <c r="E336" t="s">
        <v>10375</v>
      </c>
      <c r="F336" t="s">
        <v>210</v>
      </c>
      <c r="H336" t="s">
        <v>10376</v>
      </c>
    </row>
    <row r="337" spans="1:8">
      <c r="A337" t="s">
        <v>243</v>
      </c>
      <c r="B337" t="s">
        <v>210</v>
      </c>
      <c r="C337">
        <v>33</v>
      </c>
      <c r="D337" t="s">
        <v>10377</v>
      </c>
      <c r="F337" t="s">
        <v>10378</v>
      </c>
      <c r="G337" t="s">
        <v>10379</v>
      </c>
      <c r="H337" t="s">
        <v>10380</v>
      </c>
    </row>
    <row r="338" spans="1:8">
      <c r="A338" t="s">
        <v>249</v>
      </c>
      <c r="B338" t="s">
        <v>210</v>
      </c>
      <c r="C338">
        <v>33</v>
      </c>
      <c r="D338" t="s">
        <v>10381</v>
      </c>
      <c r="E338" t="s">
        <v>10382</v>
      </c>
      <c r="F338" t="s">
        <v>210</v>
      </c>
      <c r="H338" t="s">
        <v>10383</v>
      </c>
    </row>
    <row r="339" spans="1:8">
      <c r="A339" t="s">
        <v>241</v>
      </c>
      <c r="B339" t="s">
        <v>210</v>
      </c>
      <c r="C339">
        <v>33</v>
      </c>
      <c r="D339" t="s">
        <v>10384</v>
      </c>
      <c r="H339" t="s">
        <v>10385</v>
      </c>
    </row>
    <row r="340" spans="1:8">
      <c r="A340" t="s">
        <v>242</v>
      </c>
      <c r="B340" t="s">
        <v>210</v>
      </c>
      <c r="C340">
        <v>33</v>
      </c>
      <c r="D340" t="s">
        <v>10386</v>
      </c>
      <c r="E340" t="s">
        <v>10387</v>
      </c>
      <c r="F340" t="s">
        <v>210</v>
      </c>
      <c r="G340" t="s">
        <v>10388</v>
      </c>
      <c r="H340" t="s">
        <v>10389</v>
      </c>
    </row>
    <row r="341" spans="1:8">
      <c r="A341" t="s">
        <v>242</v>
      </c>
      <c r="B341" t="s">
        <v>210</v>
      </c>
      <c r="C341">
        <v>33</v>
      </c>
      <c r="D341" t="s">
        <v>10390</v>
      </c>
      <c r="E341" t="s">
        <v>10391</v>
      </c>
      <c r="F341" t="s">
        <v>210</v>
      </c>
      <c r="G341" t="s">
        <v>10392</v>
      </c>
      <c r="H341" t="s">
        <v>10393</v>
      </c>
    </row>
    <row r="342" spans="1:8">
      <c r="A342" t="s">
        <v>241</v>
      </c>
      <c r="B342" t="s">
        <v>210</v>
      </c>
      <c r="C342">
        <v>33</v>
      </c>
      <c r="D342" t="s">
        <v>871</v>
      </c>
      <c r="E342" t="s">
        <v>10394</v>
      </c>
      <c r="F342" t="s">
        <v>210</v>
      </c>
      <c r="H342" t="s">
        <v>10395</v>
      </c>
    </row>
    <row r="343" spans="1:8">
      <c r="A343" t="s">
        <v>241</v>
      </c>
      <c r="B343" t="s">
        <v>210</v>
      </c>
      <c r="C343">
        <v>33</v>
      </c>
      <c r="D343" t="s">
        <v>10396</v>
      </c>
      <c r="E343" t="s">
        <v>10397</v>
      </c>
      <c r="F343" t="s">
        <v>210</v>
      </c>
      <c r="G343" t="s">
        <v>10398</v>
      </c>
      <c r="H343" t="s">
        <v>10399</v>
      </c>
    </row>
    <row r="344" spans="1:8">
      <c r="A344" t="s">
        <v>238</v>
      </c>
      <c r="B344" t="s">
        <v>210</v>
      </c>
      <c r="C344">
        <v>33</v>
      </c>
      <c r="D344" t="s">
        <v>10400</v>
      </c>
      <c r="E344" t="s">
        <v>10401</v>
      </c>
      <c r="F344" t="s">
        <v>210</v>
      </c>
    </row>
    <row r="345" spans="1:8">
      <c r="A345" t="s">
        <v>238</v>
      </c>
      <c r="B345" t="s">
        <v>210</v>
      </c>
      <c r="C345">
        <v>33</v>
      </c>
      <c r="D345" t="s">
        <v>10402</v>
      </c>
      <c r="E345" t="s">
        <v>10403</v>
      </c>
      <c r="F345" t="s">
        <v>210</v>
      </c>
      <c r="G345" t="s">
        <v>10404</v>
      </c>
      <c r="H345" t="s">
        <v>10405</v>
      </c>
    </row>
    <row r="346" spans="1:8">
      <c r="A346" t="s">
        <v>243</v>
      </c>
      <c r="B346" t="s">
        <v>210</v>
      </c>
      <c r="C346">
        <v>33</v>
      </c>
      <c r="D346" t="s">
        <v>10406</v>
      </c>
      <c r="H346" t="s">
        <v>10407</v>
      </c>
    </row>
    <row r="347" spans="1:8">
      <c r="A347" t="s">
        <v>241</v>
      </c>
      <c r="B347" t="s">
        <v>210</v>
      </c>
      <c r="C347">
        <v>33</v>
      </c>
      <c r="D347" t="s">
        <v>10408</v>
      </c>
      <c r="E347" t="s">
        <v>10409</v>
      </c>
      <c r="H347" t="s">
        <v>10410</v>
      </c>
    </row>
    <row r="348" spans="1:8">
      <c r="A348" t="s">
        <v>242</v>
      </c>
      <c r="B348" t="s">
        <v>210</v>
      </c>
      <c r="C348">
        <v>33</v>
      </c>
      <c r="D348" t="s">
        <v>10411</v>
      </c>
      <c r="E348" t="s">
        <v>10412</v>
      </c>
      <c r="F348" t="s">
        <v>210</v>
      </c>
      <c r="G348" t="s">
        <v>10413</v>
      </c>
      <c r="H348" t="s">
        <v>10354</v>
      </c>
    </row>
    <row r="349" spans="1:8">
      <c r="A349" t="s">
        <v>242</v>
      </c>
      <c r="B349" t="s">
        <v>210</v>
      </c>
      <c r="C349">
        <v>33</v>
      </c>
      <c r="D349" t="s">
        <v>10414</v>
      </c>
      <c r="E349" t="s">
        <v>10415</v>
      </c>
      <c r="H349" t="s">
        <v>10416</v>
      </c>
    </row>
    <row r="350" spans="1:8">
      <c r="A350" t="s">
        <v>241</v>
      </c>
      <c r="B350" t="s">
        <v>51</v>
      </c>
      <c r="C350">
        <v>33</v>
      </c>
      <c r="D350" t="s">
        <v>15995</v>
      </c>
      <c r="E350" t="s">
        <v>15996</v>
      </c>
      <c r="G350" t="s">
        <v>15997</v>
      </c>
      <c r="H350" t="s">
        <v>15998</v>
      </c>
    </row>
    <row r="351" spans="1:8">
      <c r="A351" t="s">
        <v>241</v>
      </c>
      <c r="B351" t="s">
        <v>51</v>
      </c>
      <c r="C351">
        <v>33</v>
      </c>
      <c r="D351" t="s">
        <v>15999</v>
      </c>
      <c r="E351" t="s">
        <v>16000</v>
      </c>
      <c r="F351" t="s">
        <v>16001</v>
      </c>
      <c r="H351" t="s">
        <v>16002</v>
      </c>
    </row>
    <row r="352" spans="1:8">
      <c r="A352" t="s">
        <v>241</v>
      </c>
      <c r="B352" t="s">
        <v>51</v>
      </c>
      <c r="C352">
        <v>33</v>
      </c>
      <c r="D352" t="s">
        <v>16003</v>
      </c>
      <c r="E352" t="s">
        <v>16004</v>
      </c>
      <c r="G352" t="s">
        <v>16005</v>
      </c>
      <c r="H352" t="s">
        <v>16006</v>
      </c>
    </row>
    <row r="353" spans="1:8">
      <c r="A353" t="s">
        <v>239</v>
      </c>
      <c r="B353" t="s">
        <v>51</v>
      </c>
      <c r="C353">
        <v>33</v>
      </c>
      <c r="D353" t="s">
        <v>16007</v>
      </c>
      <c r="E353" t="s">
        <v>16008</v>
      </c>
      <c r="F353" t="s">
        <v>16009</v>
      </c>
      <c r="H353" t="s">
        <v>16010</v>
      </c>
    </row>
    <row r="354" spans="1:8">
      <c r="A354" t="s">
        <v>241</v>
      </c>
      <c r="B354" t="s">
        <v>51</v>
      </c>
      <c r="C354">
        <v>33</v>
      </c>
      <c r="D354" t="s">
        <v>16011</v>
      </c>
      <c r="E354" t="s">
        <v>16012</v>
      </c>
      <c r="F354" t="s">
        <v>16013</v>
      </c>
      <c r="G354" t="s">
        <v>16014</v>
      </c>
      <c r="H354" t="s">
        <v>16015</v>
      </c>
    </row>
    <row r="355" spans="1:8">
      <c r="A355" t="s">
        <v>241</v>
      </c>
      <c r="B355" t="s">
        <v>51</v>
      </c>
      <c r="C355">
        <v>33</v>
      </c>
      <c r="D355" t="s">
        <v>16016</v>
      </c>
      <c r="E355" t="s">
        <v>16017</v>
      </c>
      <c r="F355" t="s">
        <v>16013</v>
      </c>
      <c r="G355" t="s">
        <v>16018</v>
      </c>
      <c r="H355" t="s">
        <v>16019</v>
      </c>
    </row>
    <row r="356" spans="1:8">
      <c r="A356" t="s">
        <v>241</v>
      </c>
      <c r="B356" t="s">
        <v>51</v>
      </c>
      <c r="C356">
        <v>33</v>
      </c>
      <c r="D356" t="s">
        <v>16020</v>
      </c>
      <c r="E356" t="s">
        <v>16021</v>
      </c>
      <c r="F356" t="s">
        <v>16013</v>
      </c>
      <c r="G356" t="s">
        <v>16022</v>
      </c>
      <c r="H356" t="s">
        <v>16002</v>
      </c>
    </row>
    <row r="357" spans="1:8">
      <c r="A357" t="s">
        <v>243</v>
      </c>
      <c r="B357" t="s">
        <v>51</v>
      </c>
      <c r="C357">
        <v>33</v>
      </c>
      <c r="D357" t="s">
        <v>16023</v>
      </c>
      <c r="E357" t="s">
        <v>16024</v>
      </c>
      <c r="F357" t="s">
        <v>16025</v>
      </c>
      <c r="H357" t="s">
        <v>16026</v>
      </c>
    </row>
    <row r="358" spans="1:8">
      <c r="A358" t="s">
        <v>241</v>
      </c>
      <c r="B358" t="s">
        <v>51</v>
      </c>
      <c r="C358">
        <v>33</v>
      </c>
      <c r="D358" t="s">
        <v>16027</v>
      </c>
      <c r="E358" t="s">
        <v>16028</v>
      </c>
      <c r="F358" t="s">
        <v>16029</v>
      </c>
      <c r="H358" t="s">
        <v>16030</v>
      </c>
    </row>
    <row r="359" spans="1:8">
      <c r="A359" t="s">
        <v>242</v>
      </c>
      <c r="B359" t="s">
        <v>51</v>
      </c>
      <c r="C359">
        <v>33</v>
      </c>
      <c r="D359" t="s">
        <v>16031</v>
      </c>
      <c r="E359" t="s">
        <v>16032</v>
      </c>
      <c r="G359" t="s">
        <v>16033</v>
      </c>
      <c r="H359" t="s">
        <v>16034</v>
      </c>
    </row>
    <row r="360" spans="1:8">
      <c r="A360" t="s">
        <v>242</v>
      </c>
      <c r="B360" t="s">
        <v>51</v>
      </c>
      <c r="C360">
        <v>33</v>
      </c>
      <c r="D360" t="s">
        <v>16035</v>
      </c>
      <c r="F360" t="s">
        <v>16013</v>
      </c>
      <c r="H360" t="s">
        <v>16036</v>
      </c>
    </row>
    <row r="361" spans="1:8">
      <c r="A361" t="s">
        <v>246</v>
      </c>
      <c r="B361" t="s">
        <v>51</v>
      </c>
      <c r="C361">
        <v>33</v>
      </c>
      <c r="D361" t="s">
        <v>16037</v>
      </c>
      <c r="E361" t="s">
        <v>16038</v>
      </c>
      <c r="F361" t="s">
        <v>16039</v>
      </c>
      <c r="G361" t="s">
        <v>16040</v>
      </c>
      <c r="H361" t="s">
        <v>16026</v>
      </c>
    </row>
    <row r="362" spans="1:8">
      <c r="A362" t="s">
        <v>242</v>
      </c>
      <c r="B362" t="s">
        <v>51</v>
      </c>
      <c r="C362">
        <v>33</v>
      </c>
      <c r="D362" t="s">
        <v>16041</v>
      </c>
      <c r="E362" t="s">
        <v>16042</v>
      </c>
      <c r="F362" t="s">
        <v>16043</v>
      </c>
      <c r="G362" t="s">
        <v>16044</v>
      </c>
      <c r="H362" t="s">
        <v>16045</v>
      </c>
    </row>
    <row r="363" spans="1:8">
      <c r="A363" t="s">
        <v>240</v>
      </c>
      <c r="B363" t="s">
        <v>51</v>
      </c>
      <c r="C363">
        <v>33</v>
      </c>
      <c r="D363" t="s">
        <v>16046</v>
      </c>
      <c r="E363" t="s">
        <v>16047</v>
      </c>
      <c r="F363" t="s">
        <v>16013</v>
      </c>
      <c r="G363" t="s">
        <v>16048</v>
      </c>
      <c r="H363" t="s">
        <v>16049</v>
      </c>
    </row>
    <row r="364" spans="1:8">
      <c r="A364" t="s">
        <v>240</v>
      </c>
      <c r="B364" t="s">
        <v>51</v>
      </c>
      <c r="C364">
        <v>33</v>
      </c>
      <c r="D364" t="s">
        <v>16050</v>
      </c>
      <c r="E364" t="s">
        <v>16051</v>
      </c>
      <c r="F364" t="s">
        <v>16013</v>
      </c>
      <c r="G364" t="s">
        <v>16052</v>
      </c>
      <c r="H364" t="s">
        <v>16053</v>
      </c>
    </row>
    <row r="365" spans="1:8">
      <c r="A365" t="s">
        <v>241</v>
      </c>
      <c r="B365" t="s">
        <v>51</v>
      </c>
      <c r="C365">
        <v>33</v>
      </c>
      <c r="D365" t="s">
        <v>16054</v>
      </c>
      <c r="E365" t="s">
        <v>16055</v>
      </c>
      <c r="H365" t="s">
        <v>16056</v>
      </c>
    </row>
    <row r="366" spans="1:8">
      <c r="A366" t="s">
        <v>241</v>
      </c>
      <c r="B366" t="s">
        <v>51</v>
      </c>
      <c r="C366">
        <v>33</v>
      </c>
      <c r="D366" t="s">
        <v>16057</v>
      </c>
    </row>
    <row r="367" spans="1:8">
      <c r="A367" t="s">
        <v>242</v>
      </c>
      <c r="B367" t="s">
        <v>51</v>
      </c>
      <c r="C367">
        <v>33</v>
      </c>
      <c r="D367" t="s">
        <v>16058</v>
      </c>
      <c r="E367" t="s">
        <v>16038</v>
      </c>
      <c r="F367" t="s">
        <v>16059</v>
      </c>
      <c r="G367" t="s">
        <v>16060</v>
      </c>
      <c r="H367" t="s">
        <v>16061</v>
      </c>
    </row>
    <row r="368" spans="1:8">
      <c r="A368" t="s">
        <v>241</v>
      </c>
      <c r="B368" t="s">
        <v>194</v>
      </c>
      <c r="C368">
        <v>33</v>
      </c>
      <c r="D368" t="s">
        <v>18193</v>
      </c>
      <c r="E368" t="s">
        <v>18194</v>
      </c>
    </row>
    <row r="369" spans="1:8">
      <c r="A369" t="s">
        <v>242</v>
      </c>
      <c r="B369" t="s">
        <v>194</v>
      </c>
      <c r="C369">
        <v>33</v>
      </c>
      <c r="D369" t="s">
        <v>18195</v>
      </c>
    </row>
    <row r="370" spans="1:8">
      <c r="A370" t="s">
        <v>240</v>
      </c>
      <c r="B370" t="s">
        <v>194</v>
      </c>
      <c r="C370">
        <v>33</v>
      </c>
      <c r="D370" t="s">
        <v>18196</v>
      </c>
      <c r="E370" t="s">
        <v>18197</v>
      </c>
      <c r="F370" t="s">
        <v>18198</v>
      </c>
      <c r="G370" t="s">
        <v>18199</v>
      </c>
      <c r="H370" t="s">
        <v>18200</v>
      </c>
    </row>
    <row r="371" spans="1:8">
      <c r="A371" t="s">
        <v>241</v>
      </c>
      <c r="B371" t="s">
        <v>194</v>
      </c>
      <c r="C371">
        <v>33</v>
      </c>
      <c r="D371" t="s">
        <v>18201</v>
      </c>
      <c r="E371" t="s">
        <v>18202</v>
      </c>
      <c r="G371" t="s">
        <v>18203</v>
      </c>
      <c r="H371" t="s">
        <v>18204</v>
      </c>
    </row>
    <row r="372" spans="1:8">
      <c r="A372" t="s">
        <v>241</v>
      </c>
      <c r="B372" t="s">
        <v>194</v>
      </c>
      <c r="C372">
        <v>33</v>
      </c>
      <c r="D372" t="s">
        <v>18205</v>
      </c>
      <c r="E372" t="s">
        <v>18206</v>
      </c>
      <c r="G372" t="s">
        <v>18207</v>
      </c>
      <c r="H372" t="s">
        <v>18208</v>
      </c>
    </row>
    <row r="373" spans="1:8">
      <c r="A373" t="s">
        <v>241</v>
      </c>
      <c r="B373" t="s">
        <v>194</v>
      </c>
      <c r="C373">
        <v>33</v>
      </c>
      <c r="D373" t="s">
        <v>18209</v>
      </c>
      <c r="E373" t="s">
        <v>18210</v>
      </c>
      <c r="F373" t="s">
        <v>18211</v>
      </c>
      <c r="H373" t="s">
        <v>18212</v>
      </c>
    </row>
    <row r="374" spans="1:8">
      <c r="A374" t="s">
        <v>241</v>
      </c>
      <c r="B374" t="s">
        <v>194</v>
      </c>
      <c r="C374">
        <v>33</v>
      </c>
      <c r="D374" t="s">
        <v>18213</v>
      </c>
      <c r="E374" t="s">
        <v>18214</v>
      </c>
      <c r="H374" t="s">
        <v>18215</v>
      </c>
    </row>
    <row r="375" spans="1:8">
      <c r="A375" t="s">
        <v>242</v>
      </c>
      <c r="B375" t="s">
        <v>194</v>
      </c>
      <c r="C375">
        <v>33</v>
      </c>
      <c r="D375" t="s">
        <v>18216</v>
      </c>
      <c r="E375" t="s">
        <v>18217</v>
      </c>
      <c r="F375" t="s">
        <v>194</v>
      </c>
    </row>
    <row r="376" spans="1:8">
      <c r="A376" t="s">
        <v>240</v>
      </c>
      <c r="B376" t="s">
        <v>194</v>
      </c>
      <c r="C376">
        <v>33</v>
      </c>
      <c r="D376" t="s">
        <v>18218</v>
      </c>
      <c r="E376" t="s">
        <v>18219</v>
      </c>
      <c r="F376" t="s">
        <v>194</v>
      </c>
      <c r="H376" t="s">
        <v>18220</v>
      </c>
    </row>
    <row r="377" spans="1:8">
      <c r="A377" t="s">
        <v>241</v>
      </c>
      <c r="B377" t="s">
        <v>194</v>
      </c>
      <c r="C377">
        <v>33</v>
      </c>
      <c r="D377" t="s">
        <v>18221</v>
      </c>
      <c r="E377" t="s">
        <v>18222</v>
      </c>
      <c r="F377" t="s">
        <v>194</v>
      </c>
      <c r="H377" t="s">
        <v>18223</v>
      </c>
    </row>
    <row r="378" spans="1:8">
      <c r="A378" t="s">
        <v>242</v>
      </c>
      <c r="B378" t="s">
        <v>62</v>
      </c>
      <c r="C378">
        <v>34</v>
      </c>
      <c r="D378" t="s">
        <v>645</v>
      </c>
      <c r="E378" t="s">
        <v>646</v>
      </c>
      <c r="G378" t="s">
        <v>647</v>
      </c>
      <c r="H378" t="s">
        <v>648</v>
      </c>
    </row>
    <row r="379" spans="1:8">
      <c r="A379" t="s">
        <v>239</v>
      </c>
      <c r="B379" t="s">
        <v>62</v>
      </c>
      <c r="C379">
        <v>34</v>
      </c>
      <c r="D379" t="s">
        <v>649</v>
      </c>
      <c r="E379" t="s">
        <v>650</v>
      </c>
      <c r="H379" t="s">
        <v>651</v>
      </c>
    </row>
    <row r="380" spans="1:8">
      <c r="A380" t="s">
        <v>241</v>
      </c>
      <c r="B380" t="s">
        <v>62</v>
      </c>
      <c r="C380">
        <v>34</v>
      </c>
      <c r="D380" t="s">
        <v>652</v>
      </c>
      <c r="E380" t="s">
        <v>653</v>
      </c>
      <c r="F380" t="s">
        <v>654</v>
      </c>
      <c r="G380" t="s">
        <v>655</v>
      </c>
      <c r="H380" t="s">
        <v>656</v>
      </c>
    </row>
    <row r="381" spans="1:8">
      <c r="A381" t="s">
        <v>241</v>
      </c>
      <c r="B381" t="s">
        <v>62</v>
      </c>
      <c r="C381">
        <v>34</v>
      </c>
      <c r="D381" t="s">
        <v>657</v>
      </c>
      <c r="E381" t="s">
        <v>658</v>
      </c>
      <c r="G381" t="s">
        <v>659</v>
      </c>
      <c r="H381" t="s">
        <v>660</v>
      </c>
    </row>
    <row r="382" spans="1:8">
      <c r="A382" t="s">
        <v>243</v>
      </c>
      <c r="B382" t="s">
        <v>62</v>
      </c>
      <c r="C382">
        <v>34</v>
      </c>
      <c r="D382" t="s">
        <v>661</v>
      </c>
      <c r="E382" t="s">
        <v>662</v>
      </c>
      <c r="F382" t="s">
        <v>663</v>
      </c>
      <c r="G382" t="s">
        <v>664</v>
      </c>
      <c r="H382" t="s">
        <v>665</v>
      </c>
    </row>
    <row r="383" spans="1:8">
      <c r="A383" t="s">
        <v>241</v>
      </c>
      <c r="B383" t="s">
        <v>62</v>
      </c>
      <c r="C383">
        <v>34</v>
      </c>
      <c r="D383" t="s">
        <v>666</v>
      </c>
      <c r="E383" t="s">
        <v>667</v>
      </c>
      <c r="F383" t="s">
        <v>62</v>
      </c>
      <c r="G383" t="s">
        <v>668</v>
      </c>
      <c r="H383" t="s">
        <v>669</v>
      </c>
    </row>
    <row r="384" spans="1:8">
      <c r="A384" t="s">
        <v>239</v>
      </c>
      <c r="B384" t="s">
        <v>62</v>
      </c>
      <c r="C384">
        <v>34</v>
      </c>
      <c r="D384" t="s">
        <v>670</v>
      </c>
      <c r="E384" t="s">
        <v>671</v>
      </c>
      <c r="F384" t="s">
        <v>62</v>
      </c>
      <c r="H384" t="s">
        <v>672</v>
      </c>
    </row>
    <row r="385" spans="1:8">
      <c r="A385" t="s">
        <v>250</v>
      </c>
      <c r="B385" t="s">
        <v>62</v>
      </c>
      <c r="C385">
        <v>34</v>
      </c>
      <c r="D385" t="s">
        <v>673</v>
      </c>
      <c r="E385" t="s">
        <v>674</v>
      </c>
      <c r="F385" t="s">
        <v>675</v>
      </c>
      <c r="G385" t="s">
        <v>676</v>
      </c>
      <c r="H385" t="s">
        <v>677</v>
      </c>
    </row>
    <row r="386" spans="1:8">
      <c r="A386" t="s">
        <v>241</v>
      </c>
      <c r="B386" t="s">
        <v>62</v>
      </c>
      <c r="C386">
        <v>34</v>
      </c>
      <c r="D386" t="s">
        <v>678</v>
      </c>
      <c r="E386" t="s">
        <v>679</v>
      </c>
      <c r="F386" t="s">
        <v>62</v>
      </c>
    </row>
    <row r="387" spans="1:8">
      <c r="A387" t="s">
        <v>241</v>
      </c>
      <c r="B387" t="s">
        <v>62</v>
      </c>
      <c r="C387">
        <v>34</v>
      </c>
      <c r="D387" t="s">
        <v>680</v>
      </c>
      <c r="E387" t="s">
        <v>681</v>
      </c>
      <c r="F387" t="s">
        <v>62</v>
      </c>
      <c r="H387" t="s">
        <v>682</v>
      </c>
    </row>
    <row r="388" spans="1:8">
      <c r="A388" t="s">
        <v>243</v>
      </c>
      <c r="B388" t="s">
        <v>62</v>
      </c>
      <c r="C388">
        <v>34</v>
      </c>
      <c r="D388" t="s">
        <v>683</v>
      </c>
      <c r="E388" t="s">
        <v>684</v>
      </c>
      <c r="G388" t="s">
        <v>685</v>
      </c>
      <c r="H388" t="s">
        <v>686</v>
      </c>
    </row>
    <row r="389" spans="1:8">
      <c r="A389" t="s">
        <v>241</v>
      </c>
      <c r="B389" t="s">
        <v>62</v>
      </c>
      <c r="C389">
        <v>34</v>
      </c>
      <c r="D389" t="s">
        <v>687</v>
      </c>
      <c r="E389" t="s">
        <v>688</v>
      </c>
      <c r="F389" t="s">
        <v>689</v>
      </c>
      <c r="H389" t="s">
        <v>690</v>
      </c>
    </row>
    <row r="390" spans="1:8">
      <c r="A390" t="s">
        <v>243</v>
      </c>
      <c r="B390" t="s">
        <v>62</v>
      </c>
      <c r="C390">
        <v>34</v>
      </c>
      <c r="D390" t="s">
        <v>691</v>
      </c>
      <c r="E390" t="s">
        <v>692</v>
      </c>
      <c r="F390" t="s">
        <v>180</v>
      </c>
      <c r="G390" t="s">
        <v>693</v>
      </c>
      <c r="H390" t="s">
        <v>694</v>
      </c>
    </row>
    <row r="391" spans="1:8">
      <c r="A391" t="s">
        <v>239</v>
      </c>
      <c r="B391" t="s">
        <v>62</v>
      </c>
      <c r="C391">
        <v>34</v>
      </c>
      <c r="D391" t="s">
        <v>695</v>
      </c>
      <c r="E391" t="s">
        <v>696</v>
      </c>
      <c r="H391" t="s">
        <v>697</v>
      </c>
    </row>
    <row r="392" spans="1:8">
      <c r="A392" t="s">
        <v>239</v>
      </c>
      <c r="B392" t="s">
        <v>62</v>
      </c>
      <c r="C392">
        <v>34</v>
      </c>
      <c r="D392" t="s">
        <v>698</v>
      </c>
      <c r="E392" t="s">
        <v>696</v>
      </c>
      <c r="G392" t="s">
        <v>699</v>
      </c>
      <c r="H392" t="s">
        <v>697</v>
      </c>
    </row>
    <row r="393" spans="1:8">
      <c r="A393" t="s">
        <v>241</v>
      </c>
      <c r="B393" t="s">
        <v>62</v>
      </c>
      <c r="C393">
        <v>34</v>
      </c>
      <c r="D393" t="s">
        <v>700</v>
      </c>
      <c r="E393" t="s">
        <v>701</v>
      </c>
      <c r="F393" t="s">
        <v>62</v>
      </c>
      <c r="H393" t="s">
        <v>702</v>
      </c>
    </row>
    <row r="394" spans="1:8">
      <c r="A394" t="s">
        <v>243</v>
      </c>
      <c r="B394" t="s">
        <v>62</v>
      </c>
      <c r="C394">
        <v>34</v>
      </c>
      <c r="D394" t="s">
        <v>703</v>
      </c>
      <c r="E394" t="s">
        <v>704</v>
      </c>
      <c r="F394" t="s">
        <v>62</v>
      </c>
      <c r="H394" t="s">
        <v>705</v>
      </c>
    </row>
    <row r="395" spans="1:8">
      <c r="A395" t="s">
        <v>243</v>
      </c>
      <c r="B395" t="s">
        <v>62</v>
      </c>
      <c r="C395">
        <v>34</v>
      </c>
      <c r="D395" t="s">
        <v>706</v>
      </c>
      <c r="E395" t="s">
        <v>707</v>
      </c>
      <c r="F395" t="s">
        <v>62</v>
      </c>
      <c r="H395" t="s">
        <v>708</v>
      </c>
    </row>
    <row r="396" spans="1:8">
      <c r="A396" t="s">
        <v>241</v>
      </c>
      <c r="B396" t="s">
        <v>62</v>
      </c>
      <c r="C396">
        <v>34</v>
      </c>
      <c r="D396" t="s">
        <v>709</v>
      </c>
      <c r="E396" t="s">
        <v>710</v>
      </c>
      <c r="F396" t="s">
        <v>62</v>
      </c>
      <c r="H396" t="s">
        <v>711</v>
      </c>
    </row>
    <row r="397" spans="1:8">
      <c r="A397" t="s">
        <v>244</v>
      </c>
      <c r="B397" t="s">
        <v>62</v>
      </c>
      <c r="C397">
        <v>34</v>
      </c>
      <c r="D397" t="s">
        <v>712</v>
      </c>
      <c r="F397" t="s">
        <v>713</v>
      </c>
      <c r="G397" t="s">
        <v>714</v>
      </c>
      <c r="H397" t="s">
        <v>715</v>
      </c>
    </row>
    <row r="398" spans="1:8">
      <c r="A398" t="s">
        <v>238</v>
      </c>
      <c r="B398" t="s">
        <v>62</v>
      </c>
      <c r="C398">
        <v>34</v>
      </c>
      <c r="D398" t="s">
        <v>716</v>
      </c>
      <c r="E398" t="s">
        <v>717</v>
      </c>
      <c r="F398" t="s">
        <v>663</v>
      </c>
      <c r="G398" t="s">
        <v>718</v>
      </c>
      <c r="H398" t="s">
        <v>719</v>
      </c>
    </row>
    <row r="399" spans="1:8">
      <c r="A399" t="s">
        <v>241</v>
      </c>
      <c r="B399" t="s">
        <v>62</v>
      </c>
      <c r="C399">
        <v>34</v>
      </c>
      <c r="D399" t="s">
        <v>720</v>
      </c>
      <c r="E399" t="s">
        <v>721</v>
      </c>
      <c r="F399" t="s">
        <v>62</v>
      </c>
      <c r="H399" t="s">
        <v>722</v>
      </c>
    </row>
    <row r="400" spans="1:8">
      <c r="A400" t="s">
        <v>242</v>
      </c>
      <c r="B400" t="s">
        <v>62</v>
      </c>
      <c r="C400">
        <v>34</v>
      </c>
      <c r="D400" t="s">
        <v>723</v>
      </c>
      <c r="E400" t="s">
        <v>724</v>
      </c>
      <c r="F400" t="s">
        <v>62</v>
      </c>
      <c r="G400" t="s">
        <v>725</v>
      </c>
      <c r="H400" t="s">
        <v>726</v>
      </c>
    </row>
    <row r="401" spans="1:8">
      <c r="A401" t="s">
        <v>250</v>
      </c>
      <c r="B401" t="s">
        <v>62</v>
      </c>
      <c r="C401">
        <v>34</v>
      </c>
      <c r="D401" t="s">
        <v>727</v>
      </c>
      <c r="E401" t="s">
        <v>728</v>
      </c>
      <c r="F401" t="s">
        <v>729</v>
      </c>
      <c r="G401" t="s">
        <v>730</v>
      </c>
      <c r="H401" t="s">
        <v>731</v>
      </c>
    </row>
    <row r="402" spans="1:8">
      <c r="A402" t="s">
        <v>242</v>
      </c>
      <c r="B402" t="s">
        <v>62</v>
      </c>
      <c r="C402">
        <v>34</v>
      </c>
      <c r="D402" t="s">
        <v>732</v>
      </c>
      <c r="E402" t="s">
        <v>733</v>
      </c>
      <c r="F402" t="s">
        <v>734</v>
      </c>
      <c r="H402" t="s">
        <v>735</v>
      </c>
    </row>
    <row r="403" spans="1:8">
      <c r="A403" t="s">
        <v>241</v>
      </c>
      <c r="B403" t="s">
        <v>62</v>
      </c>
      <c r="C403">
        <v>34</v>
      </c>
      <c r="D403" t="s">
        <v>736</v>
      </c>
      <c r="E403" t="s">
        <v>737</v>
      </c>
      <c r="F403" t="s">
        <v>180</v>
      </c>
      <c r="G403" t="s">
        <v>738</v>
      </c>
      <c r="H403" t="s">
        <v>739</v>
      </c>
    </row>
    <row r="404" spans="1:8">
      <c r="A404" t="s">
        <v>241</v>
      </c>
      <c r="B404" t="s">
        <v>62</v>
      </c>
      <c r="C404">
        <v>34</v>
      </c>
      <c r="D404" t="s">
        <v>740</v>
      </c>
      <c r="E404" t="s">
        <v>741</v>
      </c>
      <c r="F404" t="s">
        <v>62</v>
      </c>
      <c r="G404" t="s">
        <v>742</v>
      </c>
      <c r="H404" t="s">
        <v>743</v>
      </c>
    </row>
    <row r="405" spans="1:8">
      <c r="A405" t="s">
        <v>239</v>
      </c>
      <c r="B405" t="s">
        <v>62</v>
      </c>
      <c r="C405">
        <v>34</v>
      </c>
      <c r="D405" t="s">
        <v>744</v>
      </c>
      <c r="E405" t="s">
        <v>745</v>
      </c>
      <c r="F405" t="s">
        <v>62</v>
      </c>
      <c r="G405" t="s">
        <v>746</v>
      </c>
      <c r="H405" t="s">
        <v>747</v>
      </c>
    </row>
    <row r="406" spans="1:8">
      <c r="A406" t="s">
        <v>240</v>
      </c>
      <c r="B406" t="s">
        <v>62</v>
      </c>
      <c r="C406">
        <v>34</v>
      </c>
      <c r="D406" t="s">
        <v>748</v>
      </c>
      <c r="E406" t="s">
        <v>749</v>
      </c>
      <c r="F406" t="s">
        <v>62</v>
      </c>
      <c r="G406" t="s">
        <v>750</v>
      </c>
      <c r="H406" t="s">
        <v>751</v>
      </c>
    </row>
    <row r="407" spans="1:8">
      <c r="A407" t="s">
        <v>250</v>
      </c>
      <c r="B407" t="s">
        <v>62</v>
      </c>
      <c r="C407">
        <v>34</v>
      </c>
      <c r="D407" t="s">
        <v>752</v>
      </c>
      <c r="E407" t="s">
        <v>728</v>
      </c>
      <c r="F407" t="s">
        <v>62</v>
      </c>
      <c r="H407" t="s">
        <v>753</v>
      </c>
    </row>
    <row r="408" spans="1:8">
      <c r="A408" t="s">
        <v>241</v>
      </c>
      <c r="B408" t="s">
        <v>62</v>
      </c>
      <c r="C408">
        <v>34</v>
      </c>
      <c r="D408" t="s">
        <v>754</v>
      </c>
      <c r="E408" t="s">
        <v>755</v>
      </c>
      <c r="F408" t="s">
        <v>62</v>
      </c>
      <c r="H408" t="s">
        <v>756</v>
      </c>
    </row>
    <row r="409" spans="1:8">
      <c r="A409" t="s">
        <v>242</v>
      </c>
      <c r="B409" t="s">
        <v>62</v>
      </c>
      <c r="C409">
        <v>34</v>
      </c>
      <c r="D409" t="s">
        <v>757</v>
      </c>
      <c r="E409" t="s">
        <v>758</v>
      </c>
      <c r="F409" t="s">
        <v>62</v>
      </c>
      <c r="G409" t="s">
        <v>759</v>
      </c>
      <c r="H409" t="s">
        <v>760</v>
      </c>
    </row>
    <row r="410" spans="1:8">
      <c r="A410" t="s">
        <v>241</v>
      </c>
      <c r="B410" t="s">
        <v>62</v>
      </c>
      <c r="C410">
        <v>34</v>
      </c>
      <c r="D410" t="s">
        <v>761</v>
      </c>
      <c r="E410" t="s">
        <v>762</v>
      </c>
      <c r="F410" t="s">
        <v>62</v>
      </c>
      <c r="H410" t="s">
        <v>763</v>
      </c>
    </row>
    <row r="411" spans="1:8">
      <c r="A411" t="s">
        <v>243</v>
      </c>
      <c r="B411" t="s">
        <v>62</v>
      </c>
      <c r="C411">
        <v>34</v>
      </c>
      <c r="D411" t="s">
        <v>764</v>
      </c>
      <c r="E411" t="s">
        <v>765</v>
      </c>
      <c r="F411" t="s">
        <v>766</v>
      </c>
      <c r="H411" t="s">
        <v>767</v>
      </c>
    </row>
    <row r="412" spans="1:8">
      <c r="A412" t="s">
        <v>241</v>
      </c>
      <c r="B412" t="s">
        <v>62</v>
      </c>
      <c r="C412">
        <v>34</v>
      </c>
      <c r="D412" t="s">
        <v>768</v>
      </c>
      <c r="E412" t="s">
        <v>769</v>
      </c>
      <c r="G412" t="s">
        <v>770</v>
      </c>
      <c r="H412" t="s">
        <v>771</v>
      </c>
    </row>
    <row r="413" spans="1:8">
      <c r="A413" t="s">
        <v>239</v>
      </c>
      <c r="B413" t="s">
        <v>62</v>
      </c>
      <c r="C413">
        <v>34</v>
      </c>
      <c r="D413" t="s">
        <v>772</v>
      </c>
      <c r="E413" t="s">
        <v>773</v>
      </c>
      <c r="H413" t="s">
        <v>774</v>
      </c>
    </row>
    <row r="414" spans="1:8">
      <c r="A414" t="s">
        <v>239</v>
      </c>
      <c r="B414" t="s">
        <v>62</v>
      </c>
      <c r="C414">
        <v>34</v>
      </c>
      <c r="D414" t="s">
        <v>775</v>
      </c>
      <c r="E414" t="s">
        <v>776</v>
      </c>
      <c r="H414" t="s">
        <v>777</v>
      </c>
    </row>
    <row r="415" spans="1:8">
      <c r="A415" t="s">
        <v>241</v>
      </c>
      <c r="B415" t="s">
        <v>62</v>
      </c>
      <c r="C415">
        <v>34</v>
      </c>
      <c r="D415" t="s">
        <v>778</v>
      </c>
      <c r="E415" t="s">
        <v>779</v>
      </c>
      <c r="H415" t="s">
        <v>780</v>
      </c>
    </row>
    <row r="416" spans="1:8">
      <c r="A416" t="s">
        <v>242</v>
      </c>
      <c r="B416" t="s">
        <v>62</v>
      </c>
      <c r="C416">
        <v>34</v>
      </c>
      <c r="D416" t="s">
        <v>781</v>
      </c>
      <c r="E416" t="s">
        <v>782</v>
      </c>
      <c r="G416" t="s">
        <v>783</v>
      </c>
      <c r="H416" t="s">
        <v>784</v>
      </c>
    </row>
    <row r="417" spans="1:8">
      <c r="A417" t="s">
        <v>242</v>
      </c>
      <c r="B417" t="s">
        <v>62</v>
      </c>
      <c r="C417">
        <v>34</v>
      </c>
      <c r="D417" t="s">
        <v>785</v>
      </c>
      <c r="E417" t="s">
        <v>786</v>
      </c>
      <c r="F417" t="s">
        <v>787</v>
      </c>
      <c r="G417" t="s">
        <v>788</v>
      </c>
      <c r="H417" t="s">
        <v>789</v>
      </c>
    </row>
    <row r="418" spans="1:8">
      <c r="A418" t="s">
        <v>239</v>
      </c>
      <c r="B418" t="s">
        <v>62</v>
      </c>
      <c r="C418">
        <v>34</v>
      </c>
      <c r="D418" t="s">
        <v>790</v>
      </c>
      <c r="E418" t="s">
        <v>671</v>
      </c>
      <c r="H418" t="s">
        <v>672</v>
      </c>
    </row>
    <row r="419" spans="1:8">
      <c r="A419" t="s">
        <v>241</v>
      </c>
      <c r="B419" t="s">
        <v>62</v>
      </c>
      <c r="C419">
        <v>34</v>
      </c>
      <c r="D419" t="s">
        <v>791</v>
      </c>
      <c r="E419" t="s">
        <v>792</v>
      </c>
      <c r="G419" t="s">
        <v>793</v>
      </c>
      <c r="H419" t="s">
        <v>794</v>
      </c>
    </row>
    <row r="420" spans="1:8">
      <c r="A420" t="s">
        <v>240</v>
      </c>
      <c r="B420" t="s">
        <v>62</v>
      </c>
      <c r="C420">
        <v>34</v>
      </c>
      <c r="D420" t="s">
        <v>795</v>
      </c>
      <c r="E420" t="s">
        <v>796</v>
      </c>
      <c r="G420" t="s">
        <v>797</v>
      </c>
      <c r="H420" t="s">
        <v>798</v>
      </c>
    </row>
    <row r="421" spans="1:8">
      <c r="A421" t="s">
        <v>241</v>
      </c>
      <c r="B421" t="s">
        <v>62</v>
      </c>
      <c r="C421">
        <v>34</v>
      </c>
      <c r="D421" t="s">
        <v>799</v>
      </c>
      <c r="E421" t="s">
        <v>800</v>
      </c>
      <c r="F421" t="s">
        <v>801</v>
      </c>
      <c r="G421" t="s">
        <v>802</v>
      </c>
      <c r="H421" t="s">
        <v>803</v>
      </c>
    </row>
    <row r="422" spans="1:8">
      <c r="A422" t="s">
        <v>243</v>
      </c>
      <c r="B422" t="s">
        <v>62</v>
      </c>
      <c r="C422">
        <v>34</v>
      </c>
      <c r="D422" t="s">
        <v>804</v>
      </c>
      <c r="E422" t="s">
        <v>805</v>
      </c>
      <c r="F422" t="s">
        <v>806</v>
      </c>
      <c r="H422" t="s">
        <v>807</v>
      </c>
    </row>
    <row r="423" spans="1:8">
      <c r="A423" t="s">
        <v>239</v>
      </c>
      <c r="B423" t="s">
        <v>62</v>
      </c>
      <c r="C423">
        <v>34</v>
      </c>
      <c r="D423" t="s">
        <v>808</v>
      </c>
      <c r="E423" t="s">
        <v>809</v>
      </c>
      <c r="F423" t="s">
        <v>62</v>
      </c>
      <c r="H423" t="s">
        <v>810</v>
      </c>
    </row>
    <row r="424" spans="1:8">
      <c r="A424" t="s">
        <v>250</v>
      </c>
      <c r="B424" t="s">
        <v>62</v>
      </c>
      <c r="C424">
        <v>34</v>
      </c>
      <c r="D424" t="s">
        <v>811</v>
      </c>
      <c r="E424" t="s">
        <v>812</v>
      </c>
      <c r="F424" t="s">
        <v>62</v>
      </c>
      <c r="G424" t="s">
        <v>813</v>
      </c>
    </row>
    <row r="425" spans="1:8">
      <c r="A425" t="s">
        <v>241</v>
      </c>
      <c r="B425" t="s">
        <v>62</v>
      </c>
      <c r="C425">
        <v>34</v>
      </c>
      <c r="D425" t="s">
        <v>814</v>
      </c>
      <c r="E425" t="s">
        <v>815</v>
      </c>
      <c r="H425" t="s">
        <v>816</v>
      </c>
    </row>
    <row r="426" spans="1:8">
      <c r="A426" t="s">
        <v>241</v>
      </c>
      <c r="B426" t="s">
        <v>62</v>
      </c>
      <c r="C426">
        <v>34</v>
      </c>
      <c r="D426" t="s">
        <v>817</v>
      </c>
      <c r="E426" t="s">
        <v>818</v>
      </c>
      <c r="F426" t="s">
        <v>729</v>
      </c>
      <c r="H426" t="s">
        <v>819</v>
      </c>
    </row>
    <row r="427" spans="1:8">
      <c r="A427" t="s">
        <v>241</v>
      </c>
      <c r="B427" t="s">
        <v>62</v>
      </c>
      <c r="C427">
        <v>34</v>
      </c>
      <c r="D427" t="s">
        <v>820</v>
      </c>
      <c r="E427" t="s">
        <v>821</v>
      </c>
      <c r="F427" t="s">
        <v>822</v>
      </c>
      <c r="G427" t="s">
        <v>823</v>
      </c>
      <c r="H427" t="s">
        <v>824</v>
      </c>
    </row>
    <row r="428" spans="1:8">
      <c r="A428" t="s">
        <v>241</v>
      </c>
      <c r="B428" t="s">
        <v>62</v>
      </c>
      <c r="C428">
        <v>34</v>
      </c>
      <c r="D428" t="s">
        <v>825</v>
      </c>
      <c r="E428" t="s">
        <v>826</v>
      </c>
      <c r="G428" t="s">
        <v>827</v>
      </c>
      <c r="H428" t="s">
        <v>828</v>
      </c>
    </row>
    <row r="429" spans="1:8">
      <c r="A429" t="s">
        <v>241</v>
      </c>
      <c r="B429" t="s">
        <v>62</v>
      </c>
      <c r="C429">
        <v>34</v>
      </c>
      <c r="D429" t="s">
        <v>829</v>
      </c>
      <c r="E429" t="s">
        <v>830</v>
      </c>
      <c r="H429" t="s">
        <v>831</v>
      </c>
    </row>
    <row r="430" spans="1:8">
      <c r="A430" t="s">
        <v>241</v>
      </c>
      <c r="B430" t="s">
        <v>62</v>
      </c>
      <c r="C430">
        <v>34</v>
      </c>
      <c r="D430" t="s">
        <v>832</v>
      </c>
      <c r="E430" t="s">
        <v>833</v>
      </c>
      <c r="H430" t="s">
        <v>834</v>
      </c>
    </row>
    <row r="431" spans="1:8">
      <c r="A431" t="s">
        <v>238</v>
      </c>
      <c r="B431" t="s">
        <v>62</v>
      </c>
      <c r="C431">
        <v>34</v>
      </c>
      <c r="D431" t="s">
        <v>835</v>
      </c>
      <c r="E431" t="s">
        <v>836</v>
      </c>
      <c r="F431" t="s">
        <v>837</v>
      </c>
      <c r="G431" t="s">
        <v>838</v>
      </c>
      <c r="H431" t="s">
        <v>839</v>
      </c>
    </row>
    <row r="432" spans="1:8">
      <c r="A432" t="s">
        <v>242</v>
      </c>
      <c r="B432" t="s">
        <v>62</v>
      </c>
      <c r="C432">
        <v>34</v>
      </c>
      <c r="D432" t="s">
        <v>840</v>
      </c>
      <c r="E432" t="s">
        <v>841</v>
      </c>
      <c r="F432" t="s">
        <v>842</v>
      </c>
      <c r="G432" t="s">
        <v>843</v>
      </c>
      <c r="H432" t="s">
        <v>844</v>
      </c>
    </row>
    <row r="433" spans="1:8">
      <c r="A433" t="s">
        <v>242</v>
      </c>
      <c r="B433" t="s">
        <v>62</v>
      </c>
      <c r="C433">
        <v>34</v>
      </c>
      <c r="D433" t="s">
        <v>845</v>
      </c>
      <c r="E433" t="s">
        <v>846</v>
      </c>
      <c r="F433" t="s">
        <v>847</v>
      </c>
      <c r="G433" t="s">
        <v>848</v>
      </c>
      <c r="H433" t="s">
        <v>849</v>
      </c>
    </row>
    <row r="434" spans="1:8">
      <c r="A434" t="s">
        <v>241</v>
      </c>
      <c r="B434" t="s">
        <v>62</v>
      </c>
      <c r="C434">
        <v>34</v>
      </c>
      <c r="D434" t="s">
        <v>850</v>
      </c>
      <c r="E434" t="s">
        <v>851</v>
      </c>
      <c r="H434" t="s">
        <v>852</v>
      </c>
    </row>
    <row r="435" spans="1:8">
      <c r="A435" t="s">
        <v>243</v>
      </c>
      <c r="B435" t="s">
        <v>62</v>
      </c>
      <c r="C435">
        <v>34</v>
      </c>
      <c r="D435" t="s">
        <v>853</v>
      </c>
      <c r="E435" t="s">
        <v>854</v>
      </c>
      <c r="F435" t="s">
        <v>62</v>
      </c>
      <c r="H435" t="s">
        <v>855</v>
      </c>
    </row>
    <row r="436" spans="1:8">
      <c r="A436" t="s">
        <v>241</v>
      </c>
      <c r="B436" t="s">
        <v>62</v>
      </c>
      <c r="C436">
        <v>34</v>
      </c>
      <c r="D436" t="s">
        <v>856</v>
      </c>
      <c r="E436" t="s">
        <v>857</v>
      </c>
      <c r="F436" t="s">
        <v>62</v>
      </c>
      <c r="G436" t="s">
        <v>858</v>
      </c>
      <c r="H436" t="s">
        <v>859</v>
      </c>
    </row>
    <row r="437" spans="1:8">
      <c r="A437" t="s">
        <v>241</v>
      </c>
      <c r="B437" t="s">
        <v>62</v>
      </c>
      <c r="C437">
        <v>34</v>
      </c>
      <c r="D437" t="s">
        <v>860</v>
      </c>
      <c r="F437" t="s">
        <v>861</v>
      </c>
      <c r="H437" t="s">
        <v>862</v>
      </c>
    </row>
    <row r="438" spans="1:8">
      <c r="A438" t="s">
        <v>242</v>
      </c>
      <c r="B438" t="s">
        <v>62</v>
      </c>
      <c r="C438">
        <v>34</v>
      </c>
      <c r="D438" t="s">
        <v>863</v>
      </c>
      <c r="E438" t="s">
        <v>864</v>
      </c>
      <c r="H438" t="s">
        <v>865</v>
      </c>
    </row>
    <row r="439" spans="1:8">
      <c r="A439" t="s">
        <v>241</v>
      </c>
      <c r="B439" t="s">
        <v>62</v>
      </c>
      <c r="C439">
        <v>34</v>
      </c>
      <c r="D439" t="s">
        <v>866</v>
      </c>
      <c r="H439" t="s">
        <v>867</v>
      </c>
    </row>
    <row r="440" spans="1:8">
      <c r="A440" t="s">
        <v>243</v>
      </c>
      <c r="B440" t="s">
        <v>62</v>
      </c>
      <c r="C440">
        <v>34</v>
      </c>
      <c r="D440" t="s">
        <v>868</v>
      </c>
      <c r="E440" t="s">
        <v>869</v>
      </c>
      <c r="F440" t="s">
        <v>62</v>
      </c>
      <c r="H440" t="s">
        <v>870</v>
      </c>
    </row>
    <row r="441" spans="1:8">
      <c r="A441" t="s">
        <v>241</v>
      </c>
      <c r="B441" t="s">
        <v>62</v>
      </c>
      <c r="C441">
        <v>34</v>
      </c>
      <c r="D441" t="s">
        <v>871</v>
      </c>
      <c r="E441" t="s">
        <v>872</v>
      </c>
      <c r="H441" t="s">
        <v>873</v>
      </c>
    </row>
    <row r="442" spans="1:8">
      <c r="A442" t="s">
        <v>240</v>
      </c>
      <c r="B442" t="s">
        <v>62</v>
      </c>
      <c r="C442">
        <v>34</v>
      </c>
      <c r="D442" t="s">
        <v>874</v>
      </c>
      <c r="E442" t="s">
        <v>875</v>
      </c>
      <c r="G442" t="s">
        <v>876</v>
      </c>
      <c r="H442" t="s">
        <v>877</v>
      </c>
    </row>
    <row r="443" spans="1:8">
      <c r="A443" t="s">
        <v>249</v>
      </c>
      <c r="B443" t="s">
        <v>62</v>
      </c>
      <c r="C443">
        <v>34</v>
      </c>
      <c r="D443" t="s">
        <v>878</v>
      </c>
      <c r="E443" t="s">
        <v>879</v>
      </c>
      <c r="F443" t="s">
        <v>880</v>
      </c>
      <c r="H443" t="s">
        <v>881</v>
      </c>
    </row>
    <row r="444" spans="1:8">
      <c r="A444" t="s">
        <v>241</v>
      </c>
      <c r="B444" t="s">
        <v>62</v>
      </c>
      <c r="C444">
        <v>34</v>
      </c>
      <c r="D444" t="s">
        <v>882</v>
      </c>
      <c r="E444" t="s">
        <v>883</v>
      </c>
      <c r="H444" t="s">
        <v>884</v>
      </c>
    </row>
    <row r="445" spans="1:8">
      <c r="A445" t="s">
        <v>240</v>
      </c>
      <c r="B445" t="s">
        <v>62</v>
      </c>
      <c r="C445">
        <v>34</v>
      </c>
      <c r="D445" t="s">
        <v>885</v>
      </c>
      <c r="E445" t="s">
        <v>886</v>
      </c>
      <c r="F445" t="s">
        <v>887</v>
      </c>
      <c r="G445" t="s">
        <v>888</v>
      </c>
      <c r="H445" t="s">
        <v>889</v>
      </c>
    </row>
    <row r="446" spans="1:8">
      <c r="A446" t="s">
        <v>241</v>
      </c>
      <c r="B446" t="s">
        <v>62</v>
      </c>
      <c r="C446">
        <v>34</v>
      </c>
      <c r="D446" t="s">
        <v>890</v>
      </c>
      <c r="E446" t="s">
        <v>891</v>
      </c>
      <c r="F446" t="s">
        <v>62</v>
      </c>
      <c r="H446" t="s">
        <v>892</v>
      </c>
    </row>
    <row r="447" spans="1:8">
      <c r="A447" t="s">
        <v>242</v>
      </c>
      <c r="B447" t="s">
        <v>62</v>
      </c>
      <c r="C447">
        <v>34</v>
      </c>
      <c r="D447" t="s">
        <v>893</v>
      </c>
      <c r="E447" t="s">
        <v>894</v>
      </c>
      <c r="F447" t="s">
        <v>62</v>
      </c>
      <c r="G447" t="s">
        <v>895</v>
      </c>
      <c r="H447" t="s">
        <v>896</v>
      </c>
    </row>
    <row r="448" spans="1:8">
      <c r="A448" t="s">
        <v>240</v>
      </c>
      <c r="B448" t="s">
        <v>62</v>
      </c>
      <c r="C448">
        <v>34</v>
      </c>
      <c r="D448" t="s">
        <v>897</v>
      </c>
      <c r="E448" t="s">
        <v>879</v>
      </c>
      <c r="F448" t="s">
        <v>880</v>
      </c>
      <c r="G448" t="s">
        <v>898</v>
      </c>
      <c r="H448" t="s">
        <v>899</v>
      </c>
    </row>
    <row r="449" spans="1:8">
      <c r="A449" t="s">
        <v>240</v>
      </c>
      <c r="B449" t="s">
        <v>62</v>
      </c>
      <c r="C449">
        <v>34</v>
      </c>
      <c r="D449" t="s">
        <v>900</v>
      </c>
      <c r="E449" t="s">
        <v>901</v>
      </c>
      <c r="F449" t="s">
        <v>902</v>
      </c>
      <c r="G449" t="s">
        <v>903</v>
      </c>
      <c r="H449" t="s">
        <v>904</v>
      </c>
    </row>
    <row r="450" spans="1:8">
      <c r="A450" t="s">
        <v>240</v>
      </c>
      <c r="B450" t="s">
        <v>62</v>
      </c>
      <c r="C450">
        <v>34</v>
      </c>
      <c r="D450" t="s">
        <v>905</v>
      </c>
      <c r="E450" t="s">
        <v>906</v>
      </c>
      <c r="F450" t="s">
        <v>62</v>
      </c>
      <c r="G450" t="s">
        <v>907</v>
      </c>
      <c r="H450" t="s">
        <v>908</v>
      </c>
    </row>
    <row r="451" spans="1:8">
      <c r="A451" t="s">
        <v>240</v>
      </c>
      <c r="B451" t="s">
        <v>62</v>
      </c>
      <c r="C451">
        <v>34</v>
      </c>
      <c r="D451" t="s">
        <v>909</v>
      </c>
      <c r="E451" t="s">
        <v>910</v>
      </c>
      <c r="F451" t="s">
        <v>62</v>
      </c>
      <c r="G451" t="s">
        <v>911</v>
      </c>
      <c r="H451" t="s">
        <v>912</v>
      </c>
    </row>
    <row r="452" spans="1:8">
      <c r="A452" t="s">
        <v>240</v>
      </c>
      <c r="B452" t="s">
        <v>62</v>
      </c>
      <c r="C452">
        <v>34</v>
      </c>
      <c r="D452" t="s">
        <v>913</v>
      </c>
      <c r="E452" t="s">
        <v>914</v>
      </c>
      <c r="F452" t="s">
        <v>62</v>
      </c>
      <c r="G452" t="s">
        <v>915</v>
      </c>
      <c r="H452" t="s">
        <v>916</v>
      </c>
    </row>
    <row r="453" spans="1:8">
      <c r="A453" t="s">
        <v>240</v>
      </c>
      <c r="B453" t="s">
        <v>62</v>
      </c>
      <c r="C453">
        <v>34</v>
      </c>
      <c r="D453" t="s">
        <v>917</v>
      </c>
      <c r="E453" t="s">
        <v>918</v>
      </c>
      <c r="F453" t="s">
        <v>62</v>
      </c>
      <c r="G453" t="s">
        <v>797</v>
      </c>
      <c r="H453" t="s">
        <v>798</v>
      </c>
    </row>
    <row r="454" spans="1:8">
      <c r="A454" t="s">
        <v>240</v>
      </c>
      <c r="B454" t="s">
        <v>62</v>
      </c>
      <c r="C454">
        <v>34</v>
      </c>
      <c r="D454" t="s">
        <v>919</v>
      </c>
      <c r="E454" t="s">
        <v>920</v>
      </c>
      <c r="F454" t="s">
        <v>62</v>
      </c>
      <c r="G454" t="s">
        <v>921</v>
      </c>
      <c r="H454" t="s">
        <v>922</v>
      </c>
    </row>
    <row r="455" spans="1:8">
      <c r="A455" t="s">
        <v>240</v>
      </c>
      <c r="B455" t="s">
        <v>62</v>
      </c>
      <c r="C455">
        <v>34</v>
      </c>
      <c r="D455" t="s">
        <v>923</v>
      </c>
      <c r="E455" t="s">
        <v>924</v>
      </c>
      <c r="F455" t="s">
        <v>62</v>
      </c>
      <c r="H455" t="s">
        <v>925</v>
      </c>
    </row>
    <row r="456" spans="1:8">
      <c r="A456" t="s">
        <v>240</v>
      </c>
      <c r="B456" t="s">
        <v>62</v>
      </c>
      <c r="C456">
        <v>34</v>
      </c>
      <c r="D456" t="s">
        <v>926</v>
      </c>
      <c r="E456" t="s">
        <v>927</v>
      </c>
      <c r="F456" t="s">
        <v>902</v>
      </c>
      <c r="G456" t="s">
        <v>928</v>
      </c>
      <c r="H456" t="s">
        <v>929</v>
      </c>
    </row>
    <row r="457" spans="1:8">
      <c r="A457" t="s">
        <v>240</v>
      </c>
      <c r="B457" t="s">
        <v>62</v>
      </c>
      <c r="C457">
        <v>34</v>
      </c>
      <c r="D457" t="s">
        <v>930</v>
      </c>
      <c r="E457" t="s">
        <v>931</v>
      </c>
      <c r="F457" t="s">
        <v>62</v>
      </c>
      <c r="G457" t="s">
        <v>932</v>
      </c>
      <c r="H457" t="s">
        <v>933</v>
      </c>
    </row>
    <row r="458" spans="1:8">
      <c r="A458" t="s">
        <v>242</v>
      </c>
      <c r="B458" t="s">
        <v>62</v>
      </c>
      <c r="C458">
        <v>34</v>
      </c>
      <c r="D458" t="s">
        <v>934</v>
      </c>
      <c r="E458" t="s">
        <v>935</v>
      </c>
      <c r="F458" t="s">
        <v>62</v>
      </c>
      <c r="G458" t="s">
        <v>936</v>
      </c>
      <c r="H458" t="s">
        <v>937</v>
      </c>
    </row>
    <row r="459" spans="1:8">
      <c r="A459" t="s">
        <v>241</v>
      </c>
      <c r="B459" t="s">
        <v>62</v>
      </c>
      <c r="C459">
        <v>34</v>
      </c>
      <c r="D459" t="s">
        <v>938</v>
      </c>
      <c r="E459" t="s">
        <v>939</v>
      </c>
      <c r="F459" t="s">
        <v>62</v>
      </c>
      <c r="H459" t="s">
        <v>940</v>
      </c>
    </row>
    <row r="460" spans="1:8">
      <c r="A460" t="s">
        <v>243</v>
      </c>
      <c r="B460" t="s">
        <v>62</v>
      </c>
      <c r="C460">
        <v>34</v>
      </c>
      <c r="D460" t="s">
        <v>941</v>
      </c>
      <c r="E460" t="s">
        <v>942</v>
      </c>
      <c r="F460" t="s">
        <v>62</v>
      </c>
      <c r="G460" t="s">
        <v>943</v>
      </c>
      <c r="H460" t="s">
        <v>944</v>
      </c>
    </row>
    <row r="461" spans="1:8">
      <c r="A461" t="s">
        <v>243</v>
      </c>
      <c r="B461" t="s">
        <v>62</v>
      </c>
      <c r="C461">
        <v>34</v>
      </c>
      <c r="D461" t="s">
        <v>945</v>
      </c>
      <c r="E461" t="s">
        <v>946</v>
      </c>
      <c r="F461" t="s">
        <v>62</v>
      </c>
      <c r="G461" t="s">
        <v>947</v>
      </c>
      <c r="H461" t="s">
        <v>948</v>
      </c>
    </row>
    <row r="462" spans="1:8">
      <c r="A462" t="s">
        <v>246</v>
      </c>
      <c r="B462" t="s">
        <v>62</v>
      </c>
      <c r="C462">
        <v>34</v>
      </c>
      <c r="D462" t="s">
        <v>949</v>
      </c>
      <c r="E462" t="s">
        <v>950</v>
      </c>
      <c r="F462" t="s">
        <v>62</v>
      </c>
      <c r="H462" t="s">
        <v>951</v>
      </c>
    </row>
    <row r="463" spans="1:8">
      <c r="A463" t="s">
        <v>245</v>
      </c>
      <c r="B463" t="s">
        <v>62</v>
      </c>
      <c r="C463">
        <v>34</v>
      </c>
      <c r="D463" t="s">
        <v>952</v>
      </c>
      <c r="E463" t="s">
        <v>953</v>
      </c>
      <c r="F463" t="s">
        <v>62</v>
      </c>
      <c r="G463" t="s">
        <v>954</v>
      </c>
      <c r="H463" t="s">
        <v>955</v>
      </c>
    </row>
    <row r="464" spans="1:8">
      <c r="A464" t="s">
        <v>246</v>
      </c>
      <c r="B464" t="s">
        <v>62</v>
      </c>
      <c r="C464">
        <v>34</v>
      </c>
      <c r="D464" t="s">
        <v>956</v>
      </c>
      <c r="E464" t="s">
        <v>957</v>
      </c>
      <c r="F464" t="s">
        <v>958</v>
      </c>
      <c r="G464" t="s">
        <v>959</v>
      </c>
      <c r="H464" t="s">
        <v>960</v>
      </c>
    </row>
    <row r="465" spans="1:8">
      <c r="A465" t="s">
        <v>246</v>
      </c>
      <c r="B465" t="s">
        <v>62</v>
      </c>
      <c r="C465">
        <v>34</v>
      </c>
      <c r="D465" t="s">
        <v>961</v>
      </c>
      <c r="E465" t="s">
        <v>962</v>
      </c>
      <c r="F465" t="s">
        <v>62</v>
      </c>
      <c r="H465" t="s">
        <v>963</v>
      </c>
    </row>
    <row r="466" spans="1:8">
      <c r="A466" t="s">
        <v>243</v>
      </c>
      <c r="B466" t="s">
        <v>62</v>
      </c>
      <c r="C466">
        <v>34</v>
      </c>
      <c r="D466" t="s">
        <v>964</v>
      </c>
      <c r="E466" t="s">
        <v>965</v>
      </c>
      <c r="F466" t="s">
        <v>62</v>
      </c>
      <c r="G466" t="s">
        <v>966</v>
      </c>
      <c r="H466" t="s">
        <v>967</v>
      </c>
    </row>
    <row r="467" spans="1:8">
      <c r="A467" t="s">
        <v>243</v>
      </c>
      <c r="B467" t="s">
        <v>62</v>
      </c>
      <c r="C467">
        <v>34</v>
      </c>
      <c r="D467" t="s">
        <v>968</v>
      </c>
      <c r="E467" t="s">
        <v>969</v>
      </c>
      <c r="F467" t="s">
        <v>62</v>
      </c>
    </row>
    <row r="468" spans="1:8">
      <c r="A468" t="s">
        <v>243</v>
      </c>
      <c r="B468" t="s">
        <v>62</v>
      </c>
      <c r="C468">
        <v>34</v>
      </c>
      <c r="D468" t="s">
        <v>968</v>
      </c>
      <c r="E468" t="s">
        <v>970</v>
      </c>
      <c r="F468" t="s">
        <v>62</v>
      </c>
    </row>
    <row r="469" spans="1:8">
      <c r="A469" t="s">
        <v>243</v>
      </c>
      <c r="B469" t="s">
        <v>62</v>
      </c>
      <c r="C469">
        <v>34</v>
      </c>
      <c r="D469" t="s">
        <v>971</v>
      </c>
      <c r="E469" t="s">
        <v>972</v>
      </c>
      <c r="F469" t="s">
        <v>62</v>
      </c>
      <c r="H469" t="s">
        <v>973</v>
      </c>
    </row>
    <row r="470" spans="1:8">
      <c r="A470" t="s">
        <v>241</v>
      </c>
      <c r="B470" t="s">
        <v>62</v>
      </c>
      <c r="C470">
        <v>34</v>
      </c>
      <c r="D470" t="s">
        <v>974</v>
      </c>
      <c r="E470" t="s">
        <v>975</v>
      </c>
      <c r="F470" t="s">
        <v>62</v>
      </c>
      <c r="G470" t="s">
        <v>976</v>
      </c>
      <c r="H470" t="s">
        <v>977</v>
      </c>
    </row>
    <row r="471" spans="1:8">
      <c r="A471" t="s">
        <v>242</v>
      </c>
      <c r="B471" t="s">
        <v>62</v>
      </c>
      <c r="C471">
        <v>34</v>
      </c>
      <c r="D471" t="s">
        <v>978</v>
      </c>
      <c r="E471" t="s">
        <v>979</v>
      </c>
      <c r="F471" t="s">
        <v>62</v>
      </c>
      <c r="G471" t="s">
        <v>980</v>
      </c>
      <c r="H471" t="s">
        <v>981</v>
      </c>
    </row>
    <row r="472" spans="1:8">
      <c r="A472" t="s">
        <v>243</v>
      </c>
      <c r="B472" t="s">
        <v>62</v>
      </c>
      <c r="C472">
        <v>34</v>
      </c>
      <c r="D472" t="s">
        <v>982</v>
      </c>
      <c r="E472" t="s">
        <v>983</v>
      </c>
      <c r="F472" t="s">
        <v>62</v>
      </c>
      <c r="G472" t="s">
        <v>943</v>
      </c>
      <c r="H472" t="s">
        <v>944</v>
      </c>
    </row>
    <row r="473" spans="1:8">
      <c r="A473" t="s">
        <v>240</v>
      </c>
      <c r="B473" t="s">
        <v>62</v>
      </c>
      <c r="C473">
        <v>34</v>
      </c>
      <c r="D473" t="s">
        <v>984</v>
      </c>
      <c r="E473" t="s">
        <v>985</v>
      </c>
      <c r="F473" t="s">
        <v>62</v>
      </c>
      <c r="G473" t="s">
        <v>986</v>
      </c>
      <c r="H473" t="s">
        <v>987</v>
      </c>
    </row>
    <row r="474" spans="1:8">
      <c r="A474" t="s">
        <v>240</v>
      </c>
      <c r="B474" t="s">
        <v>62</v>
      </c>
      <c r="C474">
        <v>34</v>
      </c>
      <c r="D474" t="s">
        <v>988</v>
      </c>
      <c r="E474" t="s">
        <v>989</v>
      </c>
      <c r="F474" t="s">
        <v>62</v>
      </c>
      <c r="H474" t="s">
        <v>990</v>
      </c>
    </row>
    <row r="475" spans="1:8">
      <c r="A475" t="s">
        <v>240</v>
      </c>
      <c r="B475" t="s">
        <v>62</v>
      </c>
      <c r="C475">
        <v>34</v>
      </c>
      <c r="D475" t="s">
        <v>991</v>
      </c>
      <c r="E475" t="s">
        <v>992</v>
      </c>
      <c r="F475" t="s">
        <v>62</v>
      </c>
      <c r="G475" t="s">
        <v>993</v>
      </c>
      <c r="H475" t="s">
        <v>994</v>
      </c>
    </row>
    <row r="476" spans="1:8">
      <c r="A476" t="s">
        <v>239</v>
      </c>
      <c r="B476" t="s">
        <v>62</v>
      </c>
      <c r="C476">
        <v>34</v>
      </c>
      <c r="D476" t="s">
        <v>995</v>
      </c>
      <c r="E476" t="s">
        <v>996</v>
      </c>
      <c r="H476" t="s">
        <v>997</v>
      </c>
    </row>
    <row r="477" spans="1:8">
      <c r="A477" t="s">
        <v>241</v>
      </c>
      <c r="B477" t="s">
        <v>62</v>
      </c>
      <c r="C477">
        <v>34</v>
      </c>
      <c r="D477" t="s">
        <v>998</v>
      </c>
      <c r="E477" t="s">
        <v>999</v>
      </c>
      <c r="H477" t="s">
        <v>1000</v>
      </c>
    </row>
    <row r="478" spans="1:8">
      <c r="A478" t="s">
        <v>242</v>
      </c>
      <c r="B478" t="s">
        <v>62</v>
      </c>
      <c r="C478">
        <v>34</v>
      </c>
      <c r="D478" t="s">
        <v>683</v>
      </c>
      <c r="E478" t="s">
        <v>1001</v>
      </c>
      <c r="F478" t="s">
        <v>62</v>
      </c>
      <c r="H478" t="s">
        <v>1002</v>
      </c>
    </row>
    <row r="479" spans="1:8">
      <c r="A479" t="s">
        <v>242</v>
      </c>
      <c r="B479" t="s">
        <v>62</v>
      </c>
      <c r="C479">
        <v>34</v>
      </c>
      <c r="D479" t="s">
        <v>1003</v>
      </c>
      <c r="E479" t="s">
        <v>1004</v>
      </c>
      <c r="F479" t="s">
        <v>1005</v>
      </c>
      <c r="H479" t="s">
        <v>1006</v>
      </c>
    </row>
    <row r="480" spans="1:8">
      <c r="A480" t="s">
        <v>241</v>
      </c>
      <c r="B480" t="s">
        <v>62</v>
      </c>
      <c r="C480">
        <v>34</v>
      </c>
      <c r="D480" t="s">
        <v>1007</v>
      </c>
      <c r="E480" t="s">
        <v>1008</v>
      </c>
      <c r="F480" t="s">
        <v>62</v>
      </c>
      <c r="H480" t="s">
        <v>1009</v>
      </c>
    </row>
    <row r="481" spans="1:8">
      <c r="A481" t="s">
        <v>240</v>
      </c>
      <c r="B481" t="s">
        <v>62</v>
      </c>
      <c r="C481">
        <v>34</v>
      </c>
      <c r="D481" t="s">
        <v>1010</v>
      </c>
      <c r="E481" t="s">
        <v>637</v>
      </c>
      <c r="F481" t="s">
        <v>62</v>
      </c>
      <c r="G481" t="s">
        <v>1011</v>
      </c>
      <c r="H481" t="s">
        <v>1012</v>
      </c>
    </row>
    <row r="482" spans="1:8">
      <c r="A482" t="s">
        <v>241</v>
      </c>
      <c r="B482" t="s">
        <v>62</v>
      </c>
      <c r="C482">
        <v>34</v>
      </c>
      <c r="D482" t="s">
        <v>1013</v>
      </c>
      <c r="E482" t="s">
        <v>1014</v>
      </c>
      <c r="F482" t="s">
        <v>62</v>
      </c>
      <c r="H482" t="s">
        <v>1015</v>
      </c>
    </row>
    <row r="483" spans="1:8">
      <c r="A483" t="s">
        <v>243</v>
      </c>
      <c r="B483" t="s">
        <v>62</v>
      </c>
      <c r="C483">
        <v>34</v>
      </c>
      <c r="D483" t="s">
        <v>1016</v>
      </c>
      <c r="E483" t="s">
        <v>1017</v>
      </c>
      <c r="F483" t="s">
        <v>62</v>
      </c>
      <c r="H483" t="s">
        <v>1018</v>
      </c>
    </row>
    <row r="484" spans="1:8">
      <c r="A484" t="s">
        <v>239</v>
      </c>
      <c r="B484" t="s">
        <v>62</v>
      </c>
      <c r="C484">
        <v>34</v>
      </c>
      <c r="D484" t="s">
        <v>1019</v>
      </c>
      <c r="E484" t="s">
        <v>1020</v>
      </c>
      <c r="F484" t="s">
        <v>62</v>
      </c>
      <c r="H484" t="s">
        <v>1021</v>
      </c>
    </row>
    <row r="485" spans="1:8">
      <c r="A485" t="s">
        <v>243</v>
      </c>
      <c r="B485" t="s">
        <v>62</v>
      </c>
      <c r="C485">
        <v>34</v>
      </c>
      <c r="D485" t="s">
        <v>1022</v>
      </c>
      <c r="E485" t="s">
        <v>851</v>
      </c>
      <c r="F485" t="s">
        <v>62</v>
      </c>
      <c r="H485" t="s">
        <v>1023</v>
      </c>
    </row>
    <row r="486" spans="1:8">
      <c r="A486" t="s">
        <v>241</v>
      </c>
      <c r="B486" t="s">
        <v>62</v>
      </c>
      <c r="C486">
        <v>34</v>
      </c>
      <c r="D486" t="s">
        <v>1024</v>
      </c>
      <c r="E486" t="s">
        <v>1025</v>
      </c>
      <c r="F486" t="s">
        <v>62</v>
      </c>
      <c r="H486" t="s">
        <v>1026</v>
      </c>
    </row>
    <row r="487" spans="1:8">
      <c r="A487" t="s">
        <v>241</v>
      </c>
      <c r="B487" t="s">
        <v>62</v>
      </c>
      <c r="C487">
        <v>34</v>
      </c>
      <c r="D487" t="s">
        <v>1027</v>
      </c>
      <c r="E487" t="s">
        <v>1028</v>
      </c>
      <c r="F487" t="s">
        <v>62</v>
      </c>
      <c r="H487" t="s">
        <v>1029</v>
      </c>
    </row>
    <row r="488" spans="1:8">
      <c r="A488" t="s">
        <v>239</v>
      </c>
      <c r="B488" t="s">
        <v>62</v>
      </c>
      <c r="C488">
        <v>34</v>
      </c>
      <c r="D488" t="s">
        <v>1030</v>
      </c>
      <c r="E488" t="s">
        <v>1031</v>
      </c>
      <c r="F488" t="s">
        <v>62</v>
      </c>
    </row>
    <row r="489" spans="1:8">
      <c r="A489" t="s">
        <v>241</v>
      </c>
      <c r="B489" t="s">
        <v>62</v>
      </c>
      <c r="C489">
        <v>34</v>
      </c>
      <c r="D489" t="s">
        <v>1032</v>
      </c>
      <c r="E489" t="s">
        <v>1033</v>
      </c>
      <c r="F489" t="s">
        <v>62</v>
      </c>
      <c r="H489" t="s">
        <v>1034</v>
      </c>
    </row>
    <row r="490" spans="1:8">
      <c r="A490" t="s">
        <v>243</v>
      </c>
      <c r="B490" t="s">
        <v>62</v>
      </c>
      <c r="C490">
        <v>34</v>
      </c>
      <c r="D490" t="s">
        <v>1035</v>
      </c>
      <c r="E490" t="s">
        <v>1036</v>
      </c>
      <c r="F490" t="s">
        <v>62</v>
      </c>
      <c r="H490" t="s">
        <v>1037</v>
      </c>
    </row>
    <row r="491" spans="1:8">
      <c r="A491" t="s">
        <v>241</v>
      </c>
      <c r="B491" t="s">
        <v>62</v>
      </c>
      <c r="C491">
        <v>34</v>
      </c>
      <c r="D491" t="s">
        <v>1038</v>
      </c>
      <c r="E491" t="s">
        <v>1039</v>
      </c>
      <c r="F491" t="s">
        <v>62</v>
      </c>
      <c r="H491" t="s">
        <v>1040</v>
      </c>
    </row>
    <row r="492" spans="1:8">
      <c r="A492" t="s">
        <v>241</v>
      </c>
      <c r="B492" t="s">
        <v>62</v>
      </c>
      <c r="C492">
        <v>34</v>
      </c>
      <c r="D492" t="s">
        <v>1041</v>
      </c>
      <c r="E492" t="s">
        <v>1042</v>
      </c>
      <c r="F492" t="s">
        <v>62</v>
      </c>
      <c r="G492" t="s">
        <v>1043</v>
      </c>
      <c r="H492" t="s">
        <v>1044</v>
      </c>
    </row>
    <row r="493" spans="1:8">
      <c r="A493" t="s">
        <v>241</v>
      </c>
      <c r="B493" t="s">
        <v>62</v>
      </c>
      <c r="C493">
        <v>34</v>
      </c>
      <c r="D493" t="s">
        <v>1045</v>
      </c>
      <c r="E493" t="s">
        <v>1046</v>
      </c>
      <c r="F493" t="s">
        <v>1047</v>
      </c>
      <c r="H493" t="s">
        <v>1048</v>
      </c>
    </row>
    <row r="494" spans="1:8">
      <c r="A494" t="s">
        <v>239</v>
      </c>
      <c r="B494" t="s">
        <v>62</v>
      </c>
      <c r="C494">
        <v>34</v>
      </c>
      <c r="D494" t="s">
        <v>1049</v>
      </c>
      <c r="E494" t="s">
        <v>1050</v>
      </c>
      <c r="F494" t="s">
        <v>62</v>
      </c>
      <c r="H494" t="s">
        <v>1051</v>
      </c>
    </row>
    <row r="495" spans="1:8">
      <c r="A495" t="s">
        <v>241</v>
      </c>
      <c r="B495" t="s">
        <v>62</v>
      </c>
      <c r="C495">
        <v>34</v>
      </c>
      <c r="D495" t="s">
        <v>1052</v>
      </c>
      <c r="E495" t="s">
        <v>1053</v>
      </c>
      <c r="F495" t="s">
        <v>1054</v>
      </c>
      <c r="H495" t="s">
        <v>1055</v>
      </c>
    </row>
    <row r="496" spans="1:8">
      <c r="A496" t="s">
        <v>241</v>
      </c>
      <c r="B496" t="s">
        <v>62</v>
      </c>
      <c r="C496">
        <v>34</v>
      </c>
      <c r="D496" t="s">
        <v>1056</v>
      </c>
      <c r="E496" t="s">
        <v>1057</v>
      </c>
      <c r="F496" t="s">
        <v>62</v>
      </c>
      <c r="H496" t="s">
        <v>1058</v>
      </c>
    </row>
    <row r="497" spans="1:8">
      <c r="A497" t="s">
        <v>243</v>
      </c>
      <c r="B497" t="s">
        <v>62</v>
      </c>
      <c r="C497">
        <v>34</v>
      </c>
      <c r="D497" t="s">
        <v>1059</v>
      </c>
      <c r="F497" t="s">
        <v>62</v>
      </c>
      <c r="H497" t="s">
        <v>1060</v>
      </c>
    </row>
    <row r="498" spans="1:8">
      <c r="A498" t="s">
        <v>239</v>
      </c>
      <c r="B498" t="s">
        <v>62</v>
      </c>
      <c r="C498">
        <v>34</v>
      </c>
      <c r="D498" t="s">
        <v>1061</v>
      </c>
      <c r="E498" t="s">
        <v>1062</v>
      </c>
      <c r="F498" t="s">
        <v>62</v>
      </c>
      <c r="H498" t="s">
        <v>1063</v>
      </c>
    </row>
    <row r="499" spans="1:8">
      <c r="A499" t="s">
        <v>241</v>
      </c>
      <c r="B499" t="s">
        <v>62</v>
      </c>
      <c r="C499">
        <v>34</v>
      </c>
      <c r="D499" t="s">
        <v>1064</v>
      </c>
      <c r="E499" t="s">
        <v>1065</v>
      </c>
      <c r="F499" t="s">
        <v>62</v>
      </c>
      <c r="G499" t="s">
        <v>1066</v>
      </c>
      <c r="H499" t="s">
        <v>1067</v>
      </c>
    </row>
    <row r="500" spans="1:8">
      <c r="A500" t="s">
        <v>243</v>
      </c>
      <c r="B500" t="s">
        <v>62</v>
      </c>
      <c r="C500">
        <v>34</v>
      </c>
      <c r="D500" t="s">
        <v>1068</v>
      </c>
      <c r="E500" t="s">
        <v>1069</v>
      </c>
      <c r="F500" t="s">
        <v>62</v>
      </c>
      <c r="H500" t="s">
        <v>1070</v>
      </c>
    </row>
    <row r="501" spans="1:8">
      <c r="A501" t="s">
        <v>242</v>
      </c>
      <c r="B501" t="s">
        <v>62</v>
      </c>
      <c r="C501">
        <v>34</v>
      </c>
      <c r="D501" t="s">
        <v>1071</v>
      </c>
      <c r="E501" t="s">
        <v>1072</v>
      </c>
      <c r="F501" t="s">
        <v>1073</v>
      </c>
      <c r="G501" t="s">
        <v>1074</v>
      </c>
      <c r="H501" t="s">
        <v>1075</v>
      </c>
    </row>
    <row r="502" spans="1:8">
      <c r="A502" t="s">
        <v>242</v>
      </c>
      <c r="B502" t="s">
        <v>62</v>
      </c>
      <c r="C502">
        <v>34</v>
      </c>
      <c r="D502" t="s">
        <v>1076</v>
      </c>
      <c r="E502" t="s">
        <v>1077</v>
      </c>
      <c r="F502" t="s">
        <v>62</v>
      </c>
      <c r="G502" t="s">
        <v>1078</v>
      </c>
      <c r="H502" t="s">
        <v>1079</v>
      </c>
    </row>
    <row r="503" spans="1:8">
      <c r="A503" t="s">
        <v>242</v>
      </c>
      <c r="B503" t="s">
        <v>62</v>
      </c>
      <c r="C503">
        <v>34</v>
      </c>
      <c r="D503" t="s">
        <v>1080</v>
      </c>
      <c r="E503" t="s">
        <v>1081</v>
      </c>
      <c r="F503" t="s">
        <v>180</v>
      </c>
      <c r="G503" t="s">
        <v>1082</v>
      </c>
    </row>
    <row r="504" spans="1:8">
      <c r="A504" t="s">
        <v>242</v>
      </c>
      <c r="B504" t="s">
        <v>62</v>
      </c>
      <c r="C504">
        <v>34</v>
      </c>
      <c r="D504" t="s">
        <v>1083</v>
      </c>
      <c r="E504" t="s">
        <v>1084</v>
      </c>
      <c r="F504" t="s">
        <v>62</v>
      </c>
      <c r="H504" t="s">
        <v>1085</v>
      </c>
    </row>
    <row r="505" spans="1:8">
      <c r="A505" t="s">
        <v>240</v>
      </c>
      <c r="B505" t="s">
        <v>62</v>
      </c>
      <c r="C505">
        <v>34</v>
      </c>
      <c r="D505" t="s">
        <v>1086</v>
      </c>
      <c r="E505" t="s">
        <v>1087</v>
      </c>
      <c r="G505" t="s">
        <v>1088</v>
      </c>
      <c r="H505" t="s">
        <v>1089</v>
      </c>
    </row>
    <row r="506" spans="1:8">
      <c r="A506" t="s">
        <v>239</v>
      </c>
      <c r="B506" t="s">
        <v>62</v>
      </c>
      <c r="C506">
        <v>34</v>
      </c>
      <c r="D506" t="s">
        <v>1090</v>
      </c>
      <c r="E506" t="s">
        <v>1091</v>
      </c>
    </row>
    <row r="507" spans="1:8">
      <c r="A507" t="s">
        <v>242</v>
      </c>
      <c r="B507" t="s">
        <v>62</v>
      </c>
      <c r="C507">
        <v>34</v>
      </c>
      <c r="D507" t="s">
        <v>1092</v>
      </c>
      <c r="E507" t="s">
        <v>662</v>
      </c>
      <c r="F507" t="s">
        <v>1093</v>
      </c>
      <c r="G507" t="s">
        <v>664</v>
      </c>
      <c r="H507" t="s">
        <v>665</v>
      </c>
    </row>
    <row r="508" spans="1:8">
      <c r="A508" t="s">
        <v>250</v>
      </c>
      <c r="B508" t="s">
        <v>62</v>
      </c>
      <c r="C508">
        <v>34</v>
      </c>
      <c r="D508" t="s">
        <v>1094</v>
      </c>
      <c r="E508" t="s">
        <v>879</v>
      </c>
      <c r="F508" t="s">
        <v>62</v>
      </c>
      <c r="G508" t="s">
        <v>1095</v>
      </c>
      <c r="H508" t="s">
        <v>1096</v>
      </c>
    </row>
    <row r="509" spans="1:8">
      <c r="A509" t="s">
        <v>239</v>
      </c>
      <c r="B509" t="s">
        <v>62</v>
      </c>
      <c r="C509">
        <v>34</v>
      </c>
      <c r="D509" t="s">
        <v>1097</v>
      </c>
      <c r="E509" t="s">
        <v>1098</v>
      </c>
      <c r="H509" t="s">
        <v>777</v>
      </c>
    </row>
    <row r="510" spans="1:8">
      <c r="A510" t="s">
        <v>241</v>
      </c>
      <c r="B510" t="s">
        <v>62</v>
      </c>
      <c r="C510">
        <v>34</v>
      </c>
      <c r="D510" t="s">
        <v>1099</v>
      </c>
      <c r="E510" t="s">
        <v>1100</v>
      </c>
    </row>
    <row r="511" spans="1:8">
      <c r="A511" t="s">
        <v>250</v>
      </c>
      <c r="B511" t="s">
        <v>62</v>
      </c>
      <c r="C511">
        <v>34</v>
      </c>
      <c r="D511" t="s">
        <v>1101</v>
      </c>
      <c r="E511" t="s">
        <v>1102</v>
      </c>
      <c r="F511" t="s">
        <v>76</v>
      </c>
    </row>
    <row r="512" spans="1:8">
      <c r="A512" t="s">
        <v>250</v>
      </c>
      <c r="B512" t="s">
        <v>62</v>
      </c>
      <c r="C512">
        <v>34</v>
      </c>
      <c r="D512" t="s">
        <v>1103</v>
      </c>
      <c r="F512" t="s">
        <v>62</v>
      </c>
      <c r="H512" t="s">
        <v>1104</v>
      </c>
    </row>
    <row r="513" spans="1:8">
      <c r="A513" t="s">
        <v>250</v>
      </c>
      <c r="B513" t="s">
        <v>62</v>
      </c>
      <c r="C513">
        <v>34</v>
      </c>
      <c r="D513" t="s">
        <v>1105</v>
      </c>
      <c r="F513" t="s">
        <v>1106</v>
      </c>
      <c r="G513" t="s">
        <v>1107</v>
      </c>
      <c r="H513" t="s">
        <v>1108</v>
      </c>
    </row>
    <row r="514" spans="1:8">
      <c r="A514" t="s">
        <v>250</v>
      </c>
      <c r="B514" t="s">
        <v>62</v>
      </c>
      <c r="C514">
        <v>34</v>
      </c>
      <c r="D514" t="s">
        <v>1109</v>
      </c>
      <c r="E514" t="s">
        <v>1110</v>
      </c>
      <c r="F514" t="s">
        <v>1111</v>
      </c>
      <c r="G514" t="s">
        <v>1112</v>
      </c>
      <c r="H514" t="s">
        <v>1113</v>
      </c>
    </row>
    <row r="515" spans="1:8">
      <c r="A515" t="s">
        <v>250</v>
      </c>
      <c r="B515" t="s">
        <v>62</v>
      </c>
      <c r="C515">
        <v>34</v>
      </c>
      <c r="D515" t="s">
        <v>1114</v>
      </c>
      <c r="G515" t="s">
        <v>1115</v>
      </c>
    </row>
    <row r="516" spans="1:8">
      <c r="A516" t="s">
        <v>250</v>
      </c>
      <c r="B516" t="s">
        <v>62</v>
      </c>
      <c r="C516">
        <v>34</v>
      </c>
      <c r="D516" t="s">
        <v>1116</v>
      </c>
      <c r="E516" t="s">
        <v>1117</v>
      </c>
      <c r="F516" t="s">
        <v>62</v>
      </c>
    </row>
    <row r="517" spans="1:8">
      <c r="A517" t="s">
        <v>241</v>
      </c>
      <c r="B517" t="s">
        <v>62</v>
      </c>
      <c r="C517">
        <v>34</v>
      </c>
      <c r="D517" t="s">
        <v>1118</v>
      </c>
      <c r="E517" t="s">
        <v>1119</v>
      </c>
      <c r="F517" t="s">
        <v>62</v>
      </c>
      <c r="G517" t="s">
        <v>1120</v>
      </c>
      <c r="H517" t="s">
        <v>1121</v>
      </c>
    </row>
    <row r="518" spans="1:8">
      <c r="A518" t="s">
        <v>241</v>
      </c>
      <c r="B518" t="s">
        <v>62</v>
      </c>
      <c r="C518">
        <v>34</v>
      </c>
      <c r="D518" t="s">
        <v>1122</v>
      </c>
      <c r="E518" t="s">
        <v>1123</v>
      </c>
      <c r="F518" t="s">
        <v>62</v>
      </c>
      <c r="G518" t="s">
        <v>1124</v>
      </c>
      <c r="H518" t="s">
        <v>1125</v>
      </c>
    </row>
    <row r="519" spans="1:8">
      <c r="A519" t="s">
        <v>243</v>
      </c>
      <c r="B519" t="s">
        <v>62</v>
      </c>
      <c r="C519">
        <v>34</v>
      </c>
      <c r="D519" t="s">
        <v>1126</v>
      </c>
      <c r="E519" t="s">
        <v>1127</v>
      </c>
      <c r="F519" t="s">
        <v>62</v>
      </c>
      <c r="G519" t="s">
        <v>1128</v>
      </c>
      <c r="H519" t="s">
        <v>1129</v>
      </c>
    </row>
    <row r="520" spans="1:8">
      <c r="A520" t="s">
        <v>241</v>
      </c>
      <c r="B520" t="s">
        <v>62</v>
      </c>
      <c r="C520">
        <v>34</v>
      </c>
      <c r="D520" t="s">
        <v>1130</v>
      </c>
      <c r="E520" t="s">
        <v>1131</v>
      </c>
      <c r="F520" t="s">
        <v>62</v>
      </c>
      <c r="G520" t="s">
        <v>1132</v>
      </c>
      <c r="H520" t="s">
        <v>1133</v>
      </c>
    </row>
    <row r="521" spans="1:8">
      <c r="A521" t="s">
        <v>240</v>
      </c>
      <c r="B521" t="s">
        <v>62</v>
      </c>
      <c r="C521">
        <v>34</v>
      </c>
      <c r="D521" t="s">
        <v>1134</v>
      </c>
      <c r="E521" t="s">
        <v>1135</v>
      </c>
      <c r="F521" t="s">
        <v>62</v>
      </c>
      <c r="H521" t="s">
        <v>708</v>
      </c>
    </row>
    <row r="522" spans="1:8">
      <c r="A522" t="s">
        <v>239</v>
      </c>
      <c r="B522" t="s">
        <v>62</v>
      </c>
      <c r="C522">
        <v>34</v>
      </c>
      <c r="D522" t="s">
        <v>1136</v>
      </c>
      <c r="E522" t="s">
        <v>1137</v>
      </c>
      <c r="H522" t="s">
        <v>1138</v>
      </c>
    </row>
    <row r="523" spans="1:8">
      <c r="A523" t="s">
        <v>243</v>
      </c>
      <c r="B523" t="s">
        <v>62</v>
      </c>
      <c r="C523">
        <v>34</v>
      </c>
      <c r="D523" t="s">
        <v>1139</v>
      </c>
      <c r="E523" t="s">
        <v>1140</v>
      </c>
      <c r="F523" t="s">
        <v>62</v>
      </c>
      <c r="G523" t="s">
        <v>1141</v>
      </c>
      <c r="H523" t="s">
        <v>1142</v>
      </c>
    </row>
    <row r="524" spans="1:8">
      <c r="A524" t="s">
        <v>241</v>
      </c>
      <c r="B524" t="s">
        <v>62</v>
      </c>
      <c r="C524">
        <v>34</v>
      </c>
      <c r="D524" t="s">
        <v>1143</v>
      </c>
      <c r="E524" t="s">
        <v>1144</v>
      </c>
      <c r="F524" t="s">
        <v>62</v>
      </c>
      <c r="H524" t="s">
        <v>1145</v>
      </c>
    </row>
    <row r="525" spans="1:8">
      <c r="A525" t="s">
        <v>241</v>
      </c>
      <c r="B525" t="s">
        <v>62</v>
      </c>
      <c r="C525">
        <v>34</v>
      </c>
      <c r="D525" t="s">
        <v>1146</v>
      </c>
      <c r="E525" t="s">
        <v>1147</v>
      </c>
      <c r="F525" t="s">
        <v>62</v>
      </c>
      <c r="G525" t="s">
        <v>1148</v>
      </c>
      <c r="H525" t="s">
        <v>1149</v>
      </c>
    </row>
    <row r="526" spans="1:8">
      <c r="A526" t="s">
        <v>238</v>
      </c>
      <c r="B526" t="s">
        <v>62</v>
      </c>
      <c r="C526">
        <v>34</v>
      </c>
      <c r="D526" t="s">
        <v>1150</v>
      </c>
      <c r="E526" t="s">
        <v>1151</v>
      </c>
      <c r="F526" t="s">
        <v>62</v>
      </c>
      <c r="G526" t="s">
        <v>1152</v>
      </c>
      <c r="H526" t="s">
        <v>1153</v>
      </c>
    </row>
    <row r="527" spans="1:8">
      <c r="A527" t="s">
        <v>241</v>
      </c>
      <c r="B527" t="s">
        <v>62</v>
      </c>
      <c r="C527">
        <v>34</v>
      </c>
      <c r="D527" t="s">
        <v>1154</v>
      </c>
      <c r="E527" t="s">
        <v>1155</v>
      </c>
      <c r="F527" t="s">
        <v>62</v>
      </c>
      <c r="H527" t="s">
        <v>1156</v>
      </c>
    </row>
    <row r="528" spans="1:8">
      <c r="A528" t="s">
        <v>241</v>
      </c>
      <c r="B528" t="s">
        <v>62</v>
      </c>
      <c r="C528">
        <v>34</v>
      </c>
      <c r="D528" t="s">
        <v>1157</v>
      </c>
      <c r="E528" t="s">
        <v>1158</v>
      </c>
      <c r="F528" t="s">
        <v>62</v>
      </c>
      <c r="H528" t="s">
        <v>1159</v>
      </c>
    </row>
    <row r="529" spans="1:8">
      <c r="A529" t="s">
        <v>242</v>
      </c>
      <c r="B529" t="s">
        <v>62</v>
      </c>
      <c r="C529">
        <v>34</v>
      </c>
      <c r="D529" t="s">
        <v>1160</v>
      </c>
      <c r="E529" t="s">
        <v>1161</v>
      </c>
      <c r="F529" t="s">
        <v>1162</v>
      </c>
      <c r="G529" t="s">
        <v>1163</v>
      </c>
      <c r="H529" t="s">
        <v>1164</v>
      </c>
    </row>
    <row r="530" spans="1:8">
      <c r="A530" t="s">
        <v>241</v>
      </c>
      <c r="B530" t="s">
        <v>62</v>
      </c>
      <c r="C530">
        <v>34</v>
      </c>
      <c r="D530" t="s">
        <v>1165</v>
      </c>
      <c r="E530" t="s">
        <v>1166</v>
      </c>
      <c r="H530" t="s">
        <v>1167</v>
      </c>
    </row>
    <row r="531" spans="1:8">
      <c r="A531" t="s">
        <v>241</v>
      </c>
      <c r="B531" t="s">
        <v>62</v>
      </c>
      <c r="C531">
        <v>34</v>
      </c>
      <c r="D531" t="s">
        <v>1168</v>
      </c>
      <c r="E531" t="s">
        <v>1169</v>
      </c>
      <c r="F531" t="s">
        <v>62</v>
      </c>
      <c r="H531" t="s">
        <v>651</v>
      </c>
    </row>
    <row r="532" spans="1:8">
      <c r="A532" t="s">
        <v>241</v>
      </c>
      <c r="B532" t="s">
        <v>62</v>
      </c>
      <c r="C532">
        <v>34</v>
      </c>
      <c r="D532" t="s">
        <v>1170</v>
      </c>
      <c r="E532" t="s">
        <v>1171</v>
      </c>
      <c r="H532" t="s">
        <v>1172</v>
      </c>
    </row>
    <row r="533" spans="1:8">
      <c r="A533" t="s">
        <v>239</v>
      </c>
      <c r="B533" t="s">
        <v>62</v>
      </c>
      <c r="C533">
        <v>34</v>
      </c>
      <c r="D533" t="s">
        <v>772</v>
      </c>
      <c r="E533" t="s">
        <v>773</v>
      </c>
      <c r="H533" t="s">
        <v>774</v>
      </c>
    </row>
    <row r="534" spans="1:8">
      <c r="A534" t="s">
        <v>242</v>
      </c>
      <c r="B534" t="s">
        <v>62</v>
      </c>
      <c r="C534">
        <v>34</v>
      </c>
      <c r="D534" t="s">
        <v>1173</v>
      </c>
      <c r="E534" t="s">
        <v>1174</v>
      </c>
      <c r="F534" t="s">
        <v>1175</v>
      </c>
      <c r="G534" t="s">
        <v>1176</v>
      </c>
      <c r="H534" t="s">
        <v>1177</v>
      </c>
    </row>
    <row r="535" spans="1:8">
      <c r="A535" t="s">
        <v>250</v>
      </c>
      <c r="B535" t="s">
        <v>62</v>
      </c>
      <c r="C535">
        <v>34</v>
      </c>
      <c r="D535" t="s">
        <v>1178</v>
      </c>
      <c r="E535" t="s">
        <v>1179</v>
      </c>
      <c r="F535" t="s">
        <v>729</v>
      </c>
      <c r="G535" t="s">
        <v>1180</v>
      </c>
      <c r="H535" t="s">
        <v>1181</v>
      </c>
    </row>
    <row r="536" spans="1:8">
      <c r="A536" t="s">
        <v>250</v>
      </c>
      <c r="B536" t="s">
        <v>62</v>
      </c>
      <c r="C536">
        <v>34</v>
      </c>
      <c r="D536" t="s">
        <v>1182</v>
      </c>
      <c r="E536" t="s">
        <v>728</v>
      </c>
      <c r="F536" t="s">
        <v>729</v>
      </c>
      <c r="H536" t="s">
        <v>1183</v>
      </c>
    </row>
    <row r="537" spans="1:8">
      <c r="A537" t="s">
        <v>250</v>
      </c>
      <c r="B537" t="s">
        <v>62</v>
      </c>
      <c r="C537">
        <v>34</v>
      </c>
      <c r="D537" t="s">
        <v>1182</v>
      </c>
      <c r="F537" t="s">
        <v>729</v>
      </c>
      <c r="G537" t="s">
        <v>1183</v>
      </c>
    </row>
    <row r="538" spans="1:8">
      <c r="A538" t="s">
        <v>250</v>
      </c>
      <c r="B538" t="s">
        <v>62</v>
      </c>
      <c r="C538">
        <v>34</v>
      </c>
      <c r="D538" t="s">
        <v>1184</v>
      </c>
      <c r="E538" t="s">
        <v>1185</v>
      </c>
      <c r="F538" t="s">
        <v>62</v>
      </c>
      <c r="G538" t="s">
        <v>1186</v>
      </c>
    </row>
    <row r="539" spans="1:8">
      <c r="A539" t="s">
        <v>250</v>
      </c>
      <c r="B539" t="s">
        <v>62</v>
      </c>
      <c r="C539">
        <v>34</v>
      </c>
      <c r="D539" t="s">
        <v>1187</v>
      </c>
      <c r="F539" t="s">
        <v>729</v>
      </c>
      <c r="G539" t="s">
        <v>1188</v>
      </c>
    </row>
    <row r="540" spans="1:8">
      <c r="A540" t="s">
        <v>250</v>
      </c>
      <c r="B540" t="s">
        <v>62</v>
      </c>
      <c r="C540">
        <v>34</v>
      </c>
      <c r="D540" t="s">
        <v>1189</v>
      </c>
      <c r="E540" t="s">
        <v>1190</v>
      </c>
      <c r="F540" t="s">
        <v>729</v>
      </c>
      <c r="G540" t="s">
        <v>1191</v>
      </c>
    </row>
    <row r="541" spans="1:8">
      <c r="A541" t="s">
        <v>250</v>
      </c>
      <c r="B541" t="s">
        <v>62</v>
      </c>
      <c r="C541">
        <v>34</v>
      </c>
      <c r="D541" t="s">
        <v>1192</v>
      </c>
      <c r="E541" t="s">
        <v>1117</v>
      </c>
      <c r="F541" t="s">
        <v>880</v>
      </c>
      <c r="G541" t="s">
        <v>1193</v>
      </c>
      <c r="H541" t="s">
        <v>1194</v>
      </c>
    </row>
    <row r="542" spans="1:8">
      <c r="A542" t="s">
        <v>250</v>
      </c>
      <c r="B542" t="s">
        <v>62</v>
      </c>
      <c r="C542">
        <v>34</v>
      </c>
      <c r="D542" t="s">
        <v>1195</v>
      </c>
      <c r="E542" t="s">
        <v>1117</v>
      </c>
      <c r="F542" t="s">
        <v>62</v>
      </c>
    </row>
    <row r="543" spans="1:8">
      <c r="A543" t="s">
        <v>250</v>
      </c>
      <c r="B543" t="s">
        <v>62</v>
      </c>
      <c r="C543">
        <v>34</v>
      </c>
      <c r="D543" t="s">
        <v>1196</v>
      </c>
      <c r="E543" t="s">
        <v>1197</v>
      </c>
      <c r="F543" t="s">
        <v>1198</v>
      </c>
      <c r="G543" t="s">
        <v>1199</v>
      </c>
    </row>
    <row r="544" spans="1:8">
      <c r="A544" t="s">
        <v>250</v>
      </c>
      <c r="B544" t="s">
        <v>62</v>
      </c>
      <c r="C544">
        <v>34</v>
      </c>
      <c r="D544" t="s">
        <v>1200</v>
      </c>
      <c r="F544" t="s">
        <v>729</v>
      </c>
      <c r="G544" t="s">
        <v>1201</v>
      </c>
      <c r="H544" t="s">
        <v>677</v>
      </c>
    </row>
    <row r="545" spans="1:8">
      <c r="A545" t="s">
        <v>250</v>
      </c>
      <c r="B545" t="s">
        <v>62</v>
      </c>
      <c r="C545">
        <v>34</v>
      </c>
      <c r="D545" t="s">
        <v>1202</v>
      </c>
      <c r="E545" t="s">
        <v>1203</v>
      </c>
      <c r="F545" t="s">
        <v>76</v>
      </c>
      <c r="H545" t="s">
        <v>1204</v>
      </c>
    </row>
    <row r="546" spans="1:8">
      <c r="A546" t="s">
        <v>250</v>
      </c>
      <c r="B546" t="s">
        <v>62</v>
      </c>
      <c r="C546">
        <v>34</v>
      </c>
      <c r="D546" t="s">
        <v>1205</v>
      </c>
      <c r="E546" t="s">
        <v>1117</v>
      </c>
      <c r="F546" t="s">
        <v>880</v>
      </c>
      <c r="G546" t="s">
        <v>1206</v>
      </c>
      <c r="H546" t="s">
        <v>1207</v>
      </c>
    </row>
    <row r="547" spans="1:8">
      <c r="A547" t="s">
        <v>250</v>
      </c>
      <c r="B547" t="s">
        <v>62</v>
      </c>
      <c r="C547">
        <v>34</v>
      </c>
      <c r="D547" t="s">
        <v>1208</v>
      </c>
      <c r="E547" t="s">
        <v>1102</v>
      </c>
      <c r="F547" t="s">
        <v>76</v>
      </c>
    </row>
    <row r="548" spans="1:8">
      <c r="A548" t="s">
        <v>250</v>
      </c>
      <c r="B548" t="s">
        <v>62</v>
      </c>
      <c r="C548">
        <v>34</v>
      </c>
      <c r="D548" t="s">
        <v>1209</v>
      </c>
      <c r="G548" t="s">
        <v>1210</v>
      </c>
    </row>
    <row r="549" spans="1:8">
      <c r="A549" t="s">
        <v>250</v>
      </c>
      <c r="B549" t="s">
        <v>62</v>
      </c>
      <c r="C549">
        <v>34</v>
      </c>
      <c r="D549" t="s">
        <v>1211</v>
      </c>
      <c r="F549" t="s">
        <v>729</v>
      </c>
      <c r="H549" t="s">
        <v>1212</v>
      </c>
    </row>
    <row r="550" spans="1:8">
      <c r="A550" t="s">
        <v>250</v>
      </c>
      <c r="B550" t="s">
        <v>62</v>
      </c>
      <c r="C550">
        <v>34</v>
      </c>
      <c r="D550" t="s">
        <v>1213</v>
      </c>
    </row>
    <row r="551" spans="1:8">
      <c r="A551" t="s">
        <v>250</v>
      </c>
      <c r="B551" t="s">
        <v>62</v>
      </c>
      <c r="C551">
        <v>34</v>
      </c>
      <c r="D551" t="s">
        <v>1214</v>
      </c>
      <c r="E551" t="s">
        <v>1102</v>
      </c>
      <c r="F551" t="s">
        <v>76</v>
      </c>
    </row>
    <row r="552" spans="1:8">
      <c r="A552" t="s">
        <v>239</v>
      </c>
      <c r="B552" t="s">
        <v>62</v>
      </c>
      <c r="C552">
        <v>34</v>
      </c>
      <c r="D552" t="s">
        <v>1215</v>
      </c>
      <c r="E552" t="s">
        <v>1216</v>
      </c>
      <c r="H552" t="s">
        <v>1217</v>
      </c>
    </row>
    <row r="553" spans="1:8">
      <c r="A553" t="s">
        <v>239</v>
      </c>
      <c r="B553" t="s">
        <v>62</v>
      </c>
      <c r="C553">
        <v>34</v>
      </c>
      <c r="D553" t="s">
        <v>1218</v>
      </c>
      <c r="E553" t="s">
        <v>1219</v>
      </c>
      <c r="H553" t="s">
        <v>1220</v>
      </c>
    </row>
    <row r="554" spans="1:8">
      <c r="A554" t="s">
        <v>241</v>
      </c>
      <c r="B554" t="s">
        <v>62</v>
      </c>
      <c r="C554">
        <v>34</v>
      </c>
      <c r="D554" t="s">
        <v>1221</v>
      </c>
      <c r="E554" t="s">
        <v>1222</v>
      </c>
      <c r="H554" t="s">
        <v>1223</v>
      </c>
    </row>
    <row r="555" spans="1:8">
      <c r="A555" t="s">
        <v>241</v>
      </c>
      <c r="B555" t="s">
        <v>62</v>
      </c>
      <c r="C555">
        <v>34</v>
      </c>
      <c r="D555" t="s">
        <v>1224</v>
      </c>
      <c r="E555" t="s">
        <v>1225</v>
      </c>
      <c r="H555" t="s">
        <v>1226</v>
      </c>
    </row>
    <row r="556" spans="1:8">
      <c r="A556" t="s">
        <v>243</v>
      </c>
      <c r="B556" t="s">
        <v>62</v>
      </c>
      <c r="C556">
        <v>34</v>
      </c>
      <c r="D556" t="s">
        <v>1227</v>
      </c>
      <c r="E556" t="s">
        <v>1017</v>
      </c>
      <c r="H556" t="s">
        <v>1228</v>
      </c>
    </row>
    <row r="557" spans="1:8">
      <c r="A557" t="s">
        <v>241</v>
      </c>
      <c r="B557" t="s">
        <v>62</v>
      </c>
      <c r="C557">
        <v>34</v>
      </c>
      <c r="D557" t="s">
        <v>1229</v>
      </c>
      <c r="E557" t="s">
        <v>1230</v>
      </c>
      <c r="H557" t="s">
        <v>1231</v>
      </c>
    </row>
    <row r="558" spans="1:8">
      <c r="A558" t="s">
        <v>241</v>
      </c>
      <c r="B558" t="s">
        <v>62</v>
      </c>
      <c r="C558">
        <v>34</v>
      </c>
      <c r="D558" t="s">
        <v>1232</v>
      </c>
      <c r="E558" t="s">
        <v>1233</v>
      </c>
      <c r="G558" t="s">
        <v>1234</v>
      </c>
      <c r="H558" t="s">
        <v>1235</v>
      </c>
    </row>
    <row r="559" spans="1:8">
      <c r="A559" t="s">
        <v>243</v>
      </c>
      <c r="B559" t="s">
        <v>62</v>
      </c>
      <c r="C559">
        <v>34</v>
      </c>
      <c r="D559" t="s">
        <v>1236</v>
      </c>
      <c r="E559" t="s">
        <v>1237</v>
      </c>
      <c r="G559" t="s">
        <v>1238</v>
      </c>
      <c r="H559" t="s">
        <v>1239</v>
      </c>
    </row>
    <row r="560" spans="1:8">
      <c r="A560" t="s">
        <v>241</v>
      </c>
      <c r="B560" t="s">
        <v>62</v>
      </c>
      <c r="C560">
        <v>34</v>
      </c>
      <c r="D560" t="s">
        <v>1240</v>
      </c>
      <c r="E560" t="s">
        <v>1241</v>
      </c>
      <c r="H560" t="s">
        <v>1242</v>
      </c>
    </row>
    <row r="561" spans="1:8">
      <c r="A561" t="s">
        <v>250</v>
      </c>
      <c r="B561" t="s">
        <v>62</v>
      </c>
      <c r="C561">
        <v>34</v>
      </c>
      <c r="D561" t="s">
        <v>1243</v>
      </c>
      <c r="E561" t="s">
        <v>1244</v>
      </c>
      <c r="H561" t="s">
        <v>1245</v>
      </c>
    </row>
    <row r="562" spans="1:8">
      <c r="A562" t="s">
        <v>250</v>
      </c>
      <c r="B562" t="s">
        <v>76</v>
      </c>
      <c r="C562">
        <v>34</v>
      </c>
      <c r="D562" t="s">
        <v>5078</v>
      </c>
      <c r="E562" t="s">
        <v>5079</v>
      </c>
      <c r="F562" t="s">
        <v>76</v>
      </c>
      <c r="G562" t="s">
        <v>5080</v>
      </c>
    </row>
    <row r="563" spans="1:8">
      <c r="A563" t="s">
        <v>250</v>
      </c>
      <c r="B563" t="s">
        <v>76</v>
      </c>
      <c r="C563">
        <v>34</v>
      </c>
      <c r="D563" t="s">
        <v>5081</v>
      </c>
      <c r="E563" t="s">
        <v>728</v>
      </c>
      <c r="F563" t="s">
        <v>76</v>
      </c>
      <c r="G563" t="s">
        <v>5082</v>
      </c>
    </row>
    <row r="564" spans="1:8">
      <c r="A564" t="s">
        <v>250</v>
      </c>
      <c r="B564" t="s">
        <v>76</v>
      </c>
      <c r="C564">
        <v>34</v>
      </c>
      <c r="D564" t="s">
        <v>5083</v>
      </c>
      <c r="E564" t="s">
        <v>5084</v>
      </c>
      <c r="F564" t="s">
        <v>76</v>
      </c>
      <c r="G564" t="s">
        <v>5085</v>
      </c>
    </row>
    <row r="565" spans="1:8">
      <c r="A565" t="s">
        <v>239</v>
      </c>
      <c r="B565" t="s">
        <v>76</v>
      </c>
      <c r="C565">
        <v>34</v>
      </c>
      <c r="D565" t="s">
        <v>5086</v>
      </c>
      <c r="E565" t="s">
        <v>5087</v>
      </c>
      <c r="F565" t="s">
        <v>76</v>
      </c>
      <c r="H565" t="s">
        <v>5088</v>
      </c>
    </row>
    <row r="566" spans="1:8">
      <c r="A566" t="s">
        <v>241</v>
      </c>
      <c r="B566" t="s">
        <v>76</v>
      </c>
      <c r="C566">
        <v>34</v>
      </c>
      <c r="D566" t="s">
        <v>5089</v>
      </c>
      <c r="E566" t="s">
        <v>5090</v>
      </c>
      <c r="F566" t="s">
        <v>76</v>
      </c>
      <c r="G566" t="s">
        <v>5091</v>
      </c>
      <c r="H566" t="s">
        <v>5092</v>
      </c>
    </row>
    <row r="567" spans="1:8">
      <c r="A567" t="s">
        <v>241</v>
      </c>
      <c r="B567" t="s">
        <v>76</v>
      </c>
      <c r="C567">
        <v>34</v>
      </c>
      <c r="D567" t="s">
        <v>5093</v>
      </c>
      <c r="E567" t="s">
        <v>5094</v>
      </c>
      <c r="F567" t="s">
        <v>5095</v>
      </c>
      <c r="H567" t="s">
        <v>5096</v>
      </c>
    </row>
    <row r="568" spans="1:8">
      <c r="A568" t="s">
        <v>243</v>
      </c>
      <c r="B568" t="s">
        <v>76</v>
      </c>
      <c r="C568">
        <v>34</v>
      </c>
      <c r="D568" t="s">
        <v>5097</v>
      </c>
      <c r="E568" t="s">
        <v>5098</v>
      </c>
      <c r="G568" t="s">
        <v>5099</v>
      </c>
      <c r="H568" t="s">
        <v>5100</v>
      </c>
    </row>
    <row r="569" spans="1:8">
      <c r="A569" t="s">
        <v>250</v>
      </c>
      <c r="B569" t="s">
        <v>76</v>
      </c>
      <c r="C569">
        <v>34</v>
      </c>
      <c r="D569" t="s">
        <v>5101</v>
      </c>
      <c r="E569" t="s">
        <v>5102</v>
      </c>
      <c r="G569" t="s">
        <v>5103</v>
      </c>
    </row>
    <row r="570" spans="1:8">
      <c r="A570" t="s">
        <v>243</v>
      </c>
      <c r="B570" t="s">
        <v>76</v>
      </c>
      <c r="C570">
        <v>34</v>
      </c>
      <c r="D570" t="s">
        <v>5104</v>
      </c>
      <c r="E570" t="s">
        <v>5105</v>
      </c>
      <c r="H570" t="s">
        <v>5106</v>
      </c>
    </row>
    <row r="571" spans="1:8">
      <c r="A571" t="s">
        <v>239</v>
      </c>
      <c r="B571" t="s">
        <v>76</v>
      </c>
      <c r="C571">
        <v>34</v>
      </c>
      <c r="D571" t="s">
        <v>5107</v>
      </c>
      <c r="E571" t="s">
        <v>5108</v>
      </c>
      <c r="F571" t="s">
        <v>5109</v>
      </c>
    </row>
    <row r="572" spans="1:8">
      <c r="A572" t="s">
        <v>250</v>
      </c>
      <c r="B572" t="s">
        <v>76</v>
      </c>
      <c r="C572">
        <v>34</v>
      </c>
      <c r="D572" t="s">
        <v>5110</v>
      </c>
      <c r="E572" t="s">
        <v>5111</v>
      </c>
      <c r="F572" t="s">
        <v>76</v>
      </c>
    </row>
    <row r="573" spans="1:8">
      <c r="A573" t="s">
        <v>243</v>
      </c>
      <c r="B573" t="s">
        <v>76</v>
      </c>
      <c r="C573">
        <v>34</v>
      </c>
      <c r="D573" t="s">
        <v>5112</v>
      </c>
      <c r="E573" t="s">
        <v>5113</v>
      </c>
      <c r="H573" t="s">
        <v>5114</v>
      </c>
    </row>
    <row r="574" spans="1:8">
      <c r="A574" t="s">
        <v>243</v>
      </c>
      <c r="B574" t="s">
        <v>76</v>
      </c>
      <c r="C574">
        <v>34</v>
      </c>
      <c r="D574" t="s">
        <v>5115</v>
      </c>
      <c r="E574" t="s">
        <v>5116</v>
      </c>
      <c r="H574" t="s">
        <v>5114</v>
      </c>
    </row>
    <row r="575" spans="1:8">
      <c r="A575" t="s">
        <v>241</v>
      </c>
      <c r="B575" t="s">
        <v>76</v>
      </c>
      <c r="C575">
        <v>34</v>
      </c>
      <c r="D575" t="s">
        <v>5117</v>
      </c>
      <c r="E575" t="s">
        <v>5118</v>
      </c>
      <c r="H575" t="s">
        <v>5119</v>
      </c>
    </row>
    <row r="576" spans="1:8">
      <c r="A576" t="s">
        <v>241</v>
      </c>
      <c r="B576" t="s">
        <v>76</v>
      </c>
      <c r="C576">
        <v>34</v>
      </c>
      <c r="D576" t="s">
        <v>5120</v>
      </c>
      <c r="E576" t="s">
        <v>5121</v>
      </c>
      <c r="H576" t="s">
        <v>5122</v>
      </c>
    </row>
    <row r="577" spans="1:8">
      <c r="A577" t="s">
        <v>250</v>
      </c>
      <c r="B577" t="s">
        <v>76</v>
      </c>
      <c r="C577">
        <v>34</v>
      </c>
      <c r="D577" t="s">
        <v>5123</v>
      </c>
      <c r="E577" t="s">
        <v>5124</v>
      </c>
      <c r="F577" t="s">
        <v>76</v>
      </c>
    </row>
    <row r="578" spans="1:8">
      <c r="A578" t="s">
        <v>250</v>
      </c>
      <c r="B578" t="s">
        <v>76</v>
      </c>
      <c r="C578">
        <v>34</v>
      </c>
      <c r="D578" t="s">
        <v>5125</v>
      </c>
      <c r="E578" t="s">
        <v>1102</v>
      </c>
      <c r="F578" t="s">
        <v>76</v>
      </c>
    </row>
    <row r="579" spans="1:8">
      <c r="A579" t="s">
        <v>250</v>
      </c>
      <c r="B579" t="s">
        <v>76</v>
      </c>
      <c r="C579">
        <v>34</v>
      </c>
      <c r="D579" t="s">
        <v>5126</v>
      </c>
      <c r="E579" t="s">
        <v>1102</v>
      </c>
      <c r="F579" t="s">
        <v>76</v>
      </c>
    </row>
    <row r="580" spans="1:8">
      <c r="A580" t="s">
        <v>250</v>
      </c>
      <c r="B580" t="s">
        <v>76</v>
      </c>
      <c r="C580">
        <v>34</v>
      </c>
      <c r="D580" t="s">
        <v>5127</v>
      </c>
      <c r="E580" t="s">
        <v>5079</v>
      </c>
      <c r="F580" t="s">
        <v>76</v>
      </c>
      <c r="G580" t="s">
        <v>5128</v>
      </c>
    </row>
    <row r="581" spans="1:8">
      <c r="A581" t="s">
        <v>250</v>
      </c>
      <c r="B581" t="s">
        <v>76</v>
      </c>
      <c r="C581">
        <v>34</v>
      </c>
      <c r="D581" t="s">
        <v>5129</v>
      </c>
      <c r="E581" t="s">
        <v>5124</v>
      </c>
      <c r="F581" t="s">
        <v>76</v>
      </c>
      <c r="G581" t="s">
        <v>5130</v>
      </c>
    </row>
    <row r="582" spans="1:8">
      <c r="A582" t="s">
        <v>241</v>
      </c>
      <c r="B582" t="s">
        <v>76</v>
      </c>
      <c r="C582">
        <v>34</v>
      </c>
      <c r="D582" t="s">
        <v>5131</v>
      </c>
      <c r="E582" t="s">
        <v>5132</v>
      </c>
      <c r="F582" t="s">
        <v>5133</v>
      </c>
      <c r="H582" t="s">
        <v>5134</v>
      </c>
    </row>
    <row r="583" spans="1:8">
      <c r="A583" t="s">
        <v>241</v>
      </c>
      <c r="B583" t="s">
        <v>76</v>
      </c>
      <c r="C583">
        <v>34</v>
      </c>
      <c r="D583" t="s">
        <v>5135</v>
      </c>
      <c r="E583" t="s">
        <v>5136</v>
      </c>
      <c r="F583" t="s">
        <v>76</v>
      </c>
      <c r="G583" t="s">
        <v>5137</v>
      </c>
      <c r="H583" t="s">
        <v>5138</v>
      </c>
    </row>
    <row r="584" spans="1:8">
      <c r="A584" t="s">
        <v>250</v>
      </c>
      <c r="B584" t="s">
        <v>76</v>
      </c>
      <c r="C584">
        <v>34</v>
      </c>
      <c r="D584" t="s">
        <v>5139</v>
      </c>
      <c r="E584" t="s">
        <v>5079</v>
      </c>
      <c r="F584" t="s">
        <v>76</v>
      </c>
      <c r="G584" t="s">
        <v>5140</v>
      </c>
    </row>
    <row r="585" spans="1:8">
      <c r="A585" t="s">
        <v>250</v>
      </c>
      <c r="B585" t="s">
        <v>76</v>
      </c>
      <c r="C585">
        <v>34</v>
      </c>
      <c r="D585" t="s">
        <v>5141</v>
      </c>
      <c r="E585" t="s">
        <v>5142</v>
      </c>
      <c r="F585" t="s">
        <v>76</v>
      </c>
    </row>
    <row r="586" spans="1:8">
      <c r="A586" t="s">
        <v>241</v>
      </c>
      <c r="B586" t="s">
        <v>76</v>
      </c>
      <c r="C586">
        <v>34</v>
      </c>
      <c r="D586" t="s">
        <v>5143</v>
      </c>
      <c r="E586" t="s">
        <v>5144</v>
      </c>
      <c r="H586" t="s">
        <v>5145</v>
      </c>
    </row>
    <row r="587" spans="1:8">
      <c r="A587" t="s">
        <v>241</v>
      </c>
      <c r="B587" t="s">
        <v>76</v>
      </c>
      <c r="C587">
        <v>34</v>
      </c>
      <c r="D587" t="s">
        <v>5146</v>
      </c>
      <c r="E587" t="s">
        <v>5147</v>
      </c>
      <c r="F587" t="s">
        <v>76</v>
      </c>
      <c r="G587" t="s">
        <v>1930</v>
      </c>
      <c r="H587" t="s">
        <v>5148</v>
      </c>
    </row>
    <row r="588" spans="1:8">
      <c r="A588" t="s">
        <v>243</v>
      </c>
      <c r="B588" t="s">
        <v>76</v>
      </c>
      <c r="C588">
        <v>34</v>
      </c>
      <c r="D588" t="s">
        <v>5149</v>
      </c>
      <c r="E588" t="s">
        <v>5150</v>
      </c>
      <c r="H588" t="s">
        <v>5151</v>
      </c>
    </row>
    <row r="589" spans="1:8">
      <c r="A589" t="s">
        <v>240</v>
      </c>
      <c r="B589" t="s">
        <v>76</v>
      </c>
      <c r="C589">
        <v>34</v>
      </c>
      <c r="D589" t="s">
        <v>5152</v>
      </c>
      <c r="E589" t="s">
        <v>5153</v>
      </c>
      <c r="F589" t="s">
        <v>76</v>
      </c>
      <c r="G589" t="s">
        <v>5154</v>
      </c>
      <c r="H589" t="s">
        <v>5155</v>
      </c>
    </row>
    <row r="590" spans="1:8">
      <c r="A590" t="s">
        <v>240</v>
      </c>
      <c r="B590" t="s">
        <v>76</v>
      </c>
      <c r="C590">
        <v>34</v>
      </c>
      <c r="D590" t="s">
        <v>5156</v>
      </c>
      <c r="E590" t="s">
        <v>5157</v>
      </c>
      <c r="F590" t="s">
        <v>76</v>
      </c>
      <c r="G590" t="s">
        <v>5158</v>
      </c>
      <c r="H590" t="s">
        <v>5159</v>
      </c>
    </row>
    <row r="591" spans="1:8">
      <c r="A591" t="s">
        <v>240</v>
      </c>
      <c r="B591" t="s">
        <v>76</v>
      </c>
      <c r="C591">
        <v>34</v>
      </c>
      <c r="D591" t="s">
        <v>5160</v>
      </c>
      <c r="E591" t="s">
        <v>5161</v>
      </c>
      <c r="F591" t="s">
        <v>76</v>
      </c>
      <c r="H591" t="s">
        <v>5162</v>
      </c>
    </row>
    <row r="592" spans="1:8">
      <c r="A592" t="s">
        <v>243</v>
      </c>
      <c r="B592" t="s">
        <v>76</v>
      </c>
      <c r="C592">
        <v>34</v>
      </c>
      <c r="D592" t="s">
        <v>5163</v>
      </c>
      <c r="E592" t="s">
        <v>5164</v>
      </c>
      <c r="F592" t="s">
        <v>76</v>
      </c>
    </row>
    <row r="593" spans="1:8">
      <c r="A593" t="s">
        <v>243</v>
      </c>
      <c r="B593" t="s">
        <v>76</v>
      </c>
      <c r="C593">
        <v>34</v>
      </c>
      <c r="D593" t="s">
        <v>5165</v>
      </c>
      <c r="E593" t="s">
        <v>5166</v>
      </c>
      <c r="F593" t="s">
        <v>76</v>
      </c>
      <c r="H593" t="s">
        <v>5167</v>
      </c>
    </row>
    <row r="594" spans="1:8">
      <c r="A594" t="s">
        <v>250</v>
      </c>
      <c r="B594" t="s">
        <v>76</v>
      </c>
      <c r="C594">
        <v>34</v>
      </c>
      <c r="D594" t="s">
        <v>5168</v>
      </c>
      <c r="E594" t="s">
        <v>5169</v>
      </c>
      <c r="F594" t="s">
        <v>76</v>
      </c>
      <c r="G594" t="s">
        <v>5170</v>
      </c>
    </row>
    <row r="595" spans="1:8">
      <c r="A595" t="s">
        <v>243</v>
      </c>
      <c r="B595" t="s">
        <v>76</v>
      </c>
      <c r="C595">
        <v>34</v>
      </c>
      <c r="D595" t="s">
        <v>5171</v>
      </c>
      <c r="E595" t="s">
        <v>5172</v>
      </c>
      <c r="F595" t="s">
        <v>76</v>
      </c>
      <c r="H595" t="s">
        <v>5173</v>
      </c>
    </row>
    <row r="596" spans="1:8">
      <c r="A596" t="s">
        <v>249</v>
      </c>
      <c r="B596" t="s">
        <v>76</v>
      </c>
      <c r="C596">
        <v>34</v>
      </c>
      <c r="D596" t="s">
        <v>5174</v>
      </c>
      <c r="E596" t="s">
        <v>5175</v>
      </c>
      <c r="F596" t="s">
        <v>76</v>
      </c>
      <c r="G596" t="s">
        <v>5176</v>
      </c>
      <c r="H596" t="s">
        <v>5177</v>
      </c>
    </row>
    <row r="597" spans="1:8">
      <c r="A597" t="s">
        <v>250</v>
      </c>
      <c r="B597" t="s">
        <v>76</v>
      </c>
      <c r="C597">
        <v>34</v>
      </c>
      <c r="D597" t="s">
        <v>5178</v>
      </c>
      <c r="F597" t="s">
        <v>76</v>
      </c>
      <c r="G597" t="s">
        <v>5179</v>
      </c>
    </row>
    <row r="598" spans="1:8">
      <c r="A598" t="s">
        <v>241</v>
      </c>
      <c r="B598" t="s">
        <v>76</v>
      </c>
      <c r="C598">
        <v>34</v>
      </c>
      <c r="D598" t="s">
        <v>5180</v>
      </c>
      <c r="E598" t="s">
        <v>5150</v>
      </c>
      <c r="F598" t="s">
        <v>76</v>
      </c>
      <c r="G598" t="s">
        <v>5181</v>
      </c>
      <c r="H598" t="s">
        <v>5151</v>
      </c>
    </row>
    <row r="599" spans="1:8">
      <c r="A599" t="s">
        <v>250</v>
      </c>
      <c r="B599" t="s">
        <v>76</v>
      </c>
      <c r="C599">
        <v>34</v>
      </c>
      <c r="D599" t="s">
        <v>5182</v>
      </c>
      <c r="E599" t="s">
        <v>5183</v>
      </c>
      <c r="F599" t="s">
        <v>76</v>
      </c>
    </row>
    <row r="600" spans="1:8">
      <c r="A600" t="s">
        <v>250</v>
      </c>
      <c r="B600" t="s">
        <v>76</v>
      </c>
      <c r="C600">
        <v>34</v>
      </c>
      <c r="D600" t="s">
        <v>5184</v>
      </c>
      <c r="E600" t="s">
        <v>5185</v>
      </c>
      <c r="F600" t="s">
        <v>76</v>
      </c>
    </row>
    <row r="601" spans="1:8">
      <c r="A601" t="s">
        <v>250</v>
      </c>
      <c r="B601" t="s">
        <v>76</v>
      </c>
      <c r="C601">
        <v>34</v>
      </c>
      <c r="D601" t="s">
        <v>5186</v>
      </c>
      <c r="E601" t="s">
        <v>5187</v>
      </c>
      <c r="F601" t="s">
        <v>76</v>
      </c>
      <c r="G601" t="s">
        <v>5188</v>
      </c>
      <c r="H601" t="s">
        <v>5189</v>
      </c>
    </row>
    <row r="602" spans="1:8">
      <c r="A602" t="s">
        <v>250</v>
      </c>
      <c r="B602" t="s">
        <v>76</v>
      </c>
      <c r="C602">
        <v>34</v>
      </c>
      <c r="D602" t="s">
        <v>5190</v>
      </c>
      <c r="F602" t="s">
        <v>76</v>
      </c>
      <c r="G602" t="s">
        <v>5191</v>
      </c>
    </row>
    <row r="603" spans="1:8">
      <c r="A603" t="s">
        <v>250</v>
      </c>
      <c r="B603" t="s">
        <v>76</v>
      </c>
      <c r="C603">
        <v>34</v>
      </c>
      <c r="D603" t="s">
        <v>5192</v>
      </c>
      <c r="E603" t="s">
        <v>1102</v>
      </c>
      <c r="F603" t="s">
        <v>76</v>
      </c>
    </row>
    <row r="604" spans="1:8">
      <c r="A604" t="s">
        <v>250</v>
      </c>
      <c r="B604" t="s">
        <v>76</v>
      </c>
      <c r="C604">
        <v>34</v>
      </c>
      <c r="D604" t="s">
        <v>5193</v>
      </c>
      <c r="E604" t="s">
        <v>1102</v>
      </c>
      <c r="F604" t="s">
        <v>76</v>
      </c>
    </row>
    <row r="605" spans="1:8">
      <c r="A605" t="s">
        <v>250</v>
      </c>
      <c r="B605" t="s">
        <v>76</v>
      </c>
      <c r="C605">
        <v>34</v>
      </c>
      <c r="D605" t="s">
        <v>5194</v>
      </c>
      <c r="F605" t="s">
        <v>76</v>
      </c>
      <c r="G605" t="s">
        <v>5195</v>
      </c>
      <c r="H605" t="s">
        <v>5196</v>
      </c>
    </row>
    <row r="606" spans="1:8">
      <c r="A606" t="s">
        <v>250</v>
      </c>
      <c r="B606" t="s">
        <v>76</v>
      </c>
      <c r="C606">
        <v>34</v>
      </c>
      <c r="D606" t="s">
        <v>5197</v>
      </c>
      <c r="E606" t="s">
        <v>5198</v>
      </c>
      <c r="F606" t="s">
        <v>76</v>
      </c>
      <c r="G606" t="s">
        <v>5199</v>
      </c>
      <c r="H606" t="s">
        <v>5200</v>
      </c>
    </row>
    <row r="607" spans="1:8">
      <c r="A607" t="s">
        <v>250</v>
      </c>
      <c r="B607" t="s">
        <v>76</v>
      </c>
      <c r="C607">
        <v>34</v>
      </c>
      <c r="D607" t="s">
        <v>5201</v>
      </c>
      <c r="E607" t="s">
        <v>5202</v>
      </c>
      <c r="F607" t="s">
        <v>76</v>
      </c>
      <c r="G607" t="s">
        <v>5203</v>
      </c>
      <c r="H607" t="s">
        <v>5204</v>
      </c>
    </row>
    <row r="608" spans="1:8">
      <c r="A608" t="s">
        <v>250</v>
      </c>
      <c r="B608" t="s">
        <v>76</v>
      </c>
      <c r="C608">
        <v>34</v>
      </c>
      <c r="D608" t="s">
        <v>5205</v>
      </c>
      <c r="E608" t="s">
        <v>5206</v>
      </c>
      <c r="F608" t="s">
        <v>76</v>
      </c>
    </row>
    <row r="609" spans="1:8">
      <c r="A609" t="s">
        <v>250</v>
      </c>
      <c r="B609" t="s">
        <v>76</v>
      </c>
      <c r="C609">
        <v>34</v>
      </c>
      <c r="D609" t="s">
        <v>5207</v>
      </c>
      <c r="E609" t="s">
        <v>5079</v>
      </c>
      <c r="F609" t="s">
        <v>76</v>
      </c>
    </row>
    <row r="610" spans="1:8">
      <c r="A610" t="s">
        <v>243</v>
      </c>
      <c r="B610" t="s">
        <v>76</v>
      </c>
      <c r="C610">
        <v>34</v>
      </c>
      <c r="D610" t="s">
        <v>5208</v>
      </c>
      <c r="E610" t="s">
        <v>5209</v>
      </c>
      <c r="F610" t="s">
        <v>76</v>
      </c>
      <c r="H610" t="s">
        <v>5210</v>
      </c>
    </row>
    <row r="611" spans="1:8">
      <c r="A611" t="s">
        <v>241</v>
      </c>
      <c r="B611" t="s">
        <v>190</v>
      </c>
      <c r="C611">
        <v>34</v>
      </c>
      <c r="D611" t="s">
        <v>14399</v>
      </c>
      <c r="E611" t="s">
        <v>14400</v>
      </c>
    </row>
    <row r="612" spans="1:8">
      <c r="A612" t="s">
        <v>241</v>
      </c>
      <c r="B612" t="s">
        <v>190</v>
      </c>
      <c r="C612">
        <v>34</v>
      </c>
      <c r="D612" t="s">
        <v>14401</v>
      </c>
      <c r="E612" t="s">
        <v>14402</v>
      </c>
      <c r="F612" t="s">
        <v>822</v>
      </c>
      <c r="G612" t="s">
        <v>14403</v>
      </c>
      <c r="H612" t="s">
        <v>14404</v>
      </c>
    </row>
    <row r="613" spans="1:8">
      <c r="A613" t="s">
        <v>241</v>
      </c>
      <c r="B613" t="s">
        <v>190</v>
      </c>
      <c r="C613">
        <v>34</v>
      </c>
      <c r="D613" t="s">
        <v>14405</v>
      </c>
      <c r="E613" t="s">
        <v>14406</v>
      </c>
      <c r="G613" t="s">
        <v>14407</v>
      </c>
      <c r="H613" t="s">
        <v>14408</v>
      </c>
    </row>
    <row r="614" spans="1:8">
      <c r="A614" t="s">
        <v>244</v>
      </c>
      <c r="B614" t="s">
        <v>190</v>
      </c>
      <c r="C614">
        <v>34</v>
      </c>
      <c r="D614" t="s">
        <v>1282</v>
      </c>
      <c r="F614" t="s">
        <v>14409</v>
      </c>
    </row>
    <row r="615" spans="1:8">
      <c r="A615" t="s">
        <v>241</v>
      </c>
      <c r="B615" t="s">
        <v>190</v>
      </c>
      <c r="C615">
        <v>34</v>
      </c>
      <c r="D615" t="s">
        <v>14410</v>
      </c>
      <c r="E615" t="s">
        <v>14411</v>
      </c>
      <c r="F615" t="s">
        <v>190</v>
      </c>
      <c r="G615" t="s">
        <v>14412</v>
      </c>
      <c r="H615" t="s">
        <v>14413</v>
      </c>
    </row>
    <row r="616" spans="1:8">
      <c r="A616" t="s">
        <v>242</v>
      </c>
      <c r="B616" t="s">
        <v>190</v>
      </c>
      <c r="C616">
        <v>34</v>
      </c>
      <c r="D616" t="s">
        <v>14414</v>
      </c>
      <c r="E616" t="s">
        <v>14415</v>
      </c>
      <c r="F616" t="s">
        <v>14416</v>
      </c>
      <c r="G616" t="s">
        <v>14417</v>
      </c>
      <c r="H616" t="s">
        <v>14418</v>
      </c>
    </row>
    <row r="617" spans="1:8">
      <c r="A617" t="s">
        <v>241</v>
      </c>
      <c r="B617" t="s">
        <v>190</v>
      </c>
      <c r="C617">
        <v>34</v>
      </c>
      <c r="D617" t="s">
        <v>14419</v>
      </c>
      <c r="E617" t="s">
        <v>14420</v>
      </c>
      <c r="G617" t="s">
        <v>14421</v>
      </c>
      <c r="H617" t="s">
        <v>14422</v>
      </c>
    </row>
    <row r="618" spans="1:8">
      <c r="A618" t="s">
        <v>241</v>
      </c>
      <c r="B618" t="s">
        <v>190</v>
      </c>
      <c r="C618">
        <v>34</v>
      </c>
      <c r="D618" t="s">
        <v>14423</v>
      </c>
      <c r="E618" t="s">
        <v>14424</v>
      </c>
      <c r="F618" t="s">
        <v>14425</v>
      </c>
      <c r="H618" t="s">
        <v>14426</v>
      </c>
    </row>
    <row r="619" spans="1:8">
      <c r="A619" t="s">
        <v>239</v>
      </c>
      <c r="B619" t="s">
        <v>190</v>
      </c>
      <c r="C619">
        <v>34</v>
      </c>
      <c r="D619" t="s">
        <v>14427</v>
      </c>
      <c r="E619" t="s">
        <v>14428</v>
      </c>
      <c r="F619" t="s">
        <v>190</v>
      </c>
      <c r="H619" t="s">
        <v>14404</v>
      </c>
    </row>
    <row r="620" spans="1:8">
      <c r="A620" t="s">
        <v>240</v>
      </c>
      <c r="B620" t="s">
        <v>190</v>
      </c>
      <c r="C620">
        <v>34</v>
      </c>
      <c r="D620" t="s">
        <v>14429</v>
      </c>
      <c r="E620" t="s">
        <v>14430</v>
      </c>
      <c r="G620" t="s">
        <v>14431</v>
      </c>
      <c r="H620" t="s">
        <v>14432</v>
      </c>
    </row>
    <row r="621" spans="1:8">
      <c r="A621" t="s">
        <v>241</v>
      </c>
      <c r="B621" t="s">
        <v>190</v>
      </c>
      <c r="C621">
        <v>34</v>
      </c>
      <c r="D621" t="s">
        <v>14433</v>
      </c>
      <c r="E621" t="s">
        <v>14434</v>
      </c>
      <c r="F621" t="s">
        <v>190</v>
      </c>
      <c r="G621" t="s">
        <v>14435</v>
      </c>
      <c r="H621" t="s">
        <v>14436</v>
      </c>
    </row>
    <row r="622" spans="1:8">
      <c r="A622" t="s">
        <v>241</v>
      </c>
      <c r="B622" t="s">
        <v>190</v>
      </c>
      <c r="C622">
        <v>34</v>
      </c>
      <c r="D622" t="s">
        <v>14437</v>
      </c>
      <c r="E622" t="s">
        <v>14438</v>
      </c>
      <c r="F622" t="s">
        <v>190</v>
      </c>
      <c r="G622" t="s">
        <v>14439</v>
      </c>
      <c r="H622" t="s">
        <v>14440</v>
      </c>
    </row>
    <row r="623" spans="1:8">
      <c r="A623" t="s">
        <v>241</v>
      </c>
      <c r="B623" t="s">
        <v>190</v>
      </c>
      <c r="C623">
        <v>34</v>
      </c>
      <c r="D623" t="s">
        <v>14441</v>
      </c>
      <c r="E623" t="s">
        <v>14442</v>
      </c>
      <c r="F623" t="s">
        <v>190</v>
      </c>
      <c r="G623" t="s">
        <v>14443</v>
      </c>
      <c r="H623" t="s">
        <v>14444</v>
      </c>
    </row>
    <row r="624" spans="1:8">
      <c r="A624" t="s">
        <v>240</v>
      </c>
      <c r="B624" t="s">
        <v>190</v>
      </c>
      <c r="C624">
        <v>34</v>
      </c>
      <c r="D624" t="s">
        <v>14445</v>
      </c>
      <c r="E624" t="s">
        <v>14446</v>
      </c>
      <c r="F624" t="s">
        <v>190</v>
      </c>
      <c r="G624" t="s">
        <v>14447</v>
      </c>
      <c r="H624" t="s">
        <v>14448</v>
      </c>
    </row>
    <row r="625" spans="1:8">
      <c r="A625" t="s">
        <v>240</v>
      </c>
      <c r="B625" t="s">
        <v>190</v>
      </c>
      <c r="C625">
        <v>34</v>
      </c>
      <c r="D625" t="s">
        <v>1182</v>
      </c>
      <c r="E625" t="s">
        <v>14449</v>
      </c>
      <c r="F625" t="s">
        <v>190</v>
      </c>
    </row>
    <row r="626" spans="1:8">
      <c r="A626" t="s">
        <v>238</v>
      </c>
      <c r="B626" t="s">
        <v>190</v>
      </c>
      <c r="C626">
        <v>34</v>
      </c>
      <c r="D626" t="s">
        <v>14450</v>
      </c>
      <c r="E626" t="s">
        <v>14451</v>
      </c>
      <c r="F626" t="s">
        <v>14452</v>
      </c>
      <c r="G626" t="s">
        <v>14453</v>
      </c>
      <c r="H626" t="s">
        <v>14454</v>
      </c>
    </row>
    <row r="627" spans="1:8">
      <c r="A627" t="s">
        <v>242</v>
      </c>
      <c r="B627" t="s">
        <v>190</v>
      </c>
      <c r="C627">
        <v>34</v>
      </c>
      <c r="D627" t="s">
        <v>14455</v>
      </c>
      <c r="E627" t="s">
        <v>14456</v>
      </c>
      <c r="F627" t="s">
        <v>190</v>
      </c>
      <c r="G627" t="s">
        <v>14457</v>
      </c>
      <c r="H627" t="s">
        <v>14458</v>
      </c>
    </row>
    <row r="628" spans="1:8">
      <c r="A628" t="s">
        <v>241</v>
      </c>
      <c r="B628" t="s">
        <v>190</v>
      </c>
      <c r="C628">
        <v>34</v>
      </c>
      <c r="D628" t="s">
        <v>14459</v>
      </c>
      <c r="E628" t="s">
        <v>14460</v>
      </c>
      <c r="F628" t="s">
        <v>190</v>
      </c>
      <c r="G628" t="s">
        <v>14461</v>
      </c>
      <c r="H628" t="s">
        <v>14462</v>
      </c>
    </row>
    <row r="629" spans="1:8">
      <c r="A629" t="s">
        <v>246</v>
      </c>
      <c r="B629" t="s">
        <v>190</v>
      </c>
      <c r="C629">
        <v>34</v>
      </c>
      <c r="D629" t="s">
        <v>14463</v>
      </c>
      <c r="E629" t="s">
        <v>14464</v>
      </c>
      <c r="F629" t="s">
        <v>190</v>
      </c>
      <c r="H629" t="s">
        <v>14465</v>
      </c>
    </row>
    <row r="630" spans="1:8">
      <c r="A630" t="s">
        <v>240</v>
      </c>
      <c r="B630" t="s">
        <v>190</v>
      </c>
      <c r="C630">
        <v>34</v>
      </c>
      <c r="D630" t="s">
        <v>14466</v>
      </c>
      <c r="E630" t="s">
        <v>14467</v>
      </c>
      <c r="F630" t="s">
        <v>2480</v>
      </c>
      <c r="G630" t="s">
        <v>14468</v>
      </c>
      <c r="H630" t="s">
        <v>14469</v>
      </c>
    </row>
    <row r="631" spans="1:8">
      <c r="A631" t="s">
        <v>241</v>
      </c>
      <c r="B631" t="s">
        <v>190</v>
      </c>
      <c r="C631">
        <v>34</v>
      </c>
      <c r="D631" t="s">
        <v>14470</v>
      </c>
      <c r="E631" t="s">
        <v>14471</v>
      </c>
      <c r="F631" t="s">
        <v>190</v>
      </c>
      <c r="G631" t="s">
        <v>14472</v>
      </c>
      <c r="H631" t="s">
        <v>14473</v>
      </c>
    </row>
    <row r="632" spans="1:8">
      <c r="A632" t="s">
        <v>242</v>
      </c>
      <c r="B632" t="s">
        <v>190</v>
      </c>
      <c r="C632">
        <v>34</v>
      </c>
      <c r="D632" t="s">
        <v>14474</v>
      </c>
      <c r="E632" t="s">
        <v>14475</v>
      </c>
      <c r="F632" t="s">
        <v>190</v>
      </c>
      <c r="G632" t="s">
        <v>14476</v>
      </c>
      <c r="H632" t="s">
        <v>14477</v>
      </c>
    </row>
    <row r="633" spans="1:8">
      <c r="A633" t="s">
        <v>238</v>
      </c>
      <c r="B633" t="s">
        <v>190</v>
      </c>
      <c r="C633">
        <v>34</v>
      </c>
      <c r="D633" t="s">
        <v>14478</v>
      </c>
      <c r="E633" t="s">
        <v>14479</v>
      </c>
      <c r="F633" t="s">
        <v>190</v>
      </c>
      <c r="G633" t="s">
        <v>14480</v>
      </c>
      <c r="H633" t="s">
        <v>14481</v>
      </c>
    </row>
    <row r="634" spans="1:8">
      <c r="A634" t="s">
        <v>242</v>
      </c>
      <c r="B634" t="s">
        <v>190</v>
      </c>
      <c r="C634">
        <v>34</v>
      </c>
      <c r="D634" t="s">
        <v>14482</v>
      </c>
      <c r="E634" t="s">
        <v>14483</v>
      </c>
      <c r="F634" t="s">
        <v>190</v>
      </c>
    </row>
    <row r="635" spans="1:8">
      <c r="A635" t="s">
        <v>240</v>
      </c>
      <c r="B635" t="s">
        <v>190</v>
      </c>
      <c r="C635">
        <v>34</v>
      </c>
      <c r="D635" t="s">
        <v>14484</v>
      </c>
      <c r="E635" t="s">
        <v>14485</v>
      </c>
      <c r="F635" t="s">
        <v>190</v>
      </c>
      <c r="G635" t="s">
        <v>14486</v>
      </c>
      <c r="H635" t="s">
        <v>14487</v>
      </c>
    </row>
    <row r="636" spans="1:8">
      <c r="A636" t="s">
        <v>241</v>
      </c>
      <c r="B636" t="s">
        <v>190</v>
      </c>
      <c r="C636">
        <v>34</v>
      </c>
      <c r="D636" t="s">
        <v>14488</v>
      </c>
      <c r="E636" t="s">
        <v>14489</v>
      </c>
      <c r="H636" t="s">
        <v>14490</v>
      </c>
    </row>
    <row r="637" spans="1:8">
      <c r="A637" t="s">
        <v>241</v>
      </c>
      <c r="B637" t="s">
        <v>190</v>
      </c>
      <c r="C637">
        <v>34</v>
      </c>
      <c r="D637" t="s">
        <v>14491</v>
      </c>
      <c r="E637" t="s">
        <v>14492</v>
      </c>
      <c r="F637" t="s">
        <v>14493</v>
      </c>
      <c r="G637" t="s">
        <v>14494</v>
      </c>
      <c r="H637" t="s">
        <v>14495</v>
      </c>
    </row>
    <row r="638" spans="1:8">
      <c r="A638" t="s">
        <v>241</v>
      </c>
      <c r="B638" t="s">
        <v>190</v>
      </c>
      <c r="C638">
        <v>34</v>
      </c>
      <c r="D638" t="s">
        <v>14496</v>
      </c>
      <c r="E638" t="s">
        <v>14497</v>
      </c>
      <c r="G638" t="s">
        <v>14498</v>
      </c>
      <c r="H638" t="s">
        <v>14499</v>
      </c>
    </row>
    <row r="639" spans="1:8">
      <c r="A639" t="s">
        <v>238</v>
      </c>
      <c r="B639" t="s">
        <v>190</v>
      </c>
      <c r="C639">
        <v>34</v>
      </c>
      <c r="D639" t="s">
        <v>8978</v>
      </c>
      <c r="E639" t="s">
        <v>14500</v>
      </c>
      <c r="H639" t="s">
        <v>14501</v>
      </c>
    </row>
    <row r="640" spans="1:8">
      <c r="A640" t="s">
        <v>241</v>
      </c>
      <c r="B640" t="s">
        <v>190</v>
      </c>
      <c r="C640">
        <v>34</v>
      </c>
      <c r="D640" t="s">
        <v>14502</v>
      </c>
      <c r="E640" t="s">
        <v>14503</v>
      </c>
      <c r="F640" t="s">
        <v>190</v>
      </c>
      <c r="G640" t="s">
        <v>14504</v>
      </c>
      <c r="H640" t="s">
        <v>14505</v>
      </c>
    </row>
    <row r="641" spans="1:8">
      <c r="A641" t="s">
        <v>241</v>
      </c>
      <c r="B641" t="s">
        <v>190</v>
      </c>
      <c r="C641">
        <v>34</v>
      </c>
      <c r="D641" t="s">
        <v>14506</v>
      </c>
      <c r="E641" t="s">
        <v>14507</v>
      </c>
      <c r="H641" t="s">
        <v>14508</v>
      </c>
    </row>
    <row r="642" spans="1:8">
      <c r="A642" t="s">
        <v>242</v>
      </c>
      <c r="B642" t="s">
        <v>190</v>
      </c>
      <c r="C642">
        <v>34</v>
      </c>
      <c r="D642" t="s">
        <v>14509</v>
      </c>
      <c r="E642" t="s">
        <v>14510</v>
      </c>
      <c r="F642" t="s">
        <v>190</v>
      </c>
      <c r="G642" t="s">
        <v>14511</v>
      </c>
      <c r="H642" t="s">
        <v>14512</v>
      </c>
    </row>
    <row r="643" spans="1:8">
      <c r="A643" t="s">
        <v>242</v>
      </c>
      <c r="B643" t="s">
        <v>190</v>
      </c>
      <c r="C643">
        <v>34</v>
      </c>
      <c r="D643" t="s">
        <v>14513</v>
      </c>
      <c r="G643" t="s">
        <v>14514</v>
      </c>
      <c r="H643" t="s">
        <v>14515</v>
      </c>
    </row>
    <row r="644" spans="1:8">
      <c r="A644" t="s">
        <v>241</v>
      </c>
      <c r="B644" t="s">
        <v>190</v>
      </c>
      <c r="C644">
        <v>34</v>
      </c>
      <c r="D644" t="s">
        <v>14516</v>
      </c>
      <c r="E644" t="s">
        <v>14517</v>
      </c>
      <c r="F644" t="s">
        <v>14518</v>
      </c>
      <c r="G644" t="s">
        <v>14519</v>
      </c>
      <c r="H644" t="s">
        <v>14520</v>
      </c>
    </row>
    <row r="645" spans="1:8">
      <c r="A645" t="s">
        <v>241</v>
      </c>
      <c r="B645" t="s">
        <v>190</v>
      </c>
      <c r="C645">
        <v>34</v>
      </c>
      <c r="D645" t="s">
        <v>14521</v>
      </c>
      <c r="E645" t="s">
        <v>14522</v>
      </c>
      <c r="G645" t="s">
        <v>14523</v>
      </c>
      <c r="H645" t="s">
        <v>14524</v>
      </c>
    </row>
    <row r="646" spans="1:8">
      <c r="A646" t="s">
        <v>241</v>
      </c>
      <c r="B646" t="s">
        <v>190</v>
      </c>
      <c r="C646">
        <v>34</v>
      </c>
      <c r="D646" t="s">
        <v>14525</v>
      </c>
      <c r="F646" t="s">
        <v>190</v>
      </c>
      <c r="H646" t="s">
        <v>14526</v>
      </c>
    </row>
    <row r="647" spans="1:8">
      <c r="A647" t="s">
        <v>241</v>
      </c>
      <c r="B647" t="s">
        <v>56</v>
      </c>
      <c r="C647">
        <v>34</v>
      </c>
      <c r="D647" t="s">
        <v>17812</v>
      </c>
      <c r="E647" t="s">
        <v>17813</v>
      </c>
      <c r="H647" t="s">
        <v>17814</v>
      </c>
    </row>
    <row r="648" spans="1:8">
      <c r="A648" t="s">
        <v>240</v>
      </c>
      <c r="B648" t="s">
        <v>56</v>
      </c>
      <c r="C648">
        <v>34</v>
      </c>
      <c r="D648" t="s">
        <v>17815</v>
      </c>
      <c r="E648" t="s">
        <v>17816</v>
      </c>
      <c r="G648" t="s">
        <v>17817</v>
      </c>
      <c r="H648" t="s">
        <v>17818</v>
      </c>
    </row>
    <row r="649" spans="1:8">
      <c r="A649" t="s">
        <v>238</v>
      </c>
      <c r="B649" t="s">
        <v>56</v>
      </c>
      <c r="C649">
        <v>34</v>
      </c>
      <c r="D649" t="s">
        <v>17819</v>
      </c>
      <c r="E649" t="s">
        <v>17820</v>
      </c>
      <c r="H649" t="s">
        <v>17821</v>
      </c>
    </row>
    <row r="650" spans="1:8">
      <c r="A650" t="s">
        <v>239</v>
      </c>
      <c r="B650" t="s">
        <v>56</v>
      </c>
      <c r="C650">
        <v>34</v>
      </c>
      <c r="D650" t="s">
        <v>17822</v>
      </c>
      <c r="E650" t="s">
        <v>17823</v>
      </c>
      <c r="G650" t="s">
        <v>17824</v>
      </c>
      <c r="H650" t="s">
        <v>17825</v>
      </c>
    </row>
    <row r="651" spans="1:8">
      <c r="A651" t="s">
        <v>241</v>
      </c>
      <c r="B651" t="s">
        <v>56</v>
      </c>
      <c r="C651">
        <v>34</v>
      </c>
      <c r="D651" t="s">
        <v>17826</v>
      </c>
      <c r="E651" t="s">
        <v>17827</v>
      </c>
      <c r="G651" t="s">
        <v>17828</v>
      </c>
      <c r="H651" t="s">
        <v>17829</v>
      </c>
    </row>
    <row r="652" spans="1:8">
      <c r="A652" t="s">
        <v>240</v>
      </c>
      <c r="B652" t="s">
        <v>56</v>
      </c>
      <c r="C652">
        <v>34</v>
      </c>
      <c r="D652" t="s">
        <v>17830</v>
      </c>
      <c r="E652" t="s">
        <v>17831</v>
      </c>
      <c r="F652" t="s">
        <v>56</v>
      </c>
      <c r="G652" t="s">
        <v>17832</v>
      </c>
      <c r="H652" t="s">
        <v>17833</v>
      </c>
    </row>
    <row r="653" spans="1:8">
      <c r="A653" t="s">
        <v>242</v>
      </c>
      <c r="B653" t="s">
        <v>56</v>
      </c>
      <c r="C653">
        <v>34</v>
      </c>
      <c r="D653" t="s">
        <v>17834</v>
      </c>
      <c r="E653" t="s">
        <v>17835</v>
      </c>
      <c r="F653" t="s">
        <v>56</v>
      </c>
    </row>
    <row r="654" spans="1:8">
      <c r="A654" t="s">
        <v>242</v>
      </c>
      <c r="B654" t="s">
        <v>56</v>
      </c>
      <c r="C654">
        <v>34</v>
      </c>
      <c r="D654" t="s">
        <v>17836</v>
      </c>
      <c r="E654" t="s">
        <v>17837</v>
      </c>
      <c r="F654" t="s">
        <v>56</v>
      </c>
    </row>
    <row r="655" spans="1:8">
      <c r="A655" t="s">
        <v>242</v>
      </c>
      <c r="B655" t="s">
        <v>56</v>
      </c>
      <c r="C655">
        <v>34</v>
      </c>
      <c r="D655" t="s">
        <v>17838</v>
      </c>
      <c r="E655" t="s">
        <v>17839</v>
      </c>
      <c r="F655" t="s">
        <v>56</v>
      </c>
      <c r="G655" t="s">
        <v>17840</v>
      </c>
      <c r="H655" t="s">
        <v>17841</v>
      </c>
    </row>
    <row r="656" spans="1:8">
      <c r="A656" t="s">
        <v>240</v>
      </c>
      <c r="B656" t="s">
        <v>56</v>
      </c>
      <c r="C656">
        <v>34</v>
      </c>
      <c r="D656" t="s">
        <v>17842</v>
      </c>
      <c r="E656" t="s">
        <v>17843</v>
      </c>
      <c r="F656" t="s">
        <v>56</v>
      </c>
      <c r="G656" t="s">
        <v>17844</v>
      </c>
      <c r="H656" t="s">
        <v>17845</v>
      </c>
    </row>
    <row r="657" spans="1:8">
      <c r="A657" t="s">
        <v>242</v>
      </c>
      <c r="B657" t="s">
        <v>56</v>
      </c>
      <c r="C657">
        <v>34</v>
      </c>
      <c r="D657" t="s">
        <v>17846</v>
      </c>
      <c r="E657" t="s">
        <v>17847</v>
      </c>
      <c r="F657" t="s">
        <v>56</v>
      </c>
      <c r="G657" t="s">
        <v>17848</v>
      </c>
      <c r="H657" t="s">
        <v>17849</v>
      </c>
    </row>
    <row r="658" spans="1:8">
      <c r="A658" t="s">
        <v>239</v>
      </c>
      <c r="B658" t="s">
        <v>56</v>
      </c>
      <c r="C658">
        <v>34</v>
      </c>
      <c r="D658" t="s">
        <v>11380</v>
      </c>
      <c r="E658" t="s">
        <v>17850</v>
      </c>
    </row>
    <row r="659" spans="1:8">
      <c r="A659" t="s">
        <v>239</v>
      </c>
      <c r="B659" t="s">
        <v>56</v>
      </c>
      <c r="C659">
        <v>34</v>
      </c>
      <c r="D659" t="s">
        <v>17851</v>
      </c>
      <c r="E659" t="s">
        <v>17852</v>
      </c>
      <c r="H659" t="s">
        <v>17853</v>
      </c>
    </row>
    <row r="660" spans="1:8">
      <c r="A660" t="s">
        <v>239</v>
      </c>
      <c r="B660" t="s">
        <v>56</v>
      </c>
      <c r="C660">
        <v>34</v>
      </c>
      <c r="D660" t="s">
        <v>17854</v>
      </c>
      <c r="E660" t="s">
        <v>17855</v>
      </c>
      <c r="G660" t="s">
        <v>17856</v>
      </c>
      <c r="H660" t="s">
        <v>17857</v>
      </c>
    </row>
    <row r="661" spans="1:8">
      <c r="A661" t="s">
        <v>239</v>
      </c>
      <c r="B661" t="s">
        <v>56</v>
      </c>
      <c r="C661">
        <v>34</v>
      </c>
      <c r="D661" t="s">
        <v>17858</v>
      </c>
      <c r="E661" t="s">
        <v>17859</v>
      </c>
      <c r="G661" t="s">
        <v>17860</v>
      </c>
      <c r="H661" t="s">
        <v>17861</v>
      </c>
    </row>
    <row r="662" spans="1:8">
      <c r="A662" t="s">
        <v>240</v>
      </c>
      <c r="B662" t="s">
        <v>133</v>
      </c>
      <c r="C662">
        <v>35</v>
      </c>
      <c r="D662" t="s">
        <v>10113</v>
      </c>
      <c r="E662" t="s">
        <v>10114</v>
      </c>
      <c r="F662" t="s">
        <v>133</v>
      </c>
      <c r="G662" t="s">
        <v>10115</v>
      </c>
      <c r="H662" t="s">
        <v>10116</v>
      </c>
    </row>
    <row r="663" spans="1:8">
      <c r="A663" t="s">
        <v>241</v>
      </c>
      <c r="B663" t="s">
        <v>133</v>
      </c>
      <c r="C663">
        <v>35</v>
      </c>
      <c r="D663" t="s">
        <v>10117</v>
      </c>
      <c r="E663" t="s">
        <v>10118</v>
      </c>
      <c r="F663" t="s">
        <v>133</v>
      </c>
      <c r="G663" t="s">
        <v>10119</v>
      </c>
      <c r="H663" t="s">
        <v>10120</v>
      </c>
    </row>
    <row r="664" spans="1:8">
      <c r="A664" t="s">
        <v>241</v>
      </c>
      <c r="B664" t="s">
        <v>133</v>
      </c>
      <c r="C664">
        <v>35</v>
      </c>
      <c r="D664" t="s">
        <v>10121</v>
      </c>
      <c r="E664" t="s">
        <v>10122</v>
      </c>
      <c r="F664" t="s">
        <v>10123</v>
      </c>
      <c r="G664" t="s">
        <v>10124</v>
      </c>
      <c r="H664" t="s">
        <v>10125</v>
      </c>
    </row>
    <row r="665" spans="1:8">
      <c r="A665" t="s">
        <v>243</v>
      </c>
      <c r="B665" t="s">
        <v>133</v>
      </c>
      <c r="C665">
        <v>35</v>
      </c>
      <c r="D665" t="s">
        <v>10126</v>
      </c>
      <c r="E665" t="s">
        <v>10127</v>
      </c>
      <c r="H665" t="s">
        <v>10128</v>
      </c>
    </row>
    <row r="666" spans="1:8">
      <c r="A666" t="s">
        <v>241</v>
      </c>
      <c r="B666" t="s">
        <v>133</v>
      </c>
      <c r="C666">
        <v>35</v>
      </c>
      <c r="D666" t="s">
        <v>10129</v>
      </c>
      <c r="E666" t="s">
        <v>10130</v>
      </c>
      <c r="F666" t="s">
        <v>133</v>
      </c>
      <c r="G666" t="s">
        <v>10131</v>
      </c>
      <c r="H666" t="s">
        <v>10132</v>
      </c>
    </row>
    <row r="667" spans="1:8">
      <c r="A667" t="s">
        <v>241</v>
      </c>
      <c r="B667" t="s">
        <v>133</v>
      </c>
      <c r="C667">
        <v>35</v>
      </c>
      <c r="D667" t="s">
        <v>10133</v>
      </c>
      <c r="E667" t="s">
        <v>10134</v>
      </c>
      <c r="G667" t="s">
        <v>10135</v>
      </c>
      <c r="H667" t="s">
        <v>10136</v>
      </c>
    </row>
    <row r="668" spans="1:8">
      <c r="A668" t="s">
        <v>244</v>
      </c>
      <c r="B668" t="s">
        <v>133</v>
      </c>
      <c r="C668">
        <v>35</v>
      </c>
      <c r="D668" t="s">
        <v>1282</v>
      </c>
    </row>
    <row r="669" spans="1:8">
      <c r="A669" t="s">
        <v>241</v>
      </c>
      <c r="B669" t="s">
        <v>133</v>
      </c>
      <c r="C669">
        <v>35</v>
      </c>
      <c r="D669" t="s">
        <v>10137</v>
      </c>
      <c r="E669" t="s">
        <v>10138</v>
      </c>
      <c r="G669" t="s">
        <v>10139</v>
      </c>
      <c r="H669" t="s">
        <v>10140</v>
      </c>
    </row>
    <row r="670" spans="1:8">
      <c r="A670" t="s">
        <v>241</v>
      </c>
      <c r="B670" t="s">
        <v>133</v>
      </c>
      <c r="C670">
        <v>35</v>
      </c>
      <c r="D670" t="s">
        <v>10141</v>
      </c>
      <c r="E670" t="s">
        <v>10142</v>
      </c>
      <c r="F670" t="s">
        <v>10143</v>
      </c>
      <c r="H670" t="s">
        <v>10144</v>
      </c>
    </row>
    <row r="671" spans="1:8">
      <c r="A671" t="s">
        <v>239</v>
      </c>
      <c r="B671" t="s">
        <v>133</v>
      </c>
      <c r="C671">
        <v>35</v>
      </c>
      <c r="D671" t="s">
        <v>10145</v>
      </c>
      <c r="E671" t="s">
        <v>10146</v>
      </c>
      <c r="F671" t="s">
        <v>133</v>
      </c>
    </row>
    <row r="672" spans="1:8">
      <c r="A672" t="s">
        <v>239</v>
      </c>
      <c r="B672" t="s">
        <v>133</v>
      </c>
      <c r="C672">
        <v>35</v>
      </c>
      <c r="D672" t="s">
        <v>10147</v>
      </c>
      <c r="E672" t="s">
        <v>10148</v>
      </c>
      <c r="F672" t="s">
        <v>133</v>
      </c>
      <c r="H672" t="s">
        <v>10149</v>
      </c>
    </row>
    <row r="673" spans="1:8">
      <c r="A673" t="s">
        <v>241</v>
      </c>
      <c r="B673" t="s">
        <v>133</v>
      </c>
      <c r="C673">
        <v>35</v>
      </c>
      <c r="D673" t="s">
        <v>10150</v>
      </c>
      <c r="E673" t="s">
        <v>10151</v>
      </c>
      <c r="F673" t="s">
        <v>10152</v>
      </c>
      <c r="H673" t="s">
        <v>10153</v>
      </c>
    </row>
    <row r="674" spans="1:8">
      <c r="A674" t="s">
        <v>238</v>
      </c>
      <c r="B674" t="s">
        <v>133</v>
      </c>
      <c r="C674">
        <v>35</v>
      </c>
      <c r="D674" t="s">
        <v>10154</v>
      </c>
      <c r="F674" t="s">
        <v>10155</v>
      </c>
      <c r="G674" t="s">
        <v>10156</v>
      </c>
      <c r="H674" t="s">
        <v>10157</v>
      </c>
    </row>
    <row r="675" spans="1:8">
      <c r="A675" t="s">
        <v>241</v>
      </c>
      <c r="B675" t="s">
        <v>40</v>
      </c>
      <c r="C675">
        <v>35</v>
      </c>
      <c r="D675" t="s">
        <v>12179</v>
      </c>
      <c r="E675" t="s">
        <v>12180</v>
      </c>
      <c r="F675" t="s">
        <v>40</v>
      </c>
      <c r="G675" t="s">
        <v>12181</v>
      </c>
      <c r="H675" t="s">
        <v>12182</v>
      </c>
    </row>
    <row r="676" spans="1:8">
      <c r="A676" t="s">
        <v>242</v>
      </c>
      <c r="B676" t="s">
        <v>40</v>
      </c>
      <c r="C676">
        <v>35</v>
      </c>
      <c r="D676" t="s">
        <v>12183</v>
      </c>
      <c r="E676" t="s">
        <v>12184</v>
      </c>
      <c r="F676" t="s">
        <v>40</v>
      </c>
      <c r="H676" t="s">
        <v>12185</v>
      </c>
    </row>
    <row r="677" spans="1:8">
      <c r="A677" t="s">
        <v>241</v>
      </c>
      <c r="B677" t="s">
        <v>40</v>
      </c>
      <c r="C677">
        <v>35</v>
      </c>
      <c r="D677" t="s">
        <v>12186</v>
      </c>
      <c r="E677" t="s">
        <v>12187</v>
      </c>
      <c r="F677" t="s">
        <v>40</v>
      </c>
      <c r="G677" t="s">
        <v>12188</v>
      </c>
    </row>
    <row r="678" spans="1:8">
      <c r="A678" t="s">
        <v>242</v>
      </c>
      <c r="B678" t="s">
        <v>40</v>
      </c>
      <c r="C678">
        <v>35</v>
      </c>
      <c r="D678" t="s">
        <v>12189</v>
      </c>
      <c r="E678" t="s">
        <v>12190</v>
      </c>
      <c r="F678" t="s">
        <v>12191</v>
      </c>
      <c r="G678" t="s">
        <v>12192</v>
      </c>
      <c r="H678" t="s">
        <v>12193</v>
      </c>
    </row>
    <row r="679" spans="1:8">
      <c r="A679" t="s">
        <v>242</v>
      </c>
      <c r="B679" t="s">
        <v>40</v>
      </c>
      <c r="C679">
        <v>35</v>
      </c>
      <c r="D679" t="s">
        <v>12194</v>
      </c>
      <c r="E679" t="s">
        <v>12195</v>
      </c>
      <c r="G679" t="s">
        <v>12196</v>
      </c>
      <c r="H679" t="s">
        <v>12197</v>
      </c>
    </row>
    <row r="680" spans="1:8">
      <c r="A680" t="s">
        <v>238</v>
      </c>
      <c r="B680" t="s">
        <v>40</v>
      </c>
      <c r="C680">
        <v>35</v>
      </c>
      <c r="D680" t="s">
        <v>12198</v>
      </c>
      <c r="E680" t="s">
        <v>12199</v>
      </c>
      <c r="H680" t="s">
        <v>12200</v>
      </c>
    </row>
    <row r="681" spans="1:8">
      <c r="A681" t="s">
        <v>238</v>
      </c>
      <c r="B681" t="s">
        <v>40</v>
      </c>
      <c r="C681">
        <v>35</v>
      </c>
      <c r="D681" t="s">
        <v>12201</v>
      </c>
      <c r="E681" t="s">
        <v>12202</v>
      </c>
      <c r="H681" t="s">
        <v>12203</v>
      </c>
    </row>
    <row r="682" spans="1:8">
      <c r="A682" t="s">
        <v>241</v>
      </c>
      <c r="B682" t="s">
        <v>40</v>
      </c>
      <c r="C682">
        <v>35</v>
      </c>
      <c r="D682" t="s">
        <v>12204</v>
      </c>
      <c r="E682" t="s">
        <v>12205</v>
      </c>
      <c r="G682" t="s">
        <v>12206</v>
      </c>
      <c r="H682" t="s">
        <v>12207</v>
      </c>
    </row>
    <row r="683" spans="1:8">
      <c r="A683" t="s">
        <v>241</v>
      </c>
      <c r="B683" t="s">
        <v>40</v>
      </c>
      <c r="C683">
        <v>35</v>
      </c>
      <c r="D683" t="s">
        <v>12208</v>
      </c>
      <c r="E683" t="s">
        <v>12209</v>
      </c>
      <c r="G683" t="s">
        <v>12210</v>
      </c>
      <c r="H683" t="s">
        <v>12211</v>
      </c>
    </row>
    <row r="684" spans="1:8">
      <c r="A684" t="s">
        <v>239</v>
      </c>
      <c r="B684" t="s">
        <v>40</v>
      </c>
      <c r="C684">
        <v>35</v>
      </c>
      <c r="D684" t="s">
        <v>12212</v>
      </c>
      <c r="E684" t="s">
        <v>12213</v>
      </c>
      <c r="H684" t="s">
        <v>12214</v>
      </c>
    </row>
    <row r="685" spans="1:8">
      <c r="A685" t="s">
        <v>241</v>
      </c>
      <c r="B685" t="s">
        <v>40</v>
      </c>
      <c r="C685">
        <v>35</v>
      </c>
      <c r="D685" t="s">
        <v>12215</v>
      </c>
      <c r="E685" t="s">
        <v>12216</v>
      </c>
      <c r="F685" t="s">
        <v>12217</v>
      </c>
      <c r="H685" t="s">
        <v>12218</v>
      </c>
    </row>
    <row r="686" spans="1:8">
      <c r="A686" t="s">
        <v>242</v>
      </c>
      <c r="B686" t="s">
        <v>40</v>
      </c>
      <c r="C686">
        <v>35</v>
      </c>
      <c r="D686" t="s">
        <v>539</v>
      </c>
      <c r="E686" t="s">
        <v>12219</v>
      </c>
      <c r="F686" t="s">
        <v>40</v>
      </c>
      <c r="G686" t="s">
        <v>12220</v>
      </c>
      <c r="H686" t="s">
        <v>12221</v>
      </c>
    </row>
    <row r="687" spans="1:8">
      <c r="A687" t="s">
        <v>242</v>
      </c>
      <c r="B687" t="s">
        <v>40</v>
      </c>
      <c r="C687">
        <v>35</v>
      </c>
      <c r="D687" t="s">
        <v>12222</v>
      </c>
      <c r="E687" t="s">
        <v>12223</v>
      </c>
      <c r="F687" t="s">
        <v>12224</v>
      </c>
      <c r="G687" t="s">
        <v>12225</v>
      </c>
      <c r="H687" t="s">
        <v>12226</v>
      </c>
    </row>
    <row r="688" spans="1:8">
      <c r="A688" t="s">
        <v>242</v>
      </c>
      <c r="B688" t="s">
        <v>40</v>
      </c>
      <c r="C688">
        <v>35</v>
      </c>
      <c r="D688" t="s">
        <v>12227</v>
      </c>
      <c r="E688" t="s">
        <v>12228</v>
      </c>
      <c r="F688" t="s">
        <v>40</v>
      </c>
      <c r="G688" t="s">
        <v>12229</v>
      </c>
      <c r="H688" t="s">
        <v>12230</v>
      </c>
    </row>
    <row r="689" spans="1:8">
      <c r="A689" t="s">
        <v>241</v>
      </c>
      <c r="B689" t="s">
        <v>40</v>
      </c>
      <c r="C689">
        <v>35</v>
      </c>
      <c r="D689" t="s">
        <v>12231</v>
      </c>
      <c r="E689" t="s">
        <v>12232</v>
      </c>
      <c r="F689" t="s">
        <v>40</v>
      </c>
      <c r="H689" t="s">
        <v>12233</v>
      </c>
    </row>
    <row r="690" spans="1:8">
      <c r="A690" t="s">
        <v>242</v>
      </c>
      <c r="B690" t="s">
        <v>40</v>
      </c>
      <c r="C690">
        <v>35</v>
      </c>
      <c r="D690" t="s">
        <v>12234</v>
      </c>
      <c r="E690" t="s">
        <v>12235</v>
      </c>
      <c r="G690" t="s">
        <v>12236</v>
      </c>
      <c r="H690" t="s">
        <v>12237</v>
      </c>
    </row>
    <row r="691" spans="1:8">
      <c r="A691" t="s">
        <v>243</v>
      </c>
      <c r="B691" t="s">
        <v>40</v>
      </c>
      <c r="C691">
        <v>35</v>
      </c>
      <c r="D691" t="s">
        <v>12238</v>
      </c>
      <c r="E691" t="s">
        <v>12239</v>
      </c>
      <c r="F691" t="s">
        <v>40</v>
      </c>
      <c r="G691" t="s">
        <v>12181</v>
      </c>
      <c r="H691" t="s">
        <v>12182</v>
      </c>
    </row>
    <row r="692" spans="1:8">
      <c r="A692" t="s">
        <v>238</v>
      </c>
      <c r="B692" t="s">
        <v>40</v>
      </c>
      <c r="C692">
        <v>35</v>
      </c>
      <c r="D692" t="s">
        <v>12240</v>
      </c>
      <c r="E692" t="s">
        <v>12241</v>
      </c>
      <c r="F692" t="s">
        <v>40</v>
      </c>
      <c r="H692" t="s">
        <v>12242</v>
      </c>
    </row>
    <row r="693" spans="1:8">
      <c r="A693" t="s">
        <v>242</v>
      </c>
      <c r="B693" t="s">
        <v>40</v>
      </c>
      <c r="C693">
        <v>35</v>
      </c>
      <c r="D693" t="s">
        <v>12243</v>
      </c>
      <c r="E693" t="s">
        <v>12244</v>
      </c>
      <c r="F693" t="s">
        <v>12245</v>
      </c>
      <c r="G693" t="s">
        <v>12246</v>
      </c>
      <c r="H693" t="s">
        <v>12247</v>
      </c>
    </row>
    <row r="694" spans="1:8">
      <c r="A694" t="s">
        <v>242</v>
      </c>
      <c r="B694" t="s">
        <v>40</v>
      </c>
      <c r="C694">
        <v>35</v>
      </c>
      <c r="D694" t="s">
        <v>12248</v>
      </c>
      <c r="E694" t="s">
        <v>12249</v>
      </c>
      <c r="F694" t="s">
        <v>12250</v>
      </c>
      <c r="G694" t="s">
        <v>12251</v>
      </c>
      <c r="H694" t="s">
        <v>12252</v>
      </c>
    </row>
    <row r="695" spans="1:8">
      <c r="A695" t="s">
        <v>242</v>
      </c>
      <c r="B695" t="s">
        <v>40</v>
      </c>
      <c r="C695">
        <v>35</v>
      </c>
      <c r="D695" t="s">
        <v>12253</v>
      </c>
      <c r="E695" t="s">
        <v>12254</v>
      </c>
      <c r="F695" t="s">
        <v>12255</v>
      </c>
      <c r="H695" t="s">
        <v>12256</v>
      </c>
    </row>
    <row r="696" spans="1:8">
      <c r="A696" t="s">
        <v>242</v>
      </c>
      <c r="B696" t="s">
        <v>40</v>
      </c>
      <c r="C696">
        <v>35</v>
      </c>
      <c r="D696" t="s">
        <v>12257</v>
      </c>
      <c r="E696" t="s">
        <v>12258</v>
      </c>
      <c r="F696" t="s">
        <v>40</v>
      </c>
    </row>
    <row r="697" spans="1:8">
      <c r="A697" t="s">
        <v>242</v>
      </c>
      <c r="B697" t="s">
        <v>40</v>
      </c>
      <c r="C697">
        <v>35</v>
      </c>
      <c r="D697" t="s">
        <v>12259</v>
      </c>
      <c r="E697" t="s">
        <v>12260</v>
      </c>
      <c r="F697" t="s">
        <v>40</v>
      </c>
      <c r="G697" t="s">
        <v>12261</v>
      </c>
      <c r="H697" t="s">
        <v>12262</v>
      </c>
    </row>
    <row r="698" spans="1:8">
      <c r="A698" t="s">
        <v>242</v>
      </c>
      <c r="B698" t="s">
        <v>40</v>
      </c>
      <c r="C698">
        <v>35</v>
      </c>
      <c r="D698" t="s">
        <v>12263</v>
      </c>
      <c r="E698" t="s">
        <v>12264</v>
      </c>
      <c r="F698" t="s">
        <v>40</v>
      </c>
      <c r="G698" t="s">
        <v>12265</v>
      </c>
      <c r="H698" t="s">
        <v>12266</v>
      </c>
    </row>
    <row r="699" spans="1:8">
      <c r="A699" t="s">
        <v>242</v>
      </c>
      <c r="B699" t="s">
        <v>40</v>
      </c>
      <c r="C699">
        <v>35</v>
      </c>
      <c r="D699" t="s">
        <v>12267</v>
      </c>
      <c r="E699" t="s">
        <v>12268</v>
      </c>
      <c r="F699" t="s">
        <v>40</v>
      </c>
      <c r="G699" t="s">
        <v>12269</v>
      </c>
      <c r="H699" t="s">
        <v>12270</v>
      </c>
    </row>
    <row r="700" spans="1:8">
      <c r="A700" t="s">
        <v>242</v>
      </c>
      <c r="B700" t="s">
        <v>40</v>
      </c>
      <c r="C700">
        <v>35</v>
      </c>
      <c r="D700" t="s">
        <v>12271</v>
      </c>
      <c r="F700" t="s">
        <v>12272</v>
      </c>
      <c r="G700" t="s">
        <v>12273</v>
      </c>
      <c r="H700" t="s">
        <v>12274</v>
      </c>
    </row>
    <row r="701" spans="1:8">
      <c r="A701" t="s">
        <v>242</v>
      </c>
      <c r="B701" t="s">
        <v>40</v>
      </c>
      <c r="C701">
        <v>35</v>
      </c>
      <c r="D701" t="s">
        <v>12275</v>
      </c>
      <c r="E701" t="s">
        <v>12276</v>
      </c>
      <c r="F701" t="s">
        <v>12277</v>
      </c>
      <c r="G701" t="s">
        <v>12278</v>
      </c>
      <c r="H701" t="s">
        <v>12279</v>
      </c>
    </row>
    <row r="702" spans="1:8">
      <c r="A702" t="s">
        <v>242</v>
      </c>
      <c r="B702" t="s">
        <v>40</v>
      </c>
      <c r="C702">
        <v>35</v>
      </c>
      <c r="D702" t="s">
        <v>12280</v>
      </c>
      <c r="E702" t="s">
        <v>12281</v>
      </c>
      <c r="F702" t="s">
        <v>40</v>
      </c>
    </row>
    <row r="703" spans="1:8">
      <c r="A703" t="s">
        <v>242</v>
      </c>
      <c r="B703" t="s">
        <v>40</v>
      </c>
      <c r="C703">
        <v>35</v>
      </c>
      <c r="D703" t="s">
        <v>12282</v>
      </c>
      <c r="E703" t="s">
        <v>12283</v>
      </c>
      <c r="F703" t="s">
        <v>40</v>
      </c>
      <c r="G703" t="s">
        <v>12284</v>
      </c>
      <c r="H703" t="s">
        <v>12285</v>
      </c>
    </row>
    <row r="704" spans="1:8">
      <c r="A704" t="s">
        <v>238</v>
      </c>
      <c r="B704" t="s">
        <v>40</v>
      </c>
      <c r="C704">
        <v>35</v>
      </c>
      <c r="D704" t="s">
        <v>12286</v>
      </c>
      <c r="E704" t="s">
        <v>12287</v>
      </c>
    </row>
    <row r="705" spans="1:8">
      <c r="A705" t="s">
        <v>241</v>
      </c>
      <c r="B705" t="s">
        <v>40</v>
      </c>
      <c r="C705">
        <v>35</v>
      </c>
      <c r="D705" t="s">
        <v>12288</v>
      </c>
      <c r="E705" t="s">
        <v>12289</v>
      </c>
    </row>
    <row r="706" spans="1:8">
      <c r="A706" t="s">
        <v>241</v>
      </c>
      <c r="B706" t="s">
        <v>40</v>
      </c>
      <c r="C706">
        <v>35</v>
      </c>
      <c r="D706" t="s">
        <v>4390</v>
      </c>
      <c r="E706" t="s">
        <v>12290</v>
      </c>
      <c r="H706" t="s">
        <v>12291</v>
      </c>
    </row>
    <row r="707" spans="1:8">
      <c r="A707" t="s">
        <v>243</v>
      </c>
      <c r="B707" t="s">
        <v>40</v>
      </c>
      <c r="C707">
        <v>35</v>
      </c>
      <c r="D707" t="s">
        <v>12292</v>
      </c>
      <c r="E707" t="s">
        <v>12293</v>
      </c>
      <c r="G707" t="s">
        <v>12294</v>
      </c>
      <c r="H707" t="s">
        <v>12295</v>
      </c>
    </row>
    <row r="708" spans="1:8">
      <c r="A708" t="s">
        <v>242</v>
      </c>
      <c r="B708" t="s">
        <v>12</v>
      </c>
      <c r="C708">
        <v>36</v>
      </c>
      <c r="D708" t="s">
        <v>3110</v>
      </c>
      <c r="E708" t="s">
        <v>3111</v>
      </c>
      <c r="G708" t="s">
        <v>3112</v>
      </c>
      <c r="H708" t="s">
        <v>3113</v>
      </c>
    </row>
    <row r="709" spans="1:8">
      <c r="A709" t="s">
        <v>241</v>
      </c>
      <c r="B709" t="s">
        <v>12</v>
      </c>
      <c r="C709">
        <v>36</v>
      </c>
      <c r="D709" t="s">
        <v>3114</v>
      </c>
      <c r="E709" t="s">
        <v>3115</v>
      </c>
      <c r="F709" t="s">
        <v>12</v>
      </c>
      <c r="G709" t="s">
        <v>3116</v>
      </c>
      <c r="H709" t="s">
        <v>3117</v>
      </c>
    </row>
    <row r="710" spans="1:8">
      <c r="A710" t="s">
        <v>242</v>
      </c>
      <c r="B710" t="s">
        <v>12</v>
      </c>
      <c r="C710">
        <v>36</v>
      </c>
      <c r="D710" t="s">
        <v>3118</v>
      </c>
      <c r="E710" t="s">
        <v>3119</v>
      </c>
      <c r="F710" t="s">
        <v>12</v>
      </c>
      <c r="G710" t="s">
        <v>3120</v>
      </c>
      <c r="H710" t="s">
        <v>3121</v>
      </c>
    </row>
    <row r="711" spans="1:8">
      <c r="A711" t="s">
        <v>241</v>
      </c>
      <c r="B711" t="s">
        <v>12</v>
      </c>
      <c r="C711">
        <v>36</v>
      </c>
      <c r="D711" t="s">
        <v>3122</v>
      </c>
      <c r="E711" t="s">
        <v>3123</v>
      </c>
      <c r="F711" t="s">
        <v>3124</v>
      </c>
      <c r="H711" t="s">
        <v>3125</v>
      </c>
    </row>
    <row r="712" spans="1:8">
      <c r="A712" t="s">
        <v>241</v>
      </c>
      <c r="B712" t="s">
        <v>12</v>
      </c>
      <c r="C712">
        <v>36</v>
      </c>
      <c r="D712" t="s">
        <v>3126</v>
      </c>
      <c r="E712" t="s">
        <v>3127</v>
      </c>
      <c r="H712" t="s">
        <v>3128</v>
      </c>
    </row>
    <row r="713" spans="1:8">
      <c r="A713" t="s">
        <v>239</v>
      </c>
      <c r="B713" t="s">
        <v>12</v>
      </c>
      <c r="C713">
        <v>36</v>
      </c>
      <c r="D713" t="s">
        <v>3129</v>
      </c>
      <c r="E713" t="s">
        <v>3130</v>
      </c>
      <c r="G713" t="s">
        <v>3131</v>
      </c>
      <c r="H713" t="s">
        <v>3132</v>
      </c>
    </row>
    <row r="714" spans="1:8">
      <c r="A714" t="s">
        <v>241</v>
      </c>
      <c r="B714" t="s">
        <v>12</v>
      </c>
      <c r="C714">
        <v>36</v>
      </c>
      <c r="D714" t="s">
        <v>3133</v>
      </c>
      <c r="E714" t="s">
        <v>3134</v>
      </c>
      <c r="H714" t="s">
        <v>3135</v>
      </c>
    </row>
    <row r="715" spans="1:8">
      <c r="A715" t="s">
        <v>238</v>
      </c>
      <c r="B715" t="s">
        <v>12</v>
      </c>
      <c r="C715">
        <v>36</v>
      </c>
      <c r="D715" t="s">
        <v>3136</v>
      </c>
      <c r="E715" t="s">
        <v>3137</v>
      </c>
      <c r="G715" t="s">
        <v>3138</v>
      </c>
      <c r="H715" t="s">
        <v>3139</v>
      </c>
    </row>
    <row r="716" spans="1:8">
      <c r="A716" t="s">
        <v>242</v>
      </c>
      <c r="B716" t="s">
        <v>12</v>
      </c>
      <c r="C716">
        <v>36</v>
      </c>
      <c r="D716" t="s">
        <v>3140</v>
      </c>
      <c r="E716" t="s">
        <v>3141</v>
      </c>
      <c r="F716" t="s">
        <v>12</v>
      </c>
      <c r="G716" t="s">
        <v>3142</v>
      </c>
      <c r="H716" t="s">
        <v>3143</v>
      </c>
    </row>
    <row r="717" spans="1:8">
      <c r="A717" t="s">
        <v>241</v>
      </c>
      <c r="B717" t="s">
        <v>12</v>
      </c>
      <c r="C717">
        <v>36</v>
      </c>
      <c r="D717" t="s">
        <v>3144</v>
      </c>
      <c r="E717" t="s">
        <v>3145</v>
      </c>
      <c r="F717" t="s">
        <v>12</v>
      </c>
      <c r="H717" t="s">
        <v>3146</v>
      </c>
    </row>
    <row r="718" spans="1:8">
      <c r="A718" t="s">
        <v>241</v>
      </c>
      <c r="B718" t="s">
        <v>12</v>
      </c>
      <c r="C718">
        <v>36</v>
      </c>
      <c r="D718" t="s">
        <v>3147</v>
      </c>
      <c r="E718" t="s">
        <v>3148</v>
      </c>
      <c r="F718" t="s">
        <v>12</v>
      </c>
      <c r="G718" t="s">
        <v>3149</v>
      </c>
      <c r="H718" t="s">
        <v>3150</v>
      </c>
    </row>
    <row r="719" spans="1:8">
      <c r="A719" t="s">
        <v>243</v>
      </c>
      <c r="B719" t="s">
        <v>12</v>
      </c>
      <c r="C719">
        <v>36</v>
      </c>
      <c r="D719" t="s">
        <v>3151</v>
      </c>
      <c r="E719" t="s">
        <v>3152</v>
      </c>
      <c r="F719" t="s">
        <v>12</v>
      </c>
      <c r="H719" t="s">
        <v>3153</v>
      </c>
    </row>
    <row r="720" spans="1:8">
      <c r="A720" t="s">
        <v>241</v>
      </c>
      <c r="B720" t="s">
        <v>12</v>
      </c>
      <c r="C720">
        <v>36</v>
      </c>
      <c r="D720" t="s">
        <v>3154</v>
      </c>
      <c r="E720" t="s">
        <v>3145</v>
      </c>
      <c r="F720" t="s">
        <v>12</v>
      </c>
      <c r="G720" t="s">
        <v>3155</v>
      </c>
      <c r="H720" t="s">
        <v>3146</v>
      </c>
    </row>
    <row r="721" spans="1:8">
      <c r="A721" t="s">
        <v>246</v>
      </c>
      <c r="B721" t="s">
        <v>22</v>
      </c>
      <c r="C721">
        <v>36</v>
      </c>
      <c r="D721" t="s">
        <v>8654</v>
      </c>
      <c r="F721" t="s">
        <v>8655</v>
      </c>
      <c r="H721" t="s">
        <v>8656</v>
      </c>
    </row>
    <row r="722" spans="1:8">
      <c r="A722" t="s">
        <v>242</v>
      </c>
      <c r="B722" t="s">
        <v>22</v>
      </c>
      <c r="C722">
        <v>36</v>
      </c>
      <c r="D722" t="s">
        <v>8657</v>
      </c>
      <c r="E722" t="s">
        <v>8658</v>
      </c>
      <c r="F722" t="s">
        <v>8659</v>
      </c>
      <c r="H722" t="s">
        <v>8660</v>
      </c>
    </row>
    <row r="723" spans="1:8">
      <c r="A723" t="s">
        <v>241</v>
      </c>
      <c r="B723" t="s">
        <v>162</v>
      </c>
      <c r="C723">
        <v>36</v>
      </c>
      <c r="D723" t="s">
        <v>19443</v>
      </c>
      <c r="E723" t="s">
        <v>19444</v>
      </c>
      <c r="G723" t="s">
        <v>19445</v>
      </c>
      <c r="H723" t="s">
        <v>19446</v>
      </c>
    </row>
    <row r="724" spans="1:8">
      <c r="A724" t="s">
        <v>241</v>
      </c>
      <c r="B724" t="s">
        <v>162</v>
      </c>
      <c r="C724">
        <v>36</v>
      </c>
      <c r="D724" t="s">
        <v>19447</v>
      </c>
    </row>
    <row r="725" spans="1:8">
      <c r="A725" t="s">
        <v>242</v>
      </c>
      <c r="B725" t="s">
        <v>162</v>
      </c>
      <c r="C725">
        <v>36</v>
      </c>
      <c r="D725" t="s">
        <v>19448</v>
      </c>
      <c r="E725" t="s">
        <v>19449</v>
      </c>
      <c r="F725" t="s">
        <v>19450</v>
      </c>
    </row>
    <row r="726" spans="1:8">
      <c r="A726" t="s">
        <v>241</v>
      </c>
      <c r="B726" t="s">
        <v>162</v>
      </c>
      <c r="C726">
        <v>36</v>
      </c>
      <c r="D726" t="s">
        <v>19451</v>
      </c>
      <c r="E726" t="s">
        <v>19452</v>
      </c>
      <c r="F726" t="s">
        <v>162</v>
      </c>
    </row>
    <row r="727" spans="1:8">
      <c r="A727" t="s">
        <v>243</v>
      </c>
      <c r="B727" t="s">
        <v>162</v>
      </c>
      <c r="C727">
        <v>36</v>
      </c>
      <c r="D727" t="s">
        <v>19453</v>
      </c>
      <c r="E727" t="s">
        <v>19454</v>
      </c>
      <c r="F727" t="s">
        <v>162</v>
      </c>
    </row>
    <row r="728" spans="1:8">
      <c r="A728" t="s">
        <v>239</v>
      </c>
      <c r="B728" t="s">
        <v>162</v>
      </c>
      <c r="C728">
        <v>36</v>
      </c>
      <c r="D728" t="s">
        <v>19455</v>
      </c>
      <c r="E728" t="s">
        <v>19456</v>
      </c>
      <c r="F728" t="s">
        <v>162</v>
      </c>
    </row>
    <row r="729" spans="1:8">
      <c r="A729" t="s">
        <v>241</v>
      </c>
      <c r="B729" t="s">
        <v>162</v>
      </c>
      <c r="C729">
        <v>36</v>
      </c>
      <c r="D729" t="s">
        <v>9070</v>
      </c>
      <c r="E729" t="s">
        <v>19457</v>
      </c>
      <c r="H729" t="s">
        <v>19458</v>
      </c>
    </row>
    <row r="730" spans="1:8">
      <c r="A730" t="s">
        <v>243</v>
      </c>
      <c r="B730" t="s">
        <v>162</v>
      </c>
      <c r="C730">
        <v>36</v>
      </c>
      <c r="D730" t="s">
        <v>19459</v>
      </c>
      <c r="E730" t="s">
        <v>19460</v>
      </c>
      <c r="F730" t="s">
        <v>162</v>
      </c>
      <c r="H730" t="s">
        <v>19461</v>
      </c>
    </row>
    <row r="731" spans="1:8">
      <c r="A731" t="s">
        <v>246</v>
      </c>
      <c r="B731" t="s">
        <v>162</v>
      </c>
      <c r="C731">
        <v>36</v>
      </c>
      <c r="D731" t="s">
        <v>19462</v>
      </c>
      <c r="E731" t="s">
        <v>19463</v>
      </c>
      <c r="F731" t="s">
        <v>162</v>
      </c>
      <c r="G731" t="s">
        <v>19464</v>
      </c>
      <c r="H731" t="s">
        <v>19465</v>
      </c>
    </row>
    <row r="732" spans="1:8">
      <c r="A732" t="s">
        <v>241</v>
      </c>
      <c r="B732" t="s">
        <v>162</v>
      </c>
      <c r="C732">
        <v>36</v>
      </c>
      <c r="D732" t="s">
        <v>19466</v>
      </c>
      <c r="E732" t="s">
        <v>19467</v>
      </c>
      <c r="H732" t="s">
        <v>19468</v>
      </c>
    </row>
    <row r="733" spans="1:8">
      <c r="A733" t="s">
        <v>246</v>
      </c>
      <c r="B733" t="s">
        <v>162</v>
      </c>
      <c r="C733">
        <v>36</v>
      </c>
      <c r="D733" t="s">
        <v>19469</v>
      </c>
      <c r="F733" t="s">
        <v>19470</v>
      </c>
      <c r="G733" t="s">
        <v>19464</v>
      </c>
      <c r="H733" t="s">
        <v>19465</v>
      </c>
    </row>
    <row r="734" spans="1:8">
      <c r="A734" t="s">
        <v>247</v>
      </c>
      <c r="B734" t="s">
        <v>162</v>
      </c>
      <c r="C734">
        <v>36</v>
      </c>
      <c r="D734" t="s">
        <v>19471</v>
      </c>
      <c r="E734" t="s">
        <v>19472</v>
      </c>
      <c r="F734" t="s">
        <v>19473</v>
      </c>
      <c r="G734" t="s">
        <v>19474</v>
      </c>
      <c r="H734" t="s">
        <v>19475</v>
      </c>
    </row>
    <row r="735" spans="1:8">
      <c r="A735" t="s">
        <v>240</v>
      </c>
      <c r="B735" t="s">
        <v>162</v>
      </c>
      <c r="C735">
        <v>36</v>
      </c>
      <c r="D735" t="s">
        <v>19476</v>
      </c>
      <c r="E735" t="s">
        <v>19477</v>
      </c>
      <c r="F735" t="s">
        <v>162</v>
      </c>
      <c r="G735" t="s">
        <v>19478</v>
      </c>
      <c r="H735" t="s">
        <v>19479</v>
      </c>
    </row>
    <row r="736" spans="1:8">
      <c r="A736" t="s">
        <v>243</v>
      </c>
      <c r="B736" t="s">
        <v>162</v>
      </c>
      <c r="C736">
        <v>36</v>
      </c>
      <c r="D736" t="s">
        <v>19480</v>
      </c>
      <c r="E736" t="s">
        <v>19481</v>
      </c>
      <c r="F736" t="s">
        <v>162</v>
      </c>
      <c r="G736" t="s">
        <v>19482</v>
      </c>
      <c r="H736" t="s">
        <v>19483</v>
      </c>
    </row>
    <row r="737" spans="1:8">
      <c r="A737" t="s">
        <v>241</v>
      </c>
      <c r="B737" t="s">
        <v>162</v>
      </c>
      <c r="C737">
        <v>36</v>
      </c>
      <c r="D737" t="s">
        <v>19484</v>
      </c>
      <c r="E737" t="s">
        <v>19485</v>
      </c>
      <c r="G737" t="s">
        <v>19486</v>
      </c>
      <c r="H737" t="s">
        <v>19487</v>
      </c>
    </row>
    <row r="738" spans="1:8">
      <c r="A738" t="s">
        <v>241</v>
      </c>
      <c r="B738" t="s">
        <v>162</v>
      </c>
      <c r="C738">
        <v>36</v>
      </c>
      <c r="D738" t="s">
        <v>1299</v>
      </c>
      <c r="E738" t="s">
        <v>19488</v>
      </c>
      <c r="H738" t="s">
        <v>19489</v>
      </c>
    </row>
    <row r="739" spans="1:8">
      <c r="A739" t="s">
        <v>241</v>
      </c>
      <c r="B739" t="s">
        <v>162</v>
      </c>
      <c r="C739">
        <v>36</v>
      </c>
      <c r="D739" t="s">
        <v>19490</v>
      </c>
      <c r="E739" t="s">
        <v>19491</v>
      </c>
      <c r="H739" t="s">
        <v>19492</v>
      </c>
    </row>
    <row r="740" spans="1:8">
      <c r="A740" t="s">
        <v>244</v>
      </c>
      <c r="B740" t="s">
        <v>162</v>
      </c>
      <c r="C740">
        <v>36</v>
      </c>
      <c r="D740" t="s">
        <v>1282</v>
      </c>
    </row>
    <row r="741" spans="1:8">
      <c r="A741" t="s">
        <v>241</v>
      </c>
      <c r="B741" t="s">
        <v>162</v>
      </c>
      <c r="C741">
        <v>36</v>
      </c>
      <c r="D741" t="s">
        <v>19493</v>
      </c>
      <c r="E741" t="s">
        <v>19494</v>
      </c>
      <c r="F741" t="s">
        <v>162</v>
      </c>
      <c r="H741" t="s">
        <v>19461</v>
      </c>
    </row>
    <row r="742" spans="1:8">
      <c r="A742" t="s">
        <v>241</v>
      </c>
      <c r="B742" t="s">
        <v>162</v>
      </c>
      <c r="C742">
        <v>36</v>
      </c>
      <c r="D742" t="s">
        <v>19495</v>
      </c>
      <c r="E742" t="s">
        <v>19496</v>
      </c>
      <c r="H742" t="s">
        <v>19497</v>
      </c>
    </row>
    <row r="743" spans="1:8">
      <c r="A743" t="s">
        <v>244</v>
      </c>
      <c r="B743" t="s">
        <v>68</v>
      </c>
      <c r="C743">
        <v>37</v>
      </c>
      <c r="D743" t="s">
        <v>3188</v>
      </c>
      <c r="E743" t="s">
        <v>3189</v>
      </c>
      <c r="F743" t="s">
        <v>68</v>
      </c>
    </row>
    <row r="744" spans="1:8">
      <c r="A744" t="s">
        <v>241</v>
      </c>
      <c r="B744" t="s">
        <v>68</v>
      </c>
      <c r="C744">
        <v>37</v>
      </c>
      <c r="D744" t="s">
        <v>3190</v>
      </c>
      <c r="E744" t="s">
        <v>3191</v>
      </c>
      <c r="H744" t="s">
        <v>3192</v>
      </c>
    </row>
    <row r="745" spans="1:8">
      <c r="A745" t="s">
        <v>241</v>
      </c>
      <c r="B745" t="s">
        <v>68</v>
      </c>
      <c r="C745">
        <v>37</v>
      </c>
      <c r="D745" t="s">
        <v>3193</v>
      </c>
      <c r="E745" t="s">
        <v>3194</v>
      </c>
      <c r="H745" t="s">
        <v>3195</v>
      </c>
    </row>
    <row r="746" spans="1:8">
      <c r="A746" t="s">
        <v>241</v>
      </c>
      <c r="B746" t="s">
        <v>68</v>
      </c>
      <c r="C746">
        <v>37</v>
      </c>
      <c r="D746" t="s">
        <v>3196</v>
      </c>
      <c r="E746" t="s">
        <v>3197</v>
      </c>
    </row>
    <row r="747" spans="1:8">
      <c r="A747" t="s">
        <v>241</v>
      </c>
      <c r="B747" t="s">
        <v>68</v>
      </c>
      <c r="C747">
        <v>37</v>
      </c>
      <c r="D747" t="s">
        <v>3198</v>
      </c>
      <c r="E747" t="s">
        <v>3199</v>
      </c>
      <c r="G747" t="s">
        <v>3200</v>
      </c>
      <c r="H747" t="s">
        <v>3201</v>
      </c>
    </row>
    <row r="748" spans="1:8">
      <c r="A748" t="s">
        <v>238</v>
      </c>
      <c r="B748" t="s">
        <v>68</v>
      </c>
      <c r="C748">
        <v>37</v>
      </c>
      <c r="D748" t="s">
        <v>3202</v>
      </c>
      <c r="E748" t="s">
        <v>3203</v>
      </c>
      <c r="G748" t="s">
        <v>3204</v>
      </c>
      <c r="H748" t="s">
        <v>3205</v>
      </c>
    </row>
    <row r="749" spans="1:8">
      <c r="A749" t="s">
        <v>242</v>
      </c>
      <c r="B749" t="s">
        <v>68</v>
      </c>
      <c r="C749">
        <v>37</v>
      </c>
      <c r="D749" t="s">
        <v>3206</v>
      </c>
      <c r="E749" t="s">
        <v>3207</v>
      </c>
      <c r="G749" t="s">
        <v>3208</v>
      </c>
      <c r="H749" t="s">
        <v>3209</v>
      </c>
    </row>
    <row r="750" spans="1:8">
      <c r="A750" t="s">
        <v>241</v>
      </c>
      <c r="B750" t="s">
        <v>68</v>
      </c>
      <c r="C750">
        <v>37</v>
      </c>
      <c r="D750" t="s">
        <v>3210</v>
      </c>
      <c r="E750" t="s">
        <v>3211</v>
      </c>
      <c r="G750" t="s">
        <v>3212</v>
      </c>
      <c r="H750" t="s">
        <v>3213</v>
      </c>
    </row>
    <row r="751" spans="1:8">
      <c r="A751" t="s">
        <v>241</v>
      </c>
      <c r="B751" t="s">
        <v>68</v>
      </c>
      <c r="C751">
        <v>37</v>
      </c>
      <c r="D751" t="s">
        <v>3214</v>
      </c>
      <c r="E751" t="s">
        <v>3215</v>
      </c>
      <c r="F751" t="s">
        <v>68</v>
      </c>
      <c r="H751" t="s">
        <v>3216</v>
      </c>
    </row>
    <row r="752" spans="1:8">
      <c r="A752" t="s">
        <v>241</v>
      </c>
      <c r="B752" t="s">
        <v>68</v>
      </c>
      <c r="C752">
        <v>37</v>
      </c>
      <c r="D752" t="s">
        <v>3217</v>
      </c>
      <c r="E752" t="s">
        <v>3218</v>
      </c>
      <c r="F752" t="s">
        <v>68</v>
      </c>
      <c r="G752" t="s">
        <v>3219</v>
      </c>
      <c r="H752" t="s">
        <v>3220</v>
      </c>
    </row>
    <row r="753" spans="1:8">
      <c r="A753" t="s">
        <v>240</v>
      </c>
      <c r="B753" t="s">
        <v>68</v>
      </c>
      <c r="C753">
        <v>37</v>
      </c>
      <c r="D753" t="s">
        <v>3221</v>
      </c>
      <c r="E753" t="s">
        <v>3222</v>
      </c>
      <c r="F753" t="s">
        <v>68</v>
      </c>
      <c r="G753" t="s">
        <v>3223</v>
      </c>
      <c r="H753" t="s">
        <v>3224</v>
      </c>
    </row>
    <row r="754" spans="1:8">
      <c r="A754" t="s">
        <v>240</v>
      </c>
      <c r="B754" t="s">
        <v>68</v>
      </c>
      <c r="C754">
        <v>37</v>
      </c>
      <c r="D754" t="s">
        <v>313</v>
      </c>
      <c r="E754" t="s">
        <v>3225</v>
      </c>
      <c r="F754" t="s">
        <v>68</v>
      </c>
      <c r="H754" t="s">
        <v>3226</v>
      </c>
    </row>
    <row r="755" spans="1:8">
      <c r="A755" t="s">
        <v>240</v>
      </c>
      <c r="B755" t="s">
        <v>68</v>
      </c>
      <c r="C755">
        <v>37</v>
      </c>
      <c r="D755" t="s">
        <v>3227</v>
      </c>
      <c r="E755" t="s">
        <v>3228</v>
      </c>
      <c r="F755" t="s">
        <v>68</v>
      </c>
      <c r="H755" t="s">
        <v>3229</v>
      </c>
    </row>
    <row r="756" spans="1:8">
      <c r="A756" t="s">
        <v>241</v>
      </c>
      <c r="B756" t="s">
        <v>68</v>
      </c>
      <c r="C756">
        <v>37</v>
      </c>
      <c r="D756" t="s">
        <v>3230</v>
      </c>
      <c r="E756" t="s">
        <v>3231</v>
      </c>
      <c r="F756" t="s">
        <v>68</v>
      </c>
      <c r="G756" t="s">
        <v>3232</v>
      </c>
      <c r="H756" t="s">
        <v>3233</v>
      </c>
    </row>
    <row r="757" spans="1:8">
      <c r="A757" t="s">
        <v>241</v>
      </c>
      <c r="B757" t="s">
        <v>68</v>
      </c>
      <c r="C757">
        <v>37</v>
      </c>
      <c r="D757" t="s">
        <v>3234</v>
      </c>
      <c r="E757" t="s">
        <v>3235</v>
      </c>
      <c r="H757" t="s">
        <v>3236</v>
      </c>
    </row>
    <row r="758" spans="1:8">
      <c r="A758" t="s">
        <v>243</v>
      </c>
      <c r="B758" t="s">
        <v>68</v>
      </c>
      <c r="C758">
        <v>37</v>
      </c>
      <c r="D758" t="s">
        <v>3237</v>
      </c>
      <c r="E758" t="s">
        <v>3238</v>
      </c>
      <c r="F758" t="s">
        <v>3239</v>
      </c>
      <c r="H758" t="s">
        <v>3240</v>
      </c>
    </row>
    <row r="759" spans="1:8">
      <c r="A759" t="s">
        <v>241</v>
      </c>
      <c r="B759" t="s">
        <v>68</v>
      </c>
      <c r="C759">
        <v>37</v>
      </c>
      <c r="D759" t="s">
        <v>3241</v>
      </c>
      <c r="E759" t="s">
        <v>3242</v>
      </c>
      <c r="F759" t="s">
        <v>68</v>
      </c>
      <c r="G759" t="s">
        <v>3243</v>
      </c>
      <c r="H759" t="s">
        <v>3244</v>
      </c>
    </row>
    <row r="760" spans="1:8">
      <c r="A760" t="s">
        <v>241</v>
      </c>
      <c r="B760" t="s">
        <v>68</v>
      </c>
      <c r="C760">
        <v>37</v>
      </c>
      <c r="D760" t="s">
        <v>3245</v>
      </c>
      <c r="E760" t="s">
        <v>3246</v>
      </c>
      <c r="F760" t="s">
        <v>3247</v>
      </c>
      <c r="G760" t="s">
        <v>3248</v>
      </c>
      <c r="H760" t="s">
        <v>3249</v>
      </c>
    </row>
    <row r="761" spans="1:8">
      <c r="A761" t="s">
        <v>241</v>
      </c>
      <c r="B761" t="s">
        <v>68</v>
      </c>
      <c r="C761">
        <v>37</v>
      </c>
      <c r="D761" t="s">
        <v>3250</v>
      </c>
      <c r="E761" t="s">
        <v>3251</v>
      </c>
      <c r="F761" t="s">
        <v>3252</v>
      </c>
      <c r="G761" t="s">
        <v>3253</v>
      </c>
      <c r="H761" t="s">
        <v>3254</v>
      </c>
    </row>
    <row r="762" spans="1:8">
      <c r="A762" t="s">
        <v>241</v>
      </c>
      <c r="B762" t="s">
        <v>68</v>
      </c>
      <c r="C762">
        <v>37</v>
      </c>
      <c r="D762" t="s">
        <v>3255</v>
      </c>
      <c r="E762" t="s">
        <v>3256</v>
      </c>
      <c r="H762" t="s">
        <v>3257</v>
      </c>
    </row>
    <row r="763" spans="1:8">
      <c r="A763" t="s">
        <v>239</v>
      </c>
      <c r="B763" t="s">
        <v>68</v>
      </c>
      <c r="C763">
        <v>37</v>
      </c>
      <c r="D763" t="s">
        <v>3258</v>
      </c>
      <c r="E763" t="s">
        <v>3259</v>
      </c>
      <c r="H763" t="s">
        <v>3260</v>
      </c>
    </row>
    <row r="764" spans="1:8">
      <c r="A764" t="s">
        <v>241</v>
      </c>
      <c r="B764" t="s">
        <v>68</v>
      </c>
      <c r="C764">
        <v>37</v>
      </c>
      <c r="D764" t="s">
        <v>3261</v>
      </c>
      <c r="E764" t="s">
        <v>3262</v>
      </c>
      <c r="H764" t="s">
        <v>3263</v>
      </c>
    </row>
    <row r="765" spans="1:8">
      <c r="A765" t="s">
        <v>240</v>
      </c>
      <c r="B765" t="s">
        <v>68</v>
      </c>
      <c r="C765">
        <v>37</v>
      </c>
      <c r="D765" t="s">
        <v>3264</v>
      </c>
      <c r="E765" t="s">
        <v>3265</v>
      </c>
      <c r="F765" t="s">
        <v>68</v>
      </c>
      <c r="G765" t="s">
        <v>3266</v>
      </c>
      <c r="H765" t="s">
        <v>3267</v>
      </c>
    </row>
    <row r="766" spans="1:8">
      <c r="A766" t="s">
        <v>240</v>
      </c>
      <c r="B766" t="s">
        <v>68</v>
      </c>
      <c r="C766">
        <v>37</v>
      </c>
      <c r="D766" t="s">
        <v>3268</v>
      </c>
      <c r="E766" t="s">
        <v>3269</v>
      </c>
      <c r="F766" t="s">
        <v>68</v>
      </c>
      <c r="G766" t="s">
        <v>3270</v>
      </c>
      <c r="H766" t="s">
        <v>3271</v>
      </c>
    </row>
    <row r="767" spans="1:8">
      <c r="A767" t="s">
        <v>250</v>
      </c>
      <c r="B767" t="s">
        <v>85</v>
      </c>
      <c r="C767">
        <v>37</v>
      </c>
      <c r="D767" t="s">
        <v>10677</v>
      </c>
      <c r="F767" t="s">
        <v>10678</v>
      </c>
    </row>
    <row r="768" spans="1:8">
      <c r="A768" t="s">
        <v>241</v>
      </c>
      <c r="B768" t="s">
        <v>85</v>
      </c>
      <c r="C768">
        <v>37</v>
      </c>
      <c r="D768" t="s">
        <v>10679</v>
      </c>
      <c r="E768" t="s">
        <v>10680</v>
      </c>
      <c r="F768" t="s">
        <v>85</v>
      </c>
      <c r="H768" t="s">
        <v>10681</v>
      </c>
    </row>
    <row r="769" spans="1:8">
      <c r="A769" t="s">
        <v>242</v>
      </c>
      <c r="B769" t="s">
        <v>85</v>
      </c>
      <c r="C769">
        <v>37</v>
      </c>
      <c r="D769" t="s">
        <v>10682</v>
      </c>
      <c r="E769" t="s">
        <v>10683</v>
      </c>
      <c r="F769" t="s">
        <v>85</v>
      </c>
      <c r="G769" t="s">
        <v>9922</v>
      </c>
      <c r="H769" t="s">
        <v>9923</v>
      </c>
    </row>
    <row r="770" spans="1:8">
      <c r="A770" t="s">
        <v>241</v>
      </c>
      <c r="B770" t="s">
        <v>85</v>
      </c>
      <c r="C770">
        <v>37</v>
      </c>
      <c r="D770" t="s">
        <v>10684</v>
      </c>
      <c r="E770" t="s">
        <v>10685</v>
      </c>
      <c r="F770" t="s">
        <v>10678</v>
      </c>
      <c r="G770" t="s">
        <v>10686</v>
      </c>
      <c r="H770" t="s">
        <v>10687</v>
      </c>
    </row>
    <row r="771" spans="1:8">
      <c r="A771" t="s">
        <v>241</v>
      </c>
      <c r="B771" t="s">
        <v>85</v>
      </c>
      <c r="C771">
        <v>37</v>
      </c>
      <c r="D771" t="s">
        <v>10688</v>
      </c>
      <c r="E771" t="s">
        <v>10689</v>
      </c>
      <c r="H771" t="s">
        <v>10690</v>
      </c>
    </row>
    <row r="772" spans="1:8">
      <c r="A772" t="s">
        <v>241</v>
      </c>
      <c r="B772" t="s">
        <v>85</v>
      </c>
      <c r="C772">
        <v>37</v>
      </c>
      <c r="D772" t="s">
        <v>10691</v>
      </c>
      <c r="E772" t="s">
        <v>10692</v>
      </c>
      <c r="G772" t="s">
        <v>10693</v>
      </c>
      <c r="H772" t="s">
        <v>10694</v>
      </c>
    </row>
    <row r="773" spans="1:8">
      <c r="A773" t="s">
        <v>242</v>
      </c>
      <c r="B773" t="s">
        <v>85</v>
      </c>
      <c r="C773">
        <v>37</v>
      </c>
      <c r="D773" t="s">
        <v>10695</v>
      </c>
      <c r="E773" t="s">
        <v>10696</v>
      </c>
    </row>
    <row r="774" spans="1:8">
      <c r="A774" t="s">
        <v>242</v>
      </c>
      <c r="B774" t="s">
        <v>85</v>
      </c>
      <c r="C774">
        <v>37</v>
      </c>
      <c r="D774" t="s">
        <v>10697</v>
      </c>
      <c r="E774" t="s">
        <v>10698</v>
      </c>
      <c r="H774" t="s">
        <v>10699</v>
      </c>
    </row>
    <row r="775" spans="1:8">
      <c r="A775" t="s">
        <v>243</v>
      </c>
      <c r="B775" t="s">
        <v>85</v>
      </c>
      <c r="C775">
        <v>37</v>
      </c>
      <c r="D775" t="s">
        <v>10700</v>
      </c>
      <c r="E775" t="s">
        <v>10685</v>
      </c>
      <c r="H775" t="s">
        <v>10687</v>
      </c>
    </row>
    <row r="776" spans="1:8">
      <c r="A776" t="s">
        <v>242</v>
      </c>
      <c r="B776" t="s">
        <v>85</v>
      </c>
      <c r="C776">
        <v>37</v>
      </c>
      <c r="D776" t="s">
        <v>10701</v>
      </c>
      <c r="E776" t="s">
        <v>10702</v>
      </c>
      <c r="H776" t="s">
        <v>10703</v>
      </c>
    </row>
    <row r="777" spans="1:8">
      <c r="A777" t="s">
        <v>243</v>
      </c>
      <c r="B777" t="s">
        <v>85</v>
      </c>
      <c r="C777">
        <v>37</v>
      </c>
      <c r="D777" t="s">
        <v>8183</v>
      </c>
      <c r="E777" t="s">
        <v>10704</v>
      </c>
      <c r="F777" t="s">
        <v>85</v>
      </c>
    </row>
    <row r="778" spans="1:8">
      <c r="A778" t="s">
        <v>250</v>
      </c>
      <c r="B778" t="s">
        <v>85</v>
      </c>
      <c r="C778">
        <v>37</v>
      </c>
      <c r="D778" t="s">
        <v>10705</v>
      </c>
      <c r="E778" t="s">
        <v>10706</v>
      </c>
    </row>
    <row r="779" spans="1:8">
      <c r="A779" t="s">
        <v>250</v>
      </c>
      <c r="B779" t="s">
        <v>85</v>
      </c>
      <c r="C779">
        <v>37</v>
      </c>
      <c r="D779" t="s">
        <v>10707</v>
      </c>
      <c r="E779" t="s">
        <v>10708</v>
      </c>
      <c r="F779" t="s">
        <v>10678</v>
      </c>
      <c r="G779" t="s">
        <v>10709</v>
      </c>
    </row>
    <row r="780" spans="1:8">
      <c r="A780" t="s">
        <v>250</v>
      </c>
      <c r="B780" t="s">
        <v>85</v>
      </c>
      <c r="C780">
        <v>37</v>
      </c>
      <c r="D780" t="s">
        <v>5078</v>
      </c>
      <c r="E780" t="s">
        <v>10710</v>
      </c>
      <c r="F780" t="s">
        <v>10678</v>
      </c>
    </row>
    <row r="781" spans="1:8">
      <c r="A781" t="s">
        <v>244</v>
      </c>
      <c r="B781" t="s">
        <v>85</v>
      </c>
      <c r="C781">
        <v>37</v>
      </c>
      <c r="D781" t="s">
        <v>1282</v>
      </c>
      <c r="F781" t="s">
        <v>10678</v>
      </c>
      <c r="H781" t="s">
        <v>10711</v>
      </c>
    </row>
    <row r="782" spans="1:8">
      <c r="A782" t="s">
        <v>250</v>
      </c>
      <c r="B782" t="s">
        <v>85</v>
      </c>
      <c r="C782">
        <v>37</v>
      </c>
      <c r="D782" t="s">
        <v>10712</v>
      </c>
      <c r="E782" t="s">
        <v>10713</v>
      </c>
      <c r="F782" t="s">
        <v>10678</v>
      </c>
    </row>
    <row r="783" spans="1:8">
      <c r="A783" t="s">
        <v>250</v>
      </c>
      <c r="B783" t="s">
        <v>85</v>
      </c>
      <c r="C783">
        <v>37</v>
      </c>
      <c r="D783" t="s">
        <v>10714</v>
      </c>
      <c r="E783" t="s">
        <v>10715</v>
      </c>
      <c r="F783" t="s">
        <v>10678</v>
      </c>
      <c r="G783" t="s">
        <v>10716</v>
      </c>
      <c r="H783" t="s">
        <v>10717</v>
      </c>
    </row>
    <row r="784" spans="1:8">
      <c r="A784" t="s">
        <v>250</v>
      </c>
      <c r="B784" t="s">
        <v>85</v>
      </c>
      <c r="C784">
        <v>37</v>
      </c>
      <c r="D784" t="s">
        <v>10718</v>
      </c>
      <c r="E784" t="s">
        <v>10719</v>
      </c>
      <c r="F784" t="s">
        <v>10678</v>
      </c>
    </row>
    <row r="785" spans="1:8">
      <c r="A785" t="s">
        <v>240</v>
      </c>
      <c r="B785" t="s">
        <v>85</v>
      </c>
      <c r="C785">
        <v>37</v>
      </c>
      <c r="D785" t="s">
        <v>10720</v>
      </c>
      <c r="E785" t="s">
        <v>10721</v>
      </c>
      <c r="F785" t="s">
        <v>85</v>
      </c>
      <c r="G785" t="s">
        <v>10722</v>
      </c>
      <c r="H785" t="s">
        <v>10723</v>
      </c>
    </row>
    <row r="786" spans="1:8">
      <c r="A786" t="s">
        <v>242</v>
      </c>
      <c r="B786" t="s">
        <v>85</v>
      </c>
      <c r="C786">
        <v>37</v>
      </c>
      <c r="D786" t="s">
        <v>10724</v>
      </c>
      <c r="E786" t="s">
        <v>10725</v>
      </c>
      <c r="F786" t="s">
        <v>85</v>
      </c>
      <c r="H786" t="s">
        <v>10726</v>
      </c>
    </row>
    <row r="787" spans="1:8">
      <c r="A787" t="s">
        <v>243</v>
      </c>
      <c r="B787" t="s">
        <v>85</v>
      </c>
      <c r="C787">
        <v>37</v>
      </c>
      <c r="D787" t="s">
        <v>10727</v>
      </c>
      <c r="E787" t="s">
        <v>10728</v>
      </c>
      <c r="F787" t="s">
        <v>85</v>
      </c>
      <c r="H787" t="s">
        <v>10729</v>
      </c>
    </row>
    <row r="788" spans="1:8">
      <c r="A788" t="s">
        <v>243</v>
      </c>
      <c r="B788" t="s">
        <v>85</v>
      </c>
      <c r="C788">
        <v>37</v>
      </c>
      <c r="D788" t="s">
        <v>10730</v>
      </c>
      <c r="E788" t="s">
        <v>10731</v>
      </c>
      <c r="H788" t="s">
        <v>10732</v>
      </c>
    </row>
    <row r="789" spans="1:8">
      <c r="A789" t="s">
        <v>246</v>
      </c>
      <c r="B789" t="s">
        <v>85</v>
      </c>
      <c r="C789">
        <v>37</v>
      </c>
      <c r="D789" t="s">
        <v>10733</v>
      </c>
      <c r="E789" t="s">
        <v>10734</v>
      </c>
      <c r="F789" t="s">
        <v>85</v>
      </c>
      <c r="G789" t="s">
        <v>10735</v>
      </c>
      <c r="H789" t="s">
        <v>10736</v>
      </c>
    </row>
    <row r="790" spans="1:8">
      <c r="A790" t="s">
        <v>241</v>
      </c>
      <c r="B790" t="s">
        <v>85</v>
      </c>
      <c r="C790">
        <v>37</v>
      </c>
      <c r="D790" t="s">
        <v>10737</v>
      </c>
      <c r="E790" t="s">
        <v>10738</v>
      </c>
      <c r="H790" t="s">
        <v>10703</v>
      </c>
    </row>
    <row r="791" spans="1:8">
      <c r="A791" t="s">
        <v>250</v>
      </c>
      <c r="B791" t="s">
        <v>85</v>
      </c>
      <c r="C791">
        <v>37</v>
      </c>
      <c r="D791" t="s">
        <v>10739</v>
      </c>
      <c r="E791" t="s">
        <v>10740</v>
      </c>
      <c r="F791" t="s">
        <v>10678</v>
      </c>
    </row>
    <row r="792" spans="1:8">
      <c r="A792" t="s">
        <v>240</v>
      </c>
      <c r="B792" t="s">
        <v>85</v>
      </c>
      <c r="C792">
        <v>37</v>
      </c>
      <c r="D792" t="s">
        <v>10741</v>
      </c>
      <c r="E792" t="s">
        <v>10742</v>
      </c>
      <c r="F792" t="s">
        <v>85</v>
      </c>
      <c r="H792" t="s">
        <v>10743</v>
      </c>
    </row>
    <row r="793" spans="1:8">
      <c r="A793" t="s">
        <v>241</v>
      </c>
      <c r="B793" t="s">
        <v>85</v>
      </c>
      <c r="C793">
        <v>37</v>
      </c>
      <c r="D793" t="s">
        <v>10744</v>
      </c>
      <c r="E793" t="s">
        <v>10745</v>
      </c>
      <c r="G793" t="s">
        <v>10746</v>
      </c>
      <c r="H793" t="s">
        <v>10747</v>
      </c>
    </row>
    <row r="794" spans="1:8">
      <c r="A794" t="s">
        <v>250</v>
      </c>
      <c r="B794" t="s">
        <v>85</v>
      </c>
      <c r="C794">
        <v>37</v>
      </c>
      <c r="D794" t="s">
        <v>10748</v>
      </c>
      <c r="E794" t="s">
        <v>10749</v>
      </c>
      <c r="F794" t="s">
        <v>10678</v>
      </c>
    </row>
    <row r="795" spans="1:8">
      <c r="A795" t="s">
        <v>250</v>
      </c>
      <c r="B795" t="s">
        <v>85</v>
      </c>
      <c r="C795">
        <v>37</v>
      </c>
      <c r="D795" t="s">
        <v>10750</v>
      </c>
      <c r="E795" t="s">
        <v>10751</v>
      </c>
      <c r="F795" t="s">
        <v>10678</v>
      </c>
    </row>
    <row r="796" spans="1:8">
      <c r="A796" t="s">
        <v>250</v>
      </c>
      <c r="B796" t="s">
        <v>85</v>
      </c>
      <c r="C796">
        <v>37</v>
      </c>
      <c r="D796" t="s">
        <v>10752</v>
      </c>
      <c r="E796" t="s">
        <v>10753</v>
      </c>
      <c r="F796" t="s">
        <v>10678</v>
      </c>
    </row>
    <row r="797" spans="1:8">
      <c r="A797" t="s">
        <v>242</v>
      </c>
      <c r="B797" t="s">
        <v>85</v>
      </c>
      <c r="C797">
        <v>37</v>
      </c>
      <c r="D797" t="s">
        <v>10754</v>
      </c>
      <c r="E797" t="s">
        <v>10755</v>
      </c>
      <c r="F797" t="s">
        <v>85</v>
      </c>
      <c r="G797" t="s">
        <v>10756</v>
      </c>
      <c r="H797" t="s">
        <v>10757</v>
      </c>
    </row>
    <row r="798" spans="1:8">
      <c r="A798" t="s">
        <v>241</v>
      </c>
      <c r="B798" t="s">
        <v>85</v>
      </c>
      <c r="C798">
        <v>37</v>
      </c>
      <c r="D798" t="s">
        <v>10758</v>
      </c>
      <c r="E798" t="s">
        <v>10759</v>
      </c>
      <c r="H798" t="s">
        <v>10760</v>
      </c>
    </row>
    <row r="799" spans="1:8">
      <c r="A799" t="s">
        <v>239</v>
      </c>
      <c r="B799" t="s">
        <v>85</v>
      </c>
      <c r="C799">
        <v>37</v>
      </c>
      <c r="D799" t="s">
        <v>10761</v>
      </c>
      <c r="E799" t="s">
        <v>10762</v>
      </c>
    </row>
    <row r="800" spans="1:8">
      <c r="A800" t="s">
        <v>250</v>
      </c>
      <c r="B800" t="s">
        <v>85</v>
      </c>
      <c r="C800">
        <v>37</v>
      </c>
      <c r="D800" t="s">
        <v>10763</v>
      </c>
      <c r="E800" t="s">
        <v>10764</v>
      </c>
      <c r="F800" t="s">
        <v>10678</v>
      </c>
      <c r="G800" t="s">
        <v>10765</v>
      </c>
    </row>
    <row r="801" spans="1:8">
      <c r="A801" t="s">
        <v>241</v>
      </c>
      <c r="B801" t="s">
        <v>94</v>
      </c>
      <c r="C801">
        <v>38</v>
      </c>
      <c r="D801" t="s">
        <v>13236</v>
      </c>
      <c r="E801" t="s">
        <v>13237</v>
      </c>
      <c r="G801" t="s">
        <v>13238</v>
      </c>
      <c r="H801" t="s">
        <v>13239</v>
      </c>
    </row>
    <row r="802" spans="1:8">
      <c r="A802" t="s">
        <v>241</v>
      </c>
      <c r="B802" t="s">
        <v>94</v>
      </c>
      <c r="C802">
        <v>38</v>
      </c>
      <c r="D802" t="s">
        <v>13240</v>
      </c>
      <c r="E802" t="s">
        <v>13241</v>
      </c>
      <c r="G802" t="s">
        <v>13242</v>
      </c>
      <c r="H802" t="s">
        <v>13243</v>
      </c>
    </row>
    <row r="803" spans="1:8">
      <c r="A803" t="s">
        <v>238</v>
      </c>
      <c r="B803" t="s">
        <v>94</v>
      </c>
      <c r="C803">
        <v>38</v>
      </c>
      <c r="D803" t="s">
        <v>13244</v>
      </c>
      <c r="E803" t="s">
        <v>13245</v>
      </c>
      <c r="H803" t="s">
        <v>13246</v>
      </c>
    </row>
    <row r="804" spans="1:8">
      <c r="A804" t="s">
        <v>239</v>
      </c>
      <c r="B804" t="s">
        <v>53</v>
      </c>
      <c r="C804">
        <v>38</v>
      </c>
      <c r="D804" t="s">
        <v>16347</v>
      </c>
      <c r="E804" t="s">
        <v>16348</v>
      </c>
      <c r="F804" t="s">
        <v>16349</v>
      </c>
      <c r="G804" t="s">
        <v>16350</v>
      </c>
      <c r="H804" t="s">
        <v>16351</v>
      </c>
    </row>
    <row r="805" spans="1:8">
      <c r="A805" t="s">
        <v>241</v>
      </c>
      <c r="B805" t="s">
        <v>53</v>
      </c>
      <c r="C805">
        <v>38</v>
      </c>
      <c r="D805" t="s">
        <v>16352</v>
      </c>
      <c r="E805" t="s">
        <v>16353</v>
      </c>
      <c r="G805" t="s">
        <v>16354</v>
      </c>
      <c r="H805" t="s">
        <v>16355</v>
      </c>
    </row>
    <row r="806" spans="1:8">
      <c r="A806" t="s">
        <v>243</v>
      </c>
      <c r="B806" t="s">
        <v>53</v>
      </c>
      <c r="C806">
        <v>38</v>
      </c>
      <c r="D806" t="s">
        <v>16356</v>
      </c>
      <c r="E806" t="s">
        <v>16357</v>
      </c>
      <c r="F806" t="s">
        <v>53</v>
      </c>
      <c r="H806" t="s">
        <v>16358</v>
      </c>
    </row>
    <row r="807" spans="1:8">
      <c r="A807" t="s">
        <v>241</v>
      </c>
      <c r="B807" t="s">
        <v>53</v>
      </c>
      <c r="C807">
        <v>38</v>
      </c>
      <c r="D807" t="s">
        <v>16359</v>
      </c>
      <c r="E807" t="s">
        <v>16360</v>
      </c>
      <c r="F807" t="s">
        <v>53</v>
      </c>
      <c r="H807" t="s">
        <v>16361</v>
      </c>
    </row>
    <row r="808" spans="1:8">
      <c r="A808" t="s">
        <v>241</v>
      </c>
      <c r="B808" t="s">
        <v>53</v>
      </c>
      <c r="C808">
        <v>38</v>
      </c>
      <c r="D808" t="s">
        <v>4168</v>
      </c>
      <c r="E808" t="s">
        <v>16362</v>
      </c>
      <c r="F808" t="s">
        <v>16363</v>
      </c>
      <c r="G808" t="s">
        <v>16364</v>
      </c>
      <c r="H808" t="s">
        <v>16365</v>
      </c>
    </row>
    <row r="809" spans="1:8">
      <c r="A809" t="s">
        <v>242</v>
      </c>
      <c r="B809" t="s">
        <v>53</v>
      </c>
      <c r="C809">
        <v>38</v>
      </c>
      <c r="D809" t="s">
        <v>16366</v>
      </c>
      <c r="F809" t="s">
        <v>16367</v>
      </c>
      <c r="H809" t="s">
        <v>16368</v>
      </c>
    </row>
    <row r="810" spans="1:8">
      <c r="A810" t="s">
        <v>240</v>
      </c>
      <c r="B810" t="s">
        <v>53</v>
      </c>
      <c r="C810">
        <v>38</v>
      </c>
      <c r="D810" t="s">
        <v>16369</v>
      </c>
      <c r="E810" t="s">
        <v>16370</v>
      </c>
      <c r="F810" t="s">
        <v>53</v>
      </c>
      <c r="G810" t="s">
        <v>16371</v>
      </c>
      <c r="H810" t="s">
        <v>16372</v>
      </c>
    </row>
    <row r="811" spans="1:8">
      <c r="A811" t="s">
        <v>241</v>
      </c>
      <c r="B811" t="s">
        <v>53</v>
      </c>
      <c r="C811">
        <v>38</v>
      </c>
      <c r="D811" t="s">
        <v>16352</v>
      </c>
      <c r="H811" t="s">
        <v>16355</v>
      </c>
    </row>
    <row r="812" spans="1:8">
      <c r="A812" t="s">
        <v>241</v>
      </c>
      <c r="B812" t="s">
        <v>53</v>
      </c>
      <c r="C812">
        <v>38</v>
      </c>
      <c r="D812" t="s">
        <v>16373</v>
      </c>
      <c r="E812" t="s">
        <v>16374</v>
      </c>
      <c r="F812" t="s">
        <v>53</v>
      </c>
      <c r="G812" t="s">
        <v>16375</v>
      </c>
      <c r="H812" t="s">
        <v>16376</v>
      </c>
    </row>
    <row r="813" spans="1:8">
      <c r="A813" t="s">
        <v>242</v>
      </c>
      <c r="B813" t="s">
        <v>53</v>
      </c>
      <c r="C813">
        <v>38</v>
      </c>
      <c r="D813" t="s">
        <v>5007</v>
      </c>
      <c r="E813" t="s">
        <v>16377</v>
      </c>
      <c r="F813" t="s">
        <v>53</v>
      </c>
    </row>
    <row r="814" spans="1:8">
      <c r="A814" t="s">
        <v>241</v>
      </c>
      <c r="B814" t="s">
        <v>160</v>
      </c>
      <c r="C814">
        <v>38</v>
      </c>
      <c r="D814" t="s">
        <v>19291</v>
      </c>
      <c r="E814" t="s">
        <v>19292</v>
      </c>
      <c r="G814" t="s">
        <v>19293</v>
      </c>
      <c r="H814" t="s">
        <v>19294</v>
      </c>
    </row>
    <row r="815" spans="1:8">
      <c r="A815" t="s">
        <v>243</v>
      </c>
      <c r="B815" t="s">
        <v>160</v>
      </c>
      <c r="C815">
        <v>38</v>
      </c>
      <c r="D815" t="s">
        <v>19295</v>
      </c>
      <c r="E815" t="s">
        <v>19296</v>
      </c>
      <c r="F815" t="s">
        <v>160</v>
      </c>
      <c r="G815" t="s">
        <v>19297</v>
      </c>
      <c r="H815" t="s">
        <v>19298</v>
      </c>
    </row>
    <row r="816" spans="1:8">
      <c r="A816" t="s">
        <v>240</v>
      </c>
      <c r="B816" t="s">
        <v>160</v>
      </c>
      <c r="C816">
        <v>38</v>
      </c>
      <c r="D816" t="s">
        <v>19299</v>
      </c>
      <c r="E816" t="s">
        <v>19300</v>
      </c>
      <c r="F816" t="s">
        <v>160</v>
      </c>
    </row>
    <row r="817" spans="1:8">
      <c r="A817" t="s">
        <v>239</v>
      </c>
      <c r="B817" t="s">
        <v>160</v>
      </c>
      <c r="C817">
        <v>38</v>
      </c>
      <c r="D817" t="s">
        <v>19301</v>
      </c>
      <c r="E817" t="s">
        <v>19302</v>
      </c>
      <c r="H817" t="s">
        <v>19303</v>
      </c>
    </row>
    <row r="818" spans="1:8">
      <c r="A818" t="s">
        <v>245</v>
      </c>
      <c r="B818" t="s">
        <v>160</v>
      </c>
      <c r="C818">
        <v>38</v>
      </c>
      <c r="D818" t="s">
        <v>9141</v>
      </c>
      <c r="E818" t="s">
        <v>19304</v>
      </c>
      <c r="F818" t="s">
        <v>19305</v>
      </c>
      <c r="H818" t="s">
        <v>19306</v>
      </c>
    </row>
    <row r="819" spans="1:8">
      <c r="A819" t="s">
        <v>241</v>
      </c>
      <c r="B819" t="s">
        <v>74</v>
      </c>
      <c r="C819">
        <v>39</v>
      </c>
      <c r="D819" t="s">
        <v>4685</v>
      </c>
      <c r="E819" t="s">
        <v>4686</v>
      </c>
      <c r="F819" t="s">
        <v>74</v>
      </c>
      <c r="G819" t="s">
        <v>4687</v>
      </c>
      <c r="H819" t="s">
        <v>4688</v>
      </c>
    </row>
    <row r="820" spans="1:8">
      <c r="A820" t="s">
        <v>241</v>
      </c>
      <c r="B820" t="s">
        <v>74</v>
      </c>
      <c r="C820">
        <v>39</v>
      </c>
      <c r="D820" t="s">
        <v>4689</v>
      </c>
      <c r="E820" t="s">
        <v>4690</v>
      </c>
      <c r="F820" t="s">
        <v>74</v>
      </c>
      <c r="G820" t="s">
        <v>4691</v>
      </c>
      <c r="H820" t="s">
        <v>4692</v>
      </c>
    </row>
    <row r="821" spans="1:8">
      <c r="A821" t="s">
        <v>241</v>
      </c>
      <c r="B821" t="s">
        <v>74</v>
      </c>
      <c r="C821">
        <v>39</v>
      </c>
      <c r="D821" t="s">
        <v>4693</v>
      </c>
      <c r="E821" t="s">
        <v>4694</v>
      </c>
      <c r="F821" t="s">
        <v>74</v>
      </c>
      <c r="H821" t="s">
        <v>4695</v>
      </c>
    </row>
    <row r="822" spans="1:8">
      <c r="A822" t="s">
        <v>241</v>
      </c>
      <c r="B822" t="s">
        <v>74</v>
      </c>
      <c r="C822">
        <v>39</v>
      </c>
      <c r="D822" t="s">
        <v>4696</v>
      </c>
      <c r="E822" t="s">
        <v>4697</v>
      </c>
      <c r="F822" t="s">
        <v>74</v>
      </c>
      <c r="G822" t="s">
        <v>4698</v>
      </c>
      <c r="H822" t="s">
        <v>4699</v>
      </c>
    </row>
    <row r="823" spans="1:8">
      <c r="A823" t="s">
        <v>241</v>
      </c>
      <c r="B823" t="s">
        <v>74</v>
      </c>
      <c r="C823">
        <v>39</v>
      </c>
      <c r="D823" t="s">
        <v>4700</v>
      </c>
      <c r="E823" t="s">
        <v>4701</v>
      </c>
      <c r="F823" t="s">
        <v>74</v>
      </c>
      <c r="G823" t="s">
        <v>4702</v>
      </c>
      <c r="H823" t="s">
        <v>4703</v>
      </c>
    </row>
    <row r="824" spans="1:8">
      <c r="A824" t="s">
        <v>244</v>
      </c>
      <c r="B824" t="s">
        <v>74</v>
      </c>
      <c r="C824">
        <v>39</v>
      </c>
      <c r="D824" t="s">
        <v>4704</v>
      </c>
      <c r="F824" t="s">
        <v>74</v>
      </c>
      <c r="H824" t="s">
        <v>4705</v>
      </c>
    </row>
    <row r="825" spans="1:8">
      <c r="A825" t="s">
        <v>241</v>
      </c>
      <c r="B825" t="s">
        <v>74</v>
      </c>
      <c r="C825">
        <v>39</v>
      </c>
      <c r="D825" t="s">
        <v>4706</v>
      </c>
      <c r="E825" t="s">
        <v>4707</v>
      </c>
      <c r="F825" t="s">
        <v>74</v>
      </c>
      <c r="G825" t="s">
        <v>4708</v>
      </c>
      <c r="H825" t="s">
        <v>4709</v>
      </c>
    </row>
    <row r="826" spans="1:8">
      <c r="A826" t="s">
        <v>243</v>
      </c>
      <c r="B826" t="s">
        <v>74</v>
      </c>
      <c r="C826">
        <v>39</v>
      </c>
      <c r="D826" t="s">
        <v>4710</v>
      </c>
      <c r="E826" t="s">
        <v>4711</v>
      </c>
      <c r="G826" t="s">
        <v>4712</v>
      </c>
      <c r="H826" t="s">
        <v>4713</v>
      </c>
    </row>
    <row r="827" spans="1:8">
      <c r="A827" t="s">
        <v>241</v>
      </c>
      <c r="B827" t="s">
        <v>74</v>
      </c>
      <c r="C827">
        <v>39</v>
      </c>
      <c r="D827" t="s">
        <v>4714</v>
      </c>
      <c r="E827" t="s">
        <v>4715</v>
      </c>
      <c r="F827" t="s">
        <v>74</v>
      </c>
      <c r="G827" t="s">
        <v>4716</v>
      </c>
      <c r="H827" t="s">
        <v>4717</v>
      </c>
    </row>
    <row r="828" spans="1:8">
      <c r="A828" t="s">
        <v>241</v>
      </c>
      <c r="B828" t="s">
        <v>74</v>
      </c>
      <c r="C828">
        <v>39</v>
      </c>
      <c r="D828" t="s">
        <v>4718</v>
      </c>
      <c r="E828" t="s">
        <v>4719</v>
      </c>
      <c r="G828" t="s">
        <v>4720</v>
      </c>
      <c r="H828" t="s">
        <v>4721</v>
      </c>
    </row>
    <row r="829" spans="1:8">
      <c r="A829" t="s">
        <v>243</v>
      </c>
      <c r="B829" t="s">
        <v>74</v>
      </c>
      <c r="C829">
        <v>39</v>
      </c>
      <c r="D829" t="s">
        <v>4722</v>
      </c>
      <c r="E829" t="s">
        <v>4723</v>
      </c>
      <c r="F829" t="s">
        <v>74</v>
      </c>
      <c r="G829" t="s">
        <v>4724</v>
      </c>
      <c r="H829" t="s">
        <v>4725</v>
      </c>
    </row>
    <row r="830" spans="1:8">
      <c r="A830" t="s">
        <v>239</v>
      </c>
      <c r="B830" t="s">
        <v>74</v>
      </c>
      <c r="C830">
        <v>39</v>
      </c>
      <c r="D830" t="s">
        <v>4726</v>
      </c>
      <c r="E830" t="s">
        <v>4727</v>
      </c>
      <c r="H830" t="s">
        <v>4728</v>
      </c>
    </row>
    <row r="831" spans="1:8">
      <c r="A831" t="s">
        <v>241</v>
      </c>
      <c r="B831" t="s">
        <v>74</v>
      </c>
      <c r="C831">
        <v>39</v>
      </c>
      <c r="D831" t="s">
        <v>4729</v>
      </c>
      <c r="E831" t="s">
        <v>4730</v>
      </c>
      <c r="G831" t="s">
        <v>4731</v>
      </c>
      <c r="H831" t="s">
        <v>4732</v>
      </c>
    </row>
    <row r="832" spans="1:8">
      <c r="A832" t="s">
        <v>239</v>
      </c>
      <c r="B832" t="s">
        <v>74</v>
      </c>
      <c r="C832">
        <v>39</v>
      </c>
      <c r="D832" t="s">
        <v>4733</v>
      </c>
      <c r="E832" t="s">
        <v>4734</v>
      </c>
      <c r="G832" t="s">
        <v>4735</v>
      </c>
      <c r="H832" t="s">
        <v>4728</v>
      </c>
    </row>
    <row r="833" spans="1:8">
      <c r="A833" t="s">
        <v>239</v>
      </c>
      <c r="B833" t="s">
        <v>74</v>
      </c>
      <c r="C833">
        <v>39</v>
      </c>
      <c r="D833" t="s">
        <v>4736</v>
      </c>
      <c r="E833" t="s">
        <v>4737</v>
      </c>
      <c r="F833" t="s">
        <v>74</v>
      </c>
      <c r="G833" t="s">
        <v>4738</v>
      </c>
      <c r="H833" t="s">
        <v>4739</v>
      </c>
    </row>
    <row r="834" spans="1:8">
      <c r="A834" t="s">
        <v>241</v>
      </c>
      <c r="B834" t="s">
        <v>74</v>
      </c>
      <c r="C834">
        <v>39</v>
      </c>
      <c r="D834" t="s">
        <v>4740</v>
      </c>
      <c r="E834" t="s">
        <v>4741</v>
      </c>
      <c r="G834" t="s">
        <v>4742</v>
      </c>
      <c r="H834" t="s">
        <v>4743</v>
      </c>
    </row>
    <row r="835" spans="1:8">
      <c r="A835" t="s">
        <v>242</v>
      </c>
      <c r="B835" t="s">
        <v>74</v>
      </c>
      <c r="C835">
        <v>39</v>
      </c>
      <c r="D835" t="s">
        <v>4744</v>
      </c>
      <c r="E835" t="s">
        <v>4745</v>
      </c>
      <c r="F835" t="s">
        <v>74</v>
      </c>
      <c r="G835" t="s">
        <v>4746</v>
      </c>
      <c r="H835" t="s">
        <v>4747</v>
      </c>
    </row>
    <row r="836" spans="1:8">
      <c r="A836" t="s">
        <v>241</v>
      </c>
      <c r="B836" t="s">
        <v>74</v>
      </c>
      <c r="C836">
        <v>39</v>
      </c>
      <c r="D836" t="s">
        <v>4748</v>
      </c>
      <c r="E836" t="s">
        <v>4749</v>
      </c>
      <c r="F836" t="s">
        <v>74</v>
      </c>
      <c r="H836" t="s">
        <v>4750</v>
      </c>
    </row>
    <row r="837" spans="1:8">
      <c r="A837" t="s">
        <v>243</v>
      </c>
      <c r="B837" t="s">
        <v>74</v>
      </c>
      <c r="C837">
        <v>39</v>
      </c>
      <c r="D837" t="s">
        <v>4751</v>
      </c>
      <c r="E837" t="s">
        <v>4752</v>
      </c>
      <c r="F837" t="s">
        <v>74</v>
      </c>
      <c r="G837" t="s">
        <v>4753</v>
      </c>
      <c r="H837" t="s">
        <v>4754</v>
      </c>
    </row>
    <row r="838" spans="1:8">
      <c r="A838" t="s">
        <v>239</v>
      </c>
      <c r="B838" t="s">
        <v>74</v>
      </c>
      <c r="C838">
        <v>39</v>
      </c>
      <c r="D838" t="s">
        <v>4755</v>
      </c>
      <c r="E838" t="s">
        <v>4756</v>
      </c>
      <c r="F838" t="s">
        <v>74</v>
      </c>
      <c r="H838" t="s">
        <v>4757</v>
      </c>
    </row>
    <row r="839" spans="1:8">
      <c r="A839" t="s">
        <v>241</v>
      </c>
      <c r="B839" t="s">
        <v>74</v>
      </c>
      <c r="C839">
        <v>39</v>
      </c>
      <c r="D839" t="s">
        <v>4758</v>
      </c>
      <c r="E839" t="s">
        <v>4759</v>
      </c>
      <c r="F839" t="s">
        <v>4760</v>
      </c>
      <c r="G839" t="s">
        <v>4761</v>
      </c>
      <c r="H839" t="s">
        <v>4762</v>
      </c>
    </row>
    <row r="840" spans="1:8">
      <c r="A840" t="s">
        <v>241</v>
      </c>
      <c r="B840" t="s">
        <v>74</v>
      </c>
      <c r="C840">
        <v>39</v>
      </c>
      <c r="D840" t="s">
        <v>4763</v>
      </c>
      <c r="E840" t="s">
        <v>4763</v>
      </c>
      <c r="G840" t="s">
        <v>4764</v>
      </c>
      <c r="H840" t="s">
        <v>4765</v>
      </c>
    </row>
    <row r="841" spans="1:8">
      <c r="A841" t="s">
        <v>241</v>
      </c>
      <c r="B841" t="s">
        <v>74</v>
      </c>
      <c r="C841">
        <v>39</v>
      </c>
      <c r="D841" t="s">
        <v>4766</v>
      </c>
      <c r="E841" t="s">
        <v>4767</v>
      </c>
      <c r="F841" t="s">
        <v>74</v>
      </c>
      <c r="H841" t="s">
        <v>4768</v>
      </c>
    </row>
    <row r="842" spans="1:8">
      <c r="A842" t="s">
        <v>251</v>
      </c>
      <c r="B842" t="s">
        <v>74</v>
      </c>
      <c r="C842">
        <v>39</v>
      </c>
      <c r="D842" t="s">
        <v>4769</v>
      </c>
      <c r="E842" t="s">
        <v>4719</v>
      </c>
      <c r="F842" t="s">
        <v>74</v>
      </c>
      <c r="G842" t="s">
        <v>4770</v>
      </c>
      <c r="H842" t="s">
        <v>4721</v>
      </c>
    </row>
    <row r="843" spans="1:8">
      <c r="A843" t="s">
        <v>241</v>
      </c>
      <c r="B843" t="s">
        <v>74</v>
      </c>
      <c r="C843">
        <v>39</v>
      </c>
      <c r="D843" t="s">
        <v>4771</v>
      </c>
      <c r="E843" t="s">
        <v>4772</v>
      </c>
      <c r="F843" t="s">
        <v>74</v>
      </c>
      <c r="G843" t="s">
        <v>4773</v>
      </c>
      <c r="H843" t="s">
        <v>4774</v>
      </c>
    </row>
    <row r="844" spans="1:8">
      <c r="A844" t="s">
        <v>241</v>
      </c>
      <c r="B844" t="s">
        <v>74</v>
      </c>
      <c r="C844">
        <v>39</v>
      </c>
      <c r="D844" t="s">
        <v>4775</v>
      </c>
      <c r="E844" t="s">
        <v>4776</v>
      </c>
      <c r="F844" t="s">
        <v>74</v>
      </c>
      <c r="H844" t="s">
        <v>4777</v>
      </c>
    </row>
    <row r="845" spans="1:8">
      <c r="A845" t="s">
        <v>241</v>
      </c>
      <c r="B845" t="s">
        <v>74</v>
      </c>
      <c r="C845">
        <v>39</v>
      </c>
      <c r="D845" t="s">
        <v>4778</v>
      </c>
      <c r="E845" t="s">
        <v>4779</v>
      </c>
      <c r="F845" t="s">
        <v>74</v>
      </c>
      <c r="G845" t="s">
        <v>4780</v>
      </c>
      <c r="H845" t="s">
        <v>4781</v>
      </c>
    </row>
    <row r="846" spans="1:8">
      <c r="A846" t="s">
        <v>241</v>
      </c>
      <c r="B846" t="s">
        <v>74</v>
      </c>
      <c r="C846">
        <v>39</v>
      </c>
      <c r="D846" t="s">
        <v>4782</v>
      </c>
      <c r="E846" t="s">
        <v>4783</v>
      </c>
      <c r="H846" t="s">
        <v>4784</v>
      </c>
    </row>
    <row r="847" spans="1:8">
      <c r="A847" t="s">
        <v>241</v>
      </c>
      <c r="B847" t="s">
        <v>74</v>
      </c>
      <c r="C847">
        <v>39</v>
      </c>
      <c r="D847" t="s">
        <v>4785</v>
      </c>
      <c r="E847" t="s">
        <v>4786</v>
      </c>
      <c r="H847" t="s">
        <v>4787</v>
      </c>
    </row>
    <row r="848" spans="1:8">
      <c r="A848" t="s">
        <v>241</v>
      </c>
      <c r="B848" t="s">
        <v>74</v>
      </c>
      <c r="C848">
        <v>39</v>
      </c>
      <c r="D848" t="s">
        <v>4788</v>
      </c>
      <c r="E848" t="s">
        <v>4789</v>
      </c>
      <c r="F848" t="s">
        <v>74</v>
      </c>
      <c r="G848" t="s">
        <v>4790</v>
      </c>
      <c r="H848" t="s">
        <v>4791</v>
      </c>
    </row>
    <row r="849" spans="1:8">
      <c r="A849" t="s">
        <v>241</v>
      </c>
      <c r="B849" t="s">
        <v>74</v>
      </c>
      <c r="C849">
        <v>39</v>
      </c>
      <c r="D849" t="s">
        <v>4792</v>
      </c>
      <c r="E849" t="s">
        <v>4793</v>
      </c>
      <c r="F849" t="s">
        <v>74</v>
      </c>
      <c r="H849" t="s">
        <v>4794</v>
      </c>
    </row>
    <row r="850" spans="1:8">
      <c r="A850" t="s">
        <v>243</v>
      </c>
      <c r="B850" t="s">
        <v>74</v>
      </c>
      <c r="C850">
        <v>39</v>
      </c>
      <c r="D850" t="s">
        <v>4795</v>
      </c>
      <c r="E850" t="s">
        <v>4796</v>
      </c>
      <c r="F850" t="s">
        <v>74</v>
      </c>
      <c r="H850" t="s">
        <v>4797</v>
      </c>
    </row>
    <row r="851" spans="1:8">
      <c r="A851" t="s">
        <v>239</v>
      </c>
      <c r="B851" t="s">
        <v>74</v>
      </c>
      <c r="C851">
        <v>39</v>
      </c>
      <c r="D851" t="s">
        <v>4798</v>
      </c>
      <c r="E851" t="s">
        <v>4799</v>
      </c>
      <c r="F851" t="s">
        <v>74</v>
      </c>
      <c r="H851" t="s">
        <v>4800</v>
      </c>
    </row>
    <row r="852" spans="1:8">
      <c r="A852" t="s">
        <v>241</v>
      </c>
      <c r="B852" t="s">
        <v>74</v>
      </c>
      <c r="C852">
        <v>39</v>
      </c>
      <c r="D852" t="s">
        <v>4801</v>
      </c>
      <c r="E852" t="s">
        <v>4802</v>
      </c>
      <c r="F852" t="s">
        <v>74</v>
      </c>
      <c r="H852" t="s">
        <v>4803</v>
      </c>
    </row>
    <row r="853" spans="1:8">
      <c r="A853" t="s">
        <v>239</v>
      </c>
      <c r="B853" t="s">
        <v>74</v>
      </c>
      <c r="C853">
        <v>39</v>
      </c>
      <c r="D853" t="s">
        <v>4804</v>
      </c>
      <c r="E853" t="s">
        <v>4802</v>
      </c>
      <c r="F853" t="s">
        <v>74</v>
      </c>
      <c r="H853" t="s">
        <v>4805</v>
      </c>
    </row>
    <row r="854" spans="1:8">
      <c r="A854" t="s">
        <v>242</v>
      </c>
      <c r="B854" t="s">
        <v>74</v>
      </c>
      <c r="C854">
        <v>39</v>
      </c>
      <c r="D854" t="s">
        <v>4806</v>
      </c>
      <c r="E854" t="s">
        <v>4807</v>
      </c>
      <c r="F854" t="s">
        <v>74</v>
      </c>
      <c r="G854" t="s">
        <v>4808</v>
      </c>
      <c r="H854" t="s">
        <v>4809</v>
      </c>
    </row>
    <row r="855" spans="1:8">
      <c r="A855" t="s">
        <v>242</v>
      </c>
      <c r="B855" t="s">
        <v>74</v>
      </c>
      <c r="C855">
        <v>39</v>
      </c>
      <c r="D855" t="s">
        <v>4810</v>
      </c>
      <c r="E855" t="s">
        <v>4811</v>
      </c>
      <c r="F855" t="s">
        <v>74</v>
      </c>
      <c r="G855" t="s">
        <v>4812</v>
      </c>
      <c r="H855" t="s">
        <v>4813</v>
      </c>
    </row>
    <row r="856" spans="1:8">
      <c r="A856" t="s">
        <v>245</v>
      </c>
      <c r="B856" t="s">
        <v>74</v>
      </c>
      <c r="C856">
        <v>39</v>
      </c>
      <c r="D856" t="s">
        <v>4814</v>
      </c>
      <c r="E856" t="s">
        <v>4815</v>
      </c>
      <c r="F856" t="s">
        <v>74</v>
      </c>
      <c r="H856" t="s">
        <v>4816</v>
      </c>
    </row>
    <row r="857" spans="1:8">
      <c r="A857" t="s">
        <v>241</v>
      </c>
      <c r="B857" t="s">
        <v>74</v>
      </c>
      <c r="C857">
        <v>39</v>
      </c>
      <c r="D857" t="s">
        <v>4817</v>
      </c>
      <c r="E857" t="s">
        <v>4772</v>
      </c>
      <c r="F857" t="s">
        <v>74</v>
      </c>
      <c r="G857" t="s">
        <v>4773</v>
      </c>
      <c r="H857" t="s">
        <v>4774</v>
      </c>
    </row>
    <row r="858" spans="1:8">
      <c r="A858" t="s">
        <v>239</v>
      </c>
      <c r="B858" t="s">
        <v>74</v>
      </c>
      <c r="C858">
        <v>39</v>
      </c>
      <c r="D858" t="s">
        <v>4818</v>
      </c>
      <c r="E858" t="s">
        <v>4819</v>
      </c>
      <c r="F858" t="s">
        <v>74</v>
      </c>
      <c r="H858" t="s">
        <v>4820</v>
      </c>
    </row>
    <row r="859" spans="1:8">
      <c r="A859" t="s">
        <v>239</v>
      </c>
      <c r="B859" t="s">
        <v>26</v>
      </c>
      <c r="C859">
        <v>39</v>
      </c>
      <c r="D859" t="s">
        <v>9240</v>
      </c>
      <c r="E859" t="s">
        <v>9241</v>
      </c>
      <c r="H859" t="s">
        <v>9242</v>
      </c>
    </row>
    <row r="860" spans="1:8">
      <c r="A860" t="s">
        <v>241</v>
      </c>
      <c r="B860" t="s">
        <v>26</v>
      </c>
      <c r="C860">
        <v>39</v>
      </c>
      <c r="D860" t="s">
        <v>9243</v>
      </c>
      <c r="E860" t="s">
        <v>9244</v>
      </c>
      <c r="F860" t="s">
        <v>9245</v>
      </c>
      <c r="G860" t="s">
        <v>9246</v>
      </c>
      <c r="H860" t="s">
        <v>9247</v>
      </c>
    </row>
    <row r="861" spans="1:8">
      <c r="A861" t="s">
        <v>241</v>
      </c>
      <c r="B861" t="s">
        <v>26</v>
      </c>
      <c r="C861">
        <v>39</v>
      </c>
      <c r="D861" t="s">
        <v>9248</v>
      </c>
      <c r="E861" t="s">
        <v>9249</v>
      </c>
      <c r="F861" t="s">
        <v>26</v>
      </c>
      <c r="G861" t="s">
        <v>9250</v>
      </c>
      <c r="H861" t="s">
        <v>9251</v>
      </c>
    </row>
    <row r="862" spans="1:8">
      <c r="A862" t="s">
        <v>242</v>
      </c>
      <c r="B862" t="s">
        <v>26</v>
      </c>
      <c r="C862">
        <v>39</v>
      </c>
      <c r="D862" t="s">
        <v>9252</v>
      </c>
      <c r="E862" t="s">
        <v>9253</v>
      </c>
      <c r="F862" t="s">
        <v>9254</v>
      </c>
      <c r="G862" t="s">
        <v>9255</v>
      </c>
      <c r="H862" t="s">
        <v>9256</v>
      </c>
    </row>
    <row r="863" spans="1:8">
      <c r="A863" t="s">
        <v>242</v>
      </c>
      <c r="B863" t="s">
        <v>26</v>
      </c>
      <c r="C863">
        <v>39</v>
      </c>
      <c r="D863" t="s">
        <v>9257</v>
      </c>
      <c r="E863" t="s">
        <v>9258</v>
      </c>
      <c r="G863" t="s">
        <v>9259</v>
      </c>
      <c r="H863" t="s">
        <v>9260</v>
      </c>
    </row>
    <row r="864" spans="1:8">
      <c r="A864" t="s">
        <v>241</v>
      </c>
      <c r="B864" t="s">
        <v>26</v>
      </c>
      <c r="C864">
        <v>39</v>
      </c>
      <c r="D864" t="s">
        <v>9261</v>
      </c>
      <c r="E864" t="s">
        <v>9262</v>
      </c>
      <c r="G864" t="s">
        <v>9263</v>
      </c>
      <c r="H864" t="s">
        <v>9264</v>
      </c>
    </row>
    <row r="865" spans="1:8">
      <c r="A865" t="s">
        <v>239</v>
      </c>
      <c r="B865" t="s">
        <v>26</v>
      </c>
      <c r="C865">
        <v>39</v>
      </c>
      <c r="D865" t="s">
        <v>9265</v>
      </c>
      <c r="E865" t="s">
        <v>9266</v>
      </c>
      <c r="F865" t="s">
        <v>26</v>
      </c>
      <c r="H865" t="s">
        <v>9267</v>
      </c>
    </row>
    <row r="866" spans="1:8">
      <c r="A866" t="s">
        <v>241</v>
      </c>
      <c r="B866" t="s">
        <v>26</v>
      </c>
      <c r="C866">
        <v>39</v>
      </c>
      <c r="D866" t="s">
        <v>9268</v>
      </c>
      <c r="E866" t="s">
        <v>9269</v>
      </c>
      <c r="F866" t="s">
        <v>26</v>
      </c>
      <c r="G866" t="s">
        <v>9270</v>
      </c>
      <c r="H866" t="s">
        <v>9271</v>
      </c>
    </row>
    <row r="867" spans="1:8">
      <c r="A867" t="s">
        <v>239</v>
      </c>
      <c r="B867" t="s">
        <v>26</v>
      </c>
      <c r="C867">
        <v>39</v>
      </c>
      <c r="D867" t="s">
        <v>9272</v>
      </c>
      <c r="E867" t="s">
        <v>9273</v>
      </c>
      <c r="F867" t="s">
        <v>26</v>
      </c>
      <c r="H867" t="s">
        <v>9274</v>
      </c>
    </row>
    <row r="868" spans="1:8">
      <c r="A868" t="s">
        <v>238</v>
      </c>
      <c r="B868" t="s">
        <v>26</v>
      </c>
      <c r="C868">
        <v>39</v>
      </c>
      <c r="D868" t="s">
        <v>9275</v>
      </c>
      <c r="E868" t="s">
        <v>9276</v>
      </c>
      <c r="F868" t="s">
        <v>26</v>
      </c>
      <c r="H868" t="s">
        <v>9277</v>
      </c>
    </row>
    <row r="869" spans="1:8">
      <c r="A869" t="s">
        <v>239</v>
      </c>
      <c r="B869" t="s">
        <v>26</v>
      </c>
      <c r="C869">
        <v>39</v>
      </c>
      <c r="D869" t="s">
        <v>9278</v>
      </c>
      <c r="E869" t="s">
        <v>9279</v>
      </c>
      <c r="F869" t="s">
        <v>26</v>
      </c>
      <c r="H869" t="s">
        <v>9280</v>
      </c>
    </row>
    <row r="870" spans="1:8">
      <c r="A870" t="s">
        <v>239</v>
      </c>
      <c r="B870" t="s">
        <v>26</v>
      </c>
      <c r="C870">
        <v>39</v>
      </c>
      <c r="D870" t="s">
        <v>9281</v>
      </c>
      <c r="E870" t="s">
        <v>9282</v>
      </c>
      <c r="F870" t="s">
        <v>26</v>
      </c>
    </row>
    <row r="871" spans="1:8">
      <c r="A871" t="s">
        <v>241</v>
      </c>
      <c r="B871" t="s">
        <v>26</v>
      </c>
      <c r="C871">
        <v>39</v>
      </c>
      <c r="D871" t="s">
        <v>9283</v>
      </c>
      <c r="E871" t="s">
        <v>9284</v>
      </c>
      <c r="F871" t="s">
        <v>26</v>
      </c>
      <c r="H871" t="s">
        <v>9285</v>
      </c>
    </row>
    <row r="872" spans="1:8">
      <c r="A872" t="s">
        <v>241</v>
      </c>
      <c r="B872" t="s">
        <v>26</v>
      </c>
      <c r="C872">
        <v>39</v>
      </c>
      <c r="D872" t="s">
        <v>9286</v>
      </c>
      <c r="E872" t="s">
        <v>9287</v>
      </c>
      <c r="G872" t="s">
        <v>9288</v>
      </c>
      <c r="H872" t="s">
        <v>9289</v>
      </c>
    </row>
    <row r="873" spans="1:8">
      <c r="A873" t="s">
        <v>242</v>
      </c>
      <c r="B873" t="s">
        <v>43</v>
      </c>
      <c r="C873">
        <v>39</v>
      </c>
      <c r="D873" t="s">
        <v>13051</v>
      </c>
      <c r="E873" t="s">
        <v>13052</v>
      </c>
      <c r="F873" t="s">
        <v>43</v>
      </c>
      <c r="G873" t="s">
        <v>13053</v>
      </c>
      <c r="H873" t="s">
        <v>13054</v>
      </c>
    </row>
    <row r="874" spans="1:8">
      <c r="A874" t="s">
        <v>241</v>
      </c>
      <c r="B874" t="s">
        <v>43</v>
      </c>
      <c r="C874">
        <v>39</v>
      </c>
      <c r="D874" t="s">
        <v>13055</v>
      </c>
      <c r="E874" t="s">
        <v>13056</v>
      </c>
      <c r="G874" t="s">
        <v>13057</v>
      </c>
      <c r="H874" t="s">
        <v>13058</v>
      </c>
    </row>
    <row r="875" spans="1:8">
      <c r="A875" t="s">
        <v>242</v>
      </c>
      <c r="B875" t="s">
        <v>146</v>
      </c>
      <c r="C875">
        <v>39</v>
      </c>
      <c r="D875" t="s">
        <v>13252</v>
      </c>
      <c r="E875" t="s">
        <v>13253</v>
      </c>
      <c r="G875" t="s">
        <v>13254</v>
      </c>
      <c r="H875" t="s">
        <v>13255</v>
      </c>
    </row>
    <row r="876" spans="1:8">
      <c r="A876" t="s">
        <v>242</v>
      </c>
      <c r="B876" t="s">
        <v>146</v>
      </c>
      <c r="C876">
        <v>39</v>
      </c>
      <c r="D876" t="s">
        <v>13256</v>
      </c>
      <c r="E876" t="s">
        <v>13257</v>
      </c>
      <c r="F876" t="s">
        <v>146</v>
      </c>
      <c r="G876" t="s">
        <v>13258</v>
      </c>
      <c r="H876" t="s">
        <v>13259</v>
      </c>
    </row>
    <row r="877" spans="1:8">
      <c r="A877" t="s">
        <v>241</v>
      </c>
      <c r="B877" t="s">
        <v>146</v>
      </c>
      <c r="C877">
        <v>39</v>
      </c>
      <c r="D877" t="s">
        <v>13260</v>
      </c>
      <c r="E877" t="s">
        <v>13261</v>
      </c>
      <c r="F877" t="s">
        <v>146</v>
      </c>
      <c r="H877" t="s">
        <v>13262</v>
      </c>
    </row>
    <row r="878" spans="1:8">
      <c r="A878" t="s">
        <v>241</v>
      </c>
      <c r="B878" t="s">
        <v>146</v>
      </c>
      <c r="C878">
        <v>39</v>
      </c>
      <c r="D878" t="s">
        <v>13263</v>
      </c>
      <c r="E878" t="s">
        <v>13264</v>
      </c>
      <c r="H878" t="s">
        <v>13265</v>
      </c>
    </row>
    <row r="879" spans="1:8">
      <c r="A879" t="s">
        <v>241</v>
      </c>
      <c r="B879" t="s">
        <v>146</v>
      </c>
      <c r="C879">
        <v>39</v>
      </c>
      <c r="D879" t="s">
        <v>13266</v>
      </c>
      <c r="E879" t="s">
        <v>13267</v>
      </c>
      <c r="H879" t="s">
        <v>13268</v>
      </c>
    </row>
    <row r="880" spans="1:8">
      <c r="A880" t="s">
        <v>243</v>
      </c>
      <c r="B880" t="s">
        <v>146</v>
      </c>
      <c r="C880">
        <v>39</v>
      </c>
      <c r="D880" t="s">
        <v>13269</v>
      </c>
      <c r="E880" t="s">
        <v>13270</v>
      </c>
      <c r="G880" t="s">
        <v>13271</v>
      </c>
      <c r="H880" t="s">
        <v>13272</v>
      </c>
    </row>
    <row r="881" spans="1:8">
      <c r="A881" t="s">
        <v>241</v>
      </c>
      <c r="B881" t="s">
        <v>146</v>
      </c>
      <c r="C881">
        <v>39</v>
      </c>
      <c r="D881" t="s">
        <v>13273</v>
      </c>
      <c r="E881" t="s">
        <v>13274</v>
      </c>
      <c r="H881" t="s">
        <v>13275</v>
      </c>
    </row>
    <row r="882" spans="1:8">
      <c r="A882" t="s">
        <v>240</v>
      </c>
      <c r="B882" t="s">
        <v>146</v>
      </c>
      <c r="C882">
        <v>39</v>
      </c>
      <c r="D882" t="s">
        <v>13276</v>
      </c>
      <c r="E882" t="s">
        <v>13277</v>
      </c>
      <c r="F882" t="s">
        <v>146</v>
      </c>
      <c r="G882" t="s">
        <v>13278</v>
      </c>
      <c r="H882" t="s">
        <v>13279</v>
      </c>
    </row>
    <row r="883" spans="1:8">
      <c r="A883" t="s">
        <v>244</v>
      </c>
      <c r="B883" t="s">
        <v>146</v>
      </c>
      <c r="C883">
        <v>39</v>
      </c>
      <c r="D883" t="s">
        <v>1282</v>
      </c>
      <c r="E883" t="s">
        <v>13280</v>
      </c>
      <c r="F883" t="s">
        <v>146</v>
      </c>
    </row>
    <row r="884" spans="1:8">
      <c r="A884" t="s">
        <v>239</v>
      </c>
      <c r="B884" t="s">
        <v>60</v>
      </c>
      <c r="C884">
        <v>39</v>
      </c>
      <c r="D884" t="s">
        <v>19370</v>
      </c>
      <c r="E884" t="s">
        <v>19371</v>
      </c>
      <c r="F884" t="s">
        <v>60</v>
      </c>
      <c r="H884" t="s">
        <v>19372</v>
      </c>
    </row>
    <row r="885" spans="1:8">
      <c r="A885" t="s">
        <v>242</v>
      </c>
      <c r="B885" t="s">
        <v>60</v>
      </c>
      <c r="C885">
        <v>39</v>
      </c>
      <c r="D885" t="s">
        <v>19373</v>
      </c>
      <c r="E885" t="s">
        <v>19374</v>
      </c>
      <c r="F885" t="s">
        <v>19375</v>
      </c>
      <c r="G885" t="s">
        <v>19376</v>
      </c>
      <c r="H885" t="s">
        <v>19377</v>
      </c>
    </row>
    <row r="886" spans="1:8">
      <c r="A886" t="s">
        <v>240</v>
      </c>
      <c r="B886" t="s">
        <v>60</v>
      </c>
      <c r="C886">
        <v>39</v>
      </c>
      <c r="D886" t="s">
        <v>19378</v>
      </c>
      <c r="E886" t="s">
        <v>19379</v>
      </c>
      <c r="F886" t="s">
        <v>19380</v>
      </c>
      <c r="G886" t="s">
        <v>19381</v>
      </c>
      <c r="H886" t="s">
        <v>19382</v>
      </c>
    </row>
    <row r="887" spans="1:8">
      <c r="A887" t="s">
        <v>239</v>
      </c>
      <c r="B887" t="s">
        <v>60</v>
      </c>
      <c r="C887">
        <v>39</v>
      </c>
      <c r="D887" t="s">
        <v>19383</v>
      </c>
      <c r="E887" t="s">
        <v>19384</v>
      </c>
      <c r="F887" t="s">
        <v>19385</v>
      </c>
      <c r="H887" t="s">
        <v>19386</v>
      </c>
    </row>
    <row r="888" spans="1:8">
      <c r="A888" t="s">
        <v>239</v>
      </c>
      <c r="B888" t="s">
        <v>60</v>
      </c>
      <c r="C888">
        <v>39</v>
      </c>
      <c r="D888" t="s">
        <v>19387</v>
      </c>
      <c r="E888" t="s">
        <v>19388</v>
      </c>
      <c r="H888" t="s">
        <v>19389</v>
      </c>
    </row>
    <row r="889" spans="1:8">
      <c r="A889" t="s">
        <v>241</v>
      </c>
      <c r="B889" t="s">
        <v>60</v>
      </c>
      <c r="C889">
        <v>39</v>
      </c>
      <c r="D889" t="s">
        <v>19390</v>
      </c>
      <c r="E889" t="s">
        <v>19391</v>
      </c>
      <c r="F889" t="s">
        <v>19392</v>
      </c>
      <c r="G889" t="s">
        <v>19393</v>
      </c>
      <c r="H889" t="s">
        <v>19394</v>
      </c>
    </row>
    <row r="890" spans="1:8">
      <c r="A890" t="s">
        <v>241</v>
      </c>
      <c r="B890" t="s">
        <v>60</v>
      </c>
      <c r="C890">
        <v>39</v>
      </c>
      <c r="D890" t="s">
        <v>19395</v>
      </c>
      <c r="E890" t="s">
        <v>19396</v>
      </c>
      <c r="F890" t="s">
        <v>19397</v>
      </c>
      <c r="G890" t="s">
        <v>19398</v>
      </c>
      <c r="H890" t="s">
        <v>19399</v>
      </c>
    </row>
    <row r="891" spans="1:8">
      <c r="A891" t="s">
        <v>240</v>
      </c>
      <c r="B891" t="s">
        <v>60</v>
      </c>
      <c r="C891">
        <v>39</v>
      </c>
      <c r="D891" t="s">
        <v>19400</v>
      </c>
      <c r="E891" t="s">
        <v>19401</v>
      </c>
      <c r="F891" t="s">
        <v>19402</v>
      </c>
      <c r="G891" t="s">
        <v>19403</v>
      </c>
      <c r="H891" t="s">
        <v>19404</v>
      </c>
    </row>
    <row r="892" spans="1:8">
      <c r="A892" t="s">
        <v>241</v>
      </c>
      <c r="B892" t="s">
        <v>60</v>
      </c>
      <c r="C892">
        <v>39</v>
      </c>
      <c r="D892" t="s">
        <v>10133</v>
      </c>
      <c r="E892" t="s">
        <v>19405</v>
      </c>
      <c r="F892" t="s">
        <v>19402</v>
      </c>
      <c r="H892" t="s">
        <v>19406</v>
      </c>
    </row>
    <row r="893" spans="1:8">
      <c r="A893" t="s">
        <v>241</v>
      </c>
      <c r="B893" t="s">
        <v>60</v>
      </c>
      <c r="C893">
        <v>39</v>
      </c>
      <c r="D893" t="s">
        <v>19407</v>
      </c>
      <c r="E893" t="s">
        <v>19408</v>
      </c>
      <c r="F893" t="s">
        <v>19409</v>
      </c>
      <c r="H893" t="s">
        <v>19410</v>
      </c>
    </row>
    <row r="894" spans="1:8">
      <c r="A894" t="s">
        <v>241</v>
      </c>
      <c r="B894" t="s">
        <v>60</v>
      </c>
      <c r="C894">
        <v>39</v>
      </c>
      <c r="D894" t="s">
        <v>19411</v>
      </c>
      <c r="E894" t="s">
        <v>19412</v>
      </c>
      <c r="F894" t="s">
        <v>19413</v>
      </c>
      <c r="G894" t="s">
        <v>19414</v>
      </c>
      <c r="H894" t="s">
        <v>19415</v>
      </c>
    </row>
    <row r="895" spans="1:8">
      <c r="A895" t="s">
        <v>241</v>
      </c>
      <c r="B895" t="s">
        <v>60</v>
      </c>
      <c r="C895">
        <v>39</v>
      </c>
      <c r="D895" t="s">
        <v>19416</v>
      </c>
      <c r="E895" t="s">
        <v>19417</v>
      </c>
      <c r="F895" t="s">
        <v>19402</v>
      </c>
      <c r="G895" t="s">
        <v>19418</v>
      </c>
      <c r="H895" t="s">
        <v>19419</v>
      </c>
    </row>
    <row r="896" spans="1:8">
      <c r="A896" t="s">
        <v>239</v>
      </c>
      <c r="B896" t="s">
        <v>60</v>
      </c>
      <c r="C896">
        <v>39</v>
      </c>
      <c r="D896" t="s">
        <v>19420</v>
      </c>
      <c r="E896" t="s">
        <v>19384</v>
      </c>
      <c r="F896" t="s">
        <v>19421</v>
      </c>
      <c r="H896" t="s">
        <v>19422</v>
      </c>
    </row>
    <row r="897" spans="1:8">
      <c r="A897" t="s">
        <v>241</v>
      </c>
      <c r="B897" t="s">
        <v>60</v>
      </c>
      <c r="C897">
        <v>39</v>
      </c>
      <c r="D897" t="s">
        <v>19423</v>
      </c>
      <c r="E897" t="s">
        <v>19424</v>
      </c>
      <c r="F897" t="s">
        <v>19425</v>
      </c>
      <c r="H897" t="s">
        <v>19426</v>
      </c>
    </row>
    <row r="898" spans="1:8">
      <c r="A898" t="s">
        <v>239</v>
      </c>
      <c r="B898" t="s">
        <v>60</v>
      </c>
      <c r="C898">
        <v>39</v>
      </c>
      <c r="D898" t="s">
        <v>19427</v>
      </c>
      <c r="E898" t="s">
        <v>19428</v>
      </c>
      <c r="F898" t="s">
        <v>60</v>
      </c>
      <c r="H898" t="s">
        <v>19429</v>
      </c>
    </row>
    <row r="899" spans="1:8">
      <c r="A899" t="s">
        <v>243</v>
      </c>
      <c r="B899" t="s">
        <v>60</v>
      </c>
      <c r="C899">
        <v>39</v>
      </c>
      <c r="D899" t="s">
        <v>19430</v>
      </c>
      <c r="E899" t="s">
        <v>19059</v>
      </c>
      <c r="F899" t="s">
        <v>19431</v>
      </c>
      <c r="H899" t="s">
        <v>19382</v>
      </c>
    </row>
    <row r="900" spans="1:8">
      <c r="A900" t="s">
        <v>250</v>
      </c>
      <c r="B900" t="s">
        <v>118</v>
      </c>
      <c r="C900">
        <v>40</v>
      </c>
      <c r="D900" t="s">
        <v>3729</v>
      </c>
      <c r="E900" t="s">
        <v>3730</v>
      </c>
      <c r="F900" t="s">
        <v>118</v>
      </c>
      <c r="G900" t="s">
        <v>3731</v>
      </c>
    </row>
    <row r="901" spans="1:8">
      <c r="A901" t="s">
        <v>242</v>
      </c>
      <c r="B901" t="s">
        <v>118</v>
      </c>
      <c r="C901">
        <v>40</v>
      </c>
      <c r="D901" t="s">
        <v>3732</v>
      </c>
      <c r="E901" t="s">
        <v>3733</v>
      </c>
      <c r="H901" t="s">
        <v>3734</v>
      </c>
    </row>
    <row r="902" spans="1:8">
      <c r="A902" t="s">
        <v>241</v>
      </c>
      <c r="B902" t="s">
        <v>118</v>
      </c>
      <c r="C902">
        <v>40</v>
      </c>
      <c r="D902" t="s">
        <v>3735</v>
      </c>
      <c r="E902" t="s">
        <v>3736</v>
      </c>
      <c r="F902" t="s">
        <v>118</v>
      </c>
      <c r="H902" t="s">
        <v>3737</v>
      </c>
    </row>
    <row r="903" spans="1:8">
      <c r="A903" t="s">
        <v>241</v>
      </c>
      <c r="B903" t="s">
        <v>118</v>
      </c>
      <c r="C903">
        <v>40</v>
      </c>
      <c r="D903" t="s">
        <v>3738</v>
      </c>
      <c r="E903" t="s">
        <v>3739</v>
      </c>
      <c r="H903" t="s">
        <v>3740</v>
      </c>
    </row>
    <row r="904" spans="1:8">
      <c r="A904" t="s">
        <v>241</v>
      </c>
      <c r="B904" t="s">
        <v>118</v>
      </c>
      <c r="C904">
        <v>40</v>
      </c>
      <c r="D904" t="s">
        <v>3741</v>
      </c>
      <c r="E904" t="s">
        <v>3742</v>
      </c>
      <c r="F904" t="s">
        <v>118</v>
      </c>
      <c r="G904" t="s">
        <v>3743</v>
      </c>
      <c r="H904" t="s">
        <v>3744</v>
      </c>
    </row>
    <row r="905" spans="1:8">
      <c r="A905" t="s">
        <v>241</v>
      </c>
      <c r="B905" t="s">
        <v>118</v>
      </c>
      <c r="C905">
        <v>40</v>
      </c>
      <c r="D905" t="s">
        <v>3745</v>
      </c>
      <c r="E905" t="s">
        <v>3746</v>
      </c>
    </row>
    <row r="906" spans="1:8">
      <c r="A906" t="s">
        <v>241</v>
      </c>
      <c r="B906" t="s">
        <v>118</v>
      </c>
      <c r="C906">
        <v>40</v>
      </c>
      <c r="D906" t="s">
        <v>3747</v>
      </c>
      <c r="E906" t="s">
        <v>3748</v>
      </c>
      <c r="H906" t="s">
        <v>3749</v>
      </c>
    </row>
    <row r="907" spans="1:8">
      <c r="A907" t="s">
        <v>241</v>
      </c>
      <c r="B907" t="s">
        <v>118</v>
      </c>
      <c r="C907">
        <v>40</v>
      </c>
      <c r="D907" t="s">
        <v>3750</v>
      </c>
      <c r="E907" t="s">
        <v>3751</v>
      </c>
      <c r="G907" t="s">
        <v>3752</v>
      </c>
      <c r="H907" t="s">
        <v>3753</v>
      </c>
    </row>
    <row r="908" spans="1:8">
      <c r="A908" t="s">
        <v>241</v>
      </c>
      <c r="B908" t="s">
        <v>118</v>
      </c>
      <c r="C908">
        <v>40</v>
      </c>
      <c r="D908" t="s">
        <v>3754</v>
      </c>
      <c r="E908" t="s">
        <v>3755</v>
      </c>
      <c r="G908" t="s">
        <v>3756</v>
      </c>
      <c r="H908" t="s">
        <v>3757</v>
      </c>
    </row>
    <row r="909" spans="1:8">
      <c r="A909" t="s">
        <v>248</v>
      </c>
      <c r="B909" t="s">
        <v>118</v>
      </c>
      <c r="C909">
        <v>40</v>
      </c>
      <c r="D909" t="s">
        <v>3758</v>
      </c>
      <c r="E909" t="s">
        <v>3759</v>
      </c>
      <c r="G909" t="s">
        <v>3760</v>
      </c>
      <c r="H909" t="s">
        <v>3761</v>
      </c>
    </row>
    <row r="910" spans="1:8">
      <c r="A910" t="s">
        <v>241</v>
      </c>
      <c r="B910" t="s">
        <v>118</v>
      </c>
      <c r="C910">
        <v>40</v>
      </c>
      <c r="D910" t="s">
        <v>3762</v>
      </c>
      <c r="E910" t="s">
        <v>3763</v>
      </c>
      <c r="H910" t="s">
        <v>3764</v>
      </c>
    </row>
    <row r="911" spans="1:8">
      <c r="A911" t="s">
        <v>241</v>
      </c>
      <c r="B911" t="s">
        <v>118</v>
      </c>
      <c r="C911">
        <v>40</v>
      </c>
      <c r="D911" t="s">
        <v>3765</v>
      </c>
      <c r="E911" t="s">
        <v>3748</v>
      </c>
      <c r="G911" t="s">
        <v>3766</v>
      </c>
      <c r="H911" t="s">
        <v>3767</v>
      </c>
    </row>
    <row r="912" spans="1:8">
      <c r="A912" t="s">
        <v>241</v>
      </c>
      <c r="B912" t="s">
        <v>118</v>
      </c>
      <c r="C912">
        <v>40</v>
      </c>
      <c r="D912" t="s">
        <v>3768</v>
      </c>
      <c r="E912" t="s">
        <v>3769</v>
      </c>
      <c r="G912" t="s">
        <v>3770</v>
      </c>
      <c r="H912" t="s">
        <v>3771</v>
      </c>
    </row>
    <row r="913" spans="1:8">
      <c r="A913" t="s">
        <v>242</v>
      </c>
      <c r="B913" t="s">
        <v>118</v>
      </c>
      <c r="C913">
        <v>40</v>
      </c>
      <c r="D913" t="s">
        <v>3772</v>
      </c>
      <c r="E913" t="s">
        <v>3773</v>
      </c>
      <c r="H913" t="s">
        <v>3774</v>
      </c>
    </row>
    <row r="914" spans="1:8">
      <c r="A914" t="s">
        <v>241</v>
      </c>
      <c r="B914" t="s">
        <v>118</v>
      </c>
      <c r="C914">
        <v>40</v>
      </c>
      <c r="D914" t="s">
        <v>3775</v>
      </c>
      <c r="E914" t="s">
        <v>3776</v>
      </c>
      <c r="H914" t="s">
        <v>3777</v>
      </c>
    </row>
    <row r="915" spans="1:8">
      <c r="A915" t="s">
        <v>241</v>
      </c>
      <c r="B915" t="s">
        <v>118</v>
      </c>
      <c r="C915">
        <v>40</v>
      </c>
      <c r="D915" t="s">
        <v>3778</v>
      </c>
      <c r="E915" t="s">
        <v>3779</v>
      </c>
      <c r="H915" t="s">
        <v>3780</v>
      </c>
    </row>
    <row r="916" spans="1:8">
      <c r="A916" t="s">
        <v>241</v>
      </c>
      <c r="B916" t="s">
        <v>118</v>
      </c>
      <c r="C916">
        <v>40</v>
      </c>
      <c r="D916" t="s">
        <v>3781</v>
      </c>
      <c r="E916" t="s">
        <v>3782</v>
      </c>
      <c r="F916" t="s">
        <v>118</v>
      </c>
      <c r="G916" t="s">
        <v>3783</v>
      </c>
      <c r="H916" t="s">
        <v>3784</v>
      </c>
    </row>
    <row r="917" spans="1:8">
      <c r="A917" t="s">
        <v>240</v>
      </c>
      <c r="B917" t="s">
        <v>118</v>
      </c>
      <c r="C917">
        <v>40</v>
      </c>
      <c r="D917" t="s">
        <v>3785</v>
      </c>
      <c r="E917" t="s">
        <v>3786</v>
      </c>
      <c r="F917" t="s">
        <v>118</v>
      </c>
      <c r="G917" t="s">
        <v>3787</v>
      </c>
      <c r="H917" t="s">
        <v>3788</v>
      </c>
    </row>
    <row r="918" spans="1:8">
      <c r="A918" t="s">
        <v>240</v>
      </c>
      <c r="B918" t="s">
        <v>118</v>
      </c>
      <c r="C918">
        <v>40</v>
      </c>
      <c r="D918" t="s">
        <v>3789</v>
      </c>
      <c r="E918" t="s">
        <v>3790</v>
      </c>
      <c r="F918" t="s">
        <v>118</v>
      </c>
      <c r="G918" t="s">
        <v>3791</v>
      </c>
      <c r="H918" t="s">
        <v>3792</v>
      </c>
    </row>
    <row r="919" spans="1:8">
      <c r="A919" t="s">
        <v>240</v>
      </c>
      <c r="B919" t="s">
        <v>118</v>
      </c>
      <c r="C919">
        <v>40</v>
      </c>
      <c r="D919" t="s">
        <v>3793</v>
      </c>
      <c r="E919" t="s">
        <v>3794</v>
      </c>
      <c r="F919" t="s">
        <v>118</v>
      </c>
      <c r="G919" t="s">
        <v>3795</v>
      </c>
      <c r="H919" t="s">
        <v>3796</v>
      </c>
    </row>
    <row r="920" spans="1:8">
      <c r="A920" t="s">
        <v>240</v>
      </c>
      <c r="B920" t="s">
        <v>118</v>
      </c>
      <c r="C920">
        <v>40</v>
      </c>
      <c r="D920" t="s">
        <v>3797</v>
      </c>
      <c r="E920" t="s">
        <v>3798</v>
      </c>
      <c r="F920" t="s">
        <v>118</v>
      </c>
      <c r="G920" t="s">
        <v>3799</v>
      </c>
      <c r="H920" t="s">
        <v>3800</v>
      </c>
    </row>
    <row r="921" spans="1:8">
      <c r="A921" t="s">
        <v>240</v>
      </c>
      <c r="B921" t="s">
        <v>118</v>
      </c>
      <c r="C921">
        <v>40</v>
      </c>
      <c r="D921" t="s">
        <v>3801</v>
      </c>
      <c r="E921" t="s">
        <v>3802</v>
      </c>
      <c r="F921" t="s">
        <v>118</v>
      </c>
      <c r="G921" t="s">
        <v>3803</v>
      </c>
      <c r="H921" t="s">
        <v>3804</v>
      </c>
    </row>
    <row r="922" spans="1:8">
      <c r="A922" t="s">
        <v>240</v>
      </c>
      <c r="B922" t="s">
        <v>118</v>
      </c>
      <c r="C922">
        <v>40</v>
      </c>
      <c r="D922" t="s">
        <v>3805</v>
      </c>
      <c r="E922" t="s">
        <v>3806</v>
      </c>
      <c r="F922" t="s">
        <v>118</v>
      </c>
      <c r="G922" t="s">
        <v>3807</v>
      </c>
      <c r="H922" t="s">
        <v>3808</v>
      </c>
    </row>
    <row r="923" spans="1:8">
      <c r="A923" t="s">
        <v>240</v>
      </c>
      <c r="B923" t="s">
        <v>118</v>
      </c>
      <c r="C923">
        <v>40</v>
      </c>
      <c r="D923" t="s">
        <v>3809</v>
      </c>
      <c r="E923" t="s">
        <v>3810</v>
      </c>
      <c r="F923" t="s">
        <v>118</v>
      </c>
      <c r="G923" t="s">
        <v>3811</v>
      </c>
      <c r="H923" t="s">
        <v>3812</v>
      </c>
    </row>
    <row r="924" spans="1:8">
      <c r="A924" t="s">
        <v>241</v>
      </c>
      <c r="B924" t="s">
        <v>118</v>
      </c>
      <c r="C924">
        <v>40</v>
      </c>
      <c r="D924" t="s">
        <v>3813</v>
      </c>
      <c r="E924" t="s">
        <v>3814</v>
      </c>
      <c r="H924" t="s">
        <v>3815</v>
      </c>
    </row>
    <row r="925" spans="1:8">
      <c r="A925" t="s">
        <v>240</v>
      </c>
      <c r="B925" t="s">
        <v>118</v>
      </c>
      <c r="C925">
        <v>40</v>
      </c>
      <c r="D925" t="s">
        <v>3816</v>
      </c>
      <c r="E925" t="s">
        <v>3817</v>
      </c>
      <c r="F925" t="s">
        <v>118</v>
      </c>
      <c r="H925" t="s">
        <v>3818</v>
      </c>
    </row>
    <row r="926" spans="1:8">
      <c r="A926" t="s">
        <v>241</v>
      </c>
      <c r="B926" t="s">
        <v>118</v>
      </c>
      <c r="C926">
        <v>40</v>
      </c>
      <c r="D926" t="s">
        <v>3819</v>
      </c>
      <c r="E926" t="s">
        <v>3820</v>
      </c>
      <c r="F926" t="s">
        <v>3821</v>
      </c>
      <c r="G926" t="s">
        <v>3822</v>
      </c>
      <c r="H926" t="s">
        <v>3823</v>
      </c>
    </row>
    <row r="927" spans="1:8">
      <c r="A927" t="s">
        <v>241</v>
      </c>
      <c r="B927" t="s">
        <v>118</v>
      </c>
      <c r="C927">
        <v>40</v>
      </c>
      <c r="D927" t="s">
        <v>3824</v>
      </c>
      <c r="E927" t="s">
        <v>3825</v>
      </c>
      <c r="H927" t="s">
        <v>3826</v>
      </c>
    </row>
    <row r="928" spans="1:8">
      <c r="A928" t="s">
        <v>241</v>
      </c>
      <c r="B928" t="s">
        <v>118</v>
      </c>
      <c r="C928">
        <v>40</v>
      </c>
      <c r="D928" t="s">
        <v>3827</v>
      </c>
      <c r="H928" t="s">
        <v>3828</v>
      </c>
    </row>
    <row r="929" spans="1:8">
      <c r="A929" t="s">
        <v>241</v>
      </c>
      <c r="B929" t="s">
        <v>118</v>
      </c>
      <c r="C929">
        <v>40</v>
      </c>
      <c r="D929" t="s">
        <v>3829</v>
      </c>
      <c r="E929" t="s">
        <v>3830</v>
      </c>
      <c r="F929" t="s">
        <v>118</v>
      </c>
      <c r="H929" t="s">
        <v>3828</v>
      </c>
    </row>
    <row r="930" spans="1:8">
      <c r="A930" t="s">
        <v>241</v>
      </c>
      <c r="B930" t="s">
        <v>118</v>
      </c>
      <c r="C930">
        <v>40</v>
      </c>
      <c r="D930" t="s">
        <v>3831</v>
      </c>
      <c r="E930" t="s">
        <v>3832</v>
      </c>
      <c r="F930" t="s">
        <v>118</v>
      </c>
      <c r="H930" t="s">
        <v>3833</v>
      </c>
    </row>
    <row r="931" spans="1:8">
      <c r="A931" t="s">
        <v>241</v>
      </c>
      <c r="B931" t="s">
        <v>118</v>
      </c>
      <c r="C931">
        <v>40</v>
      </c>
      <c r="D931" t="s">
        <v>3834</v>
      </c>
      <c r="E931" t="s">
        <v>3835</v>
      </c>
      <c r="F931" t="s">
        <v>118</v>
      </c>
      <c r="H931" t="s">
        <v>3836</v>
      </c>
    </row>
    <row r="932" spans="1:8">
      <c r="A932" t="s">
        <v>241</v>
      </c>
      <c r="B932" t="s">
        <v>118</v>
      </c>
      <c r="C932">
        <v>40</v>
      </c>
      <c r="D932" t="s">
        <v>3837</v>
      </c>
      <c r="E932" t="s">
        <v>3838</v>
      </c>
      <c r="F932" t="s">
        <v>118</v>
      </c>
      <c r="H932" t="s">
        <v>3839</v>
      </c>
    </row>
    <row r="933" spans="1:8">
      <c r="A933" t="s">
        <v>243</v>
      </c>
      <c r="B933" t="s">
        <v>118</v>
      </c>
      <c r="C933">
        <v>40</v>
      </c>
      <c r="D933" t="s">
        <v>3840</v>
      </c>
      <c r="E933" t="s">
        <v>3841</v>
      </c>
      <c r="F933" t="s">
        <v>118</v>
      </c>
      <c r="H933" t="s">
        <v>3842</v>
      </c>
    </row>
    <row r="934" spans="1:8">
      <c r="A934" t="s">
        <v>241</v>
      </c>
      <c r="B934" t="s">
        <v>118</v>
      </c>
      <c r="C934">
        <v>40</v>
      </c>
      <c r="D934" t="s">
        <v>3843</v>
      </c>
      <c r="E934" t="s">
        <v>3844</v>
      </c>
      <c r="F934" t="s">
        <v>118</v>
      </c>
      <c r="H934" t="s">
        <v>3845</v>
      </c>
    </row>
    <row r="935" spans="1:8">
      <c r="A935" t="s">
        <v>241</v>
      </c>
      <c r="B935" t="s">
        <v>118</v>
      </c>
      <c r="C935">
        <v>40</v>
      </c>
      <c r="D935" t="s">
        <v>3846</v>
      </c>
      <c r="E935" t="s">
        <v>3847</v>
      </c>
      <c r="F935" t="s">
        <v>118</v>
      </c>
      <c r="G935" t="s">
        <v>3848</v>
      </c>
      <c r="H935" t="s">
        <v>3849</v>
      </c>
    </row>
    <row r="936" spans="1:8">
      <c r="A936" t="s">
        <v>241</v>
      </c>
      <c r="B936" t="s">
        <v>118</v>
      </c>
      <c r="C936">
        <v>40</v>
      </c>
      <c r="D936" t="s">
        <v>3850</v>
      </c>
      <c r="E936" t="s">
        <v>3851</v>
      </c>
      <c r="F936" t="s">
        <v>118</v>
      </c>
    </row>
    <row r="937" spans="1:8">
      <c r="A937" t="s">
        <v>250</v>
      </c>
      <c r="B937" t="s">
        <v>118</v>
      </c>
      <c r="C937">
        <v>40</v>
      </c>
      <c r="D937" t="s">
        <v>3852</v>
      </c>
      <c r="E937" t="s">
        <v>3853</v>
      </c>
      <c r="H937" t="s">
        <v>3854</v>
      </c>
    </row>
    <row r="938" spans="1:8">
      <c r="A938" t="s">
        <v>241</v>
      </c>
      <c r="B938" t="s">
        <v>118</v>
      </c>
      <c r="C938">
        <v>40</v>
      </c>
      <c r="D938" t="s">
        <v>3855</v>
      </c>
      <c r="E938" t="s">
        <v>3856</v>
      </c>
      <c r="G938" t="s">
        <v>3857</v>
      </c>
      <c r="H938" t="s">
        <v>3858</v>
      </c>
    </row>
    <row r="939" spans="1:8">
      <c r="A939" t="s">
        <v>250</v>
      </c>
      <c r="B939" t="s">
        <v>118</v>
      </c>
      <c r="C939">
        <v>40</v>
      </c>
      <c r="D939" t="s">
        <v>3859</v>
      </c>
    </row>
    <row r="940" spans="1:8">
      <c r="A940" t="s">
        <v>241</v>
      </c>
      <c r="B940" t="s">
        <v>118</v>
      </c>
      <c r="C940">
        <v>40</v>
      </c>
      <c r="D940" t="s">
        <v>3860</v>
      </c>
      <c r="E940" t="s">
        <v>3861</v>
      </c>
      <c r="F940" t="s">
        <v>118</v>
      </c>
      <c r="G940" t="s">
        <v>3862</v>
      </c>
      <c r="H940" t="s">
        <v>3863</v>
      </c>
    </row>
    <row r="941" spans="1:8">
      <c r="A941" t="s">
        <v>241</v>
      </c>
      <c r="B941" t="s">
        <v>118</v>
      </c>
      <c r="C941">
        <v>40</v>
      </c>
      <c r="D941" t="s">
        <v>3864</v>
      </c>
      <c r="E941" t="s">
        <v>3865</v>
      </c>
      <c r="F941" t="s">
        <v>118</v>
      </c>
      <c r="G941" t="s">
        <v>3866</v>
      </c>
      <c r="H941" t="s">
        <v>3867</v>
      </c>
    </row>
    <row r="942" spans="1:8">
      <c r="A942" t="s">
        <v>241</v>
      </c>
      <c r="B942" t="s">
        <v>118</v>
      </c>
      <c r="C942">
        <v>40</v>
      </c>
      <c r="D942" t="s">
        <v>3868</v>
      </c>
      <c r="E942" t="s">
        <v>3869</v>
      </c>
      <c r="F942" t="s">
        <v>118</v>
      </c>
      <c r="G942" t="s">
        <v>3870</v>
      </c>
      <c r="H942" t="s">
        <v>3871</v>
      </c>
    </row>
    <row r="943" spans="1:8">
      <c r="A943" t="s">
        <v>238</v>
      </c>
      <c r="B943" t="s">
        <v>118</v>
      </c>
      <c r="C943">
        <v>40</v>
      </c>
      <c r="D943" t="s">
        <v>3872</v>
      </c>
      <c r="E943" t="s">
        <v>3873</v>
      </c>
      <c r="F943" t="s">
        <v>118</v>
      </c>
      <c r="G943" t="s">
        <v>3874</v>
      </c>
      <c r="H943" t="s">
        <v>3875</v>
      </c>
    </row>
    <row r="944" spans="1:8">
      <c r="A944" t="s">
        <v>241</v>
      </c>
      <c r="B944" t="s">
        <v>118</v>
      </c>
      <c r="C944">
        <v>40</v>
      </c>
      <c r="D944" t="s">
        <v>3876</v>
      </c>
      <c r="E944" t="s">
        <v>3877</v>
      </c>
      <c r="H944" t="s">
        <v>3878</v>
      </c>
    </row>
    <row r="945" spans="1:8">
      <c r="A945" t="s">
        <v>241</v>
      </c>
      <c r="B945" t="s">
        <v>118</v>
      </c>
      <c r="C945">
        <v>40</v>
      </c>
      <c r="D945" t="s">
        <v>3879</v>
      </c>
      <c r="E945" t="s">
        <v>3880</v>
      </c>
      <c r="H945" t="s">
        <v>3881</v>
      </c>
    </row>
    <row r="946" spans="1:8">
      <c r="A946" t="s">
        <v>241</v>
      </c>
      <c r="B946" t="s">
        <v>118</v>
      </c>
      <c r="C946">
        <v>40</v>
      </c>
      <c r="D946" t="s">
        <v>3882</v>
      </c>
      <c r="E946" t="s">
        <v>3883</v>
      </c>
      <c r="F946" t="s">
        <v>822</v>
      </c>
      <c r="G946" t="s">
        <v>3884</v>
      </c>
      <c r="H946" t="s">
        <v>3885</v>
      </c>
    </row>
    <row r="947" spans="1:8">
      <c r="A947" t="s">
        <v>238</v>
      </c>
      <c r="B947" t="s">
        <v>118</v>
      </c>
      <c r="C947">
        <v>40</v>
      </c>
      <c r="D947" t="s">
        <v>3886</v>
      </c>
      <c r="E947" t="s">
        <v>3887</v>
      </c>
      <c r="G947" t="s">
        <v>3888</v>
      </c>
      <c r="H947" t="s">
        <v>3889</v>
      </c>
    </row>
    <row r="948" spans="1:8">
      <c r="A948" t="s">
        <v>241</v>
      </c>
      <c r="B948" t="s">
        <v>118</v>
      </c>
      <c r="C948">
        <v>40</v>
      </c>
      <c r="D948" t="s">
        <v>740</v>
      </c>
      <c r="E948" t="s">
        <v>3890</v>
      </c>
      <c r="G948" t="s">
        <v>3891</v>
      </c>
      <c r="H948" t="s">
        <v>3892</v>
      </c>
    </row>
    <row r="949" spans="1:8">
      <c r="A949" t="s">
        <v>241</v>
      </c>
      <c r="B949" t="s">
        <v>118</v>
      </c>
      <c r="C949">
        <v>40</v>
      </c>
      <c r="D949" t="s">
        <v>3893</v>
      </c>
      <c r="E949" t="s">
        <v>3894</v>
      </c>
      <c r="G949" t="s">
        <v>3895</v>
      </c>
      <c r="H949" t="s">
        <v>3896</v>
      </c>
    </row>
    <row r="950" spans="1:8">
      <c r="A950" t="s">
        <v>241</v>
      </c>
      <c r="B950" t="s">
        <v>118</v>
      </c>
      <c r="C950">
        <v>40</v>
      </c>
      <c r="D950" t="s">
        <v>3897</v>
      </c>
      <c r="E950" t="s">
        <v>3898</v>
      </c>
      <c r="F950" t="s">
        <v>118</v>
      </c>
      <c r="G950" t="s">
        <v>3899</v>
      </c>
      <c r="H950" t="s">
        <v>3900</v>
      </c>
    </row>
    <row r="951" spans="1:8">
      <c r="A951" t="s">
        <v>241</v>
      </c>
      <c r="B951" t="s">
        <v>118</v>
      </c>
      <c r="C951">
        <v>40</v>
      </c>
      <c r="D951" t="s">
        <v>3901</v>
      </c>
      <c r="E951" t="s">
        <v>3902</v>
      </c>
      <c r="G951" t="s">
        <v>3903</v>
      </c>
      <c r="H951" t="s">
        <v>3904</v>
      </c>
    </row>
    <row r="952" spans="1:8">
      <c r="A952" t="s">
        <v>240</v>
      </c>
      <c r="B952" t="s">
        <v>118</v>
      </c>
      <c r="C952">
        <v>40</v>
      </c>
      <c r="D952" t="s">
        <v>3905</v>
      </c>
      <c r="E952" t="s">
        <v>3906</v>
      </c>
      <c r="F952" t="s">
        <v>118</v>
      </c>
      <c r="G952" t="s">
        <v>3907</v>
      </c>
      <c r="H952" t="s">
        <v>3908</v>
      </c>
    </row>
    <row r="953" spans="1:8">
      <c r="A953" t="s">
        <v>250</v>
      </c>
      <c r="B953" t="s">
        <v>118</v>
      </c>
      <c r="C953">
        <v>40</v>
      </c>
      <c r="D953" t="s">
        <v>3909</v>
      </c>
      <c r="E953" t="s">
        <v>3910</v>
      </c>
      <c r="F953" t="s">
        <v>118</v>
      </c>
      <c r="G953" t="s">
        <v>3911</v>
      </c>
    </row>
    <row r="954" spans="1:8">
      <c r="A954" t="s">
        <v>250</v>
      </c>
      <c r="B954" t="s">
        <v>118</v>
      </c>
      <c r="C954">
        <v>40</v>
      </c>
      <c r="D954" t="s">
        <v>3912</v>
      </c>
      <c r="E954" t="s">
        <v>3913</v>
      </c>
      <c r="F954" t="s">
        <v>118</v>
      </c>
      <c r="H954" t="s">
        <v>3854</v>
      </c>
    </row>
    <row r="955" spans="1:8">
      <c r="A955" t="s">
        <v>250</v>
      </c>
      <c r="B955" t="s">
        <v>118</v>
      </c>
      <c r="C955">
        <v>40</v>
      </c>
      <c r="D955" t="s">
        <v>3914</v>
      </c>
      <c r="E955" t="s">
        <v>3915</v>
      </c>
      <c r="F955" t="s">
        <v>118</v>
      </c>
    </row>
    <row r="956" spans="1:8">
      <c r="A956" t="s">
        <v>250</v>
      </c>
      <c r="B956" t="s">
        <v>118</v>
      </c>
      <c r="C956">
        <v>40</v>
      </c>
      <c r="D956" t="s">
        <v>3916</v>
      </c>
      <c r="E956" t="s">
        <v>3917</v>
      </c>
      <c r="F956" t="s">
        <v>118</v>
      </c>
    </row>
    <row r="957" spans="1:8">
      <c r="A957" t="s">
        <v>250</v>
      </c>
      <c r="B957" t="s">
        <v>118</v>
      </c>
      <c r="C957">
        <v>40</v>
      </c>
      <c r="D957" t="s">
        <v>3918</v>
      </c>
      <c r="E957" t="s">
        <v>3919</v>
      </c>
      <c r="F957" t="s">
        <v>118</v>
      </c>
    </row>
    <row r="958" spans="1:8">
      <c r="A958" t="s">
        <v>250</v>
      </c>
      <c r="B958" t="s">
        <v>118</v>
      </c>
      <c r="C958">
        <v>40</v>
      </c>
      <c r="D958" t="s">
        <v>3920</v>
      </c>
      <c r="E958" t="s">
        <v>3921</v>
      </c>
      <c r="F958" t="s">
        <v>118</v>
      </c>
    </row>
    <row r="959" spans="1:8">
      <c r="A959" t="s">
        <v>250</v>
      </c>
      <c r="B959" t="s">
        <v>118</v>
      </c>
      <c r="C959">
        <v>40</v>
      </c>
      <c r="D959" t="s">
        <v>3922</v>
      </c>
      <c r="E959" t="s">
        <v>3923</v>
      </c>
      <c r="F959" t="s">
        <v>118</v>
      </c>
      <c r="G959" t="s">
        <v>3924</v>
      </c>
    </row>
    <row r="960" spans="1:8">
      <c r="A960" t="s">
        <v>250</v>
      </c>
      <c r="B960" t="s">
        <v>118</v>
      </c>
      <c r="C960">
        <v>40</v>
      </c>
      <c r="D960" t="s">
        <v>3925</v>
      </c>
      <c r="E960" t="s">
        <v>3921</v>
      </c>
      <c r="F960" t="s">
        <v>118</v>
      </c>
    </row>
    <row r="961" spans="1:8">
      <c r="A961" t="s">
        <v>250</v>
      </c>
      <c r="B961" t="s">
        <v>118</v>
      </c>
      <c r="C961">
        <v>40</v>
      </c>
      <c r="D961" t="s">
        <v>3926</v>
      </c>
      <c r="E961" t="s">
        <v>3927</v>
      </c>
      <c r="F961" t="s">
        <v>118</v>
      </c>
    </row>
    <row r="962" spans="1:8">
      <c r="A962" t="s">
        <v>250</v>
      </c>
      <c r="B962" t="s">
        <v>118</v>
      </c>
      <c r="C962">
        <v>40</v>
      </c>
      <c r="D962" t="s">
        <v>3928</v>
      </c>
      <c r="E962" t="s">
        <v>3929</v>
      </c>
      <c r="F962" t="s">
        <v>118</v>
      </c>
    </row>
    <row r="963" spans="1:8">
      <c r="A963" t="s">
        <v>250</v>
      </c>
      <c r="B963" t="s">
        <v>118</v>
      </c>
      <c r="C963">
        <v>40</v>
      </c>
      <c r="D963" t="s">
        <v>3930</v>
      </c>
      <c r="E963" t="s">
        <v>3931</v>
      </c>
      <c r="F963" t="s">
        <v>118</v>
      </c>
      <c r="G963" t="s">
        <v>3932</v>
      </c>
      <c r="H963" t="s">
        <v>3933</v>
      </c>
    </row>
    <row r="964" spans="1:8">
      <c r="A964" t="s">
        <v>250</v>
      </c>
      <c r="B964" t="s">
        <v>118</v>
      </c>
      <c r="C964">
        <v>40</v>
      </c>
      <c r="D964" t="s">
        <v>3934</v>
      </c>
      <c r="E964" t="s">
        <v>3935</v>
      </c>
      <c r="F964" t="s">
        <v>118</v>
      </c>
    </row>
    <row r="965" spans="1:8">
      <c r="A965" t="s">
        <v>243</v>
      </c>
      <c r="B965" t="s">
        <v>118</v>
      </c>
      <c r="C965">
        <v>40</v>
      </c>
      <c r="D965" t="s">
        <v>3936</v>
      </c>
      <c r="E965" t="s">
        <v>3937</v>
      </c>
      <c r="F965" t="s">
        <v>118</v>
      </c>
      <c r="G965" t="s">
        <v>3938</v>
      </c>
      <c r="H965" t="s">
        <v>3939</v>
      </c>
    </row>
    <row r="966" spans="1:8">
      <c r="A966" t="s">
        <v>242</v>
      </c>
      <c r="B966" t="s">
        <v>118</v>
      </c>
      <c r="C966">
        <v>40</v>
      </c>
      <c r="D966" t="s">
        <v>3940</v>
      </c>
      <c r="E966" t="s">
        <v>3941</v>
      </c>
      <c r="F966" t="s">
        <v>118</v>
      </c>
      <c r="G966" t="s">
        <v>3942</v>
      </c>
      <c r="H966" t="s">
        <v>3943</v>
      </c>
    </row>
    <row r="967" spans="1:8">
      <c r="A967" t="s">
        <v>241</v>
      </c>
      <c r="B967" t="s">
        <v>118</v>
      </c>
      <c r="C967">
        <v>40</v>
      </c>
      <c r="D967" t="s">
        <v>3944</v>
      </c>
      <c r="E967" t="s">
        <v>3945</v>
      </c>
      <c r="F967" t="s">
        <v>118</v>
      </c>
      <c r="G967" t="s">
        <v>3946</v>
      </c>
      <c r="H967" t="s">
        <v>3947</v>
      </c>
    </row>
    <row r="968" spans="1:8">
      <c r="A968" t="s">
        <v>241</v>
      </c>
      <c r="B968" t="s">
        <v>118</v>
      </c>
      <c r="C968">
        <v>40</v>
      </c>
      <c r="D968" t="s">
        <v>3948</v>
      </c>
      <c r="E968" t="s">
        <v>3949</v>
      </c>
      <c r="F968" t="s">
        <v>118</v>
      </c>
      <c r="G968" t="s">
        <v>3950</v>
      </c>
      <c r="H968" t="s">
        <v>3951</v>
      </c>
    </row>
    <row r="969" spans="1:8">
      <c r="A969" t="s">
        <v>241</v>
      </c>
      <c r="B969" t="s">
        <v>118</v>
      </c>
      <c r="C969">
        <v>40</v>
      </c>
      <c r="D969" t="s">
        <v>3952</v>
      </c>
      <c r="E969" t="s">
        <v>3953</v>
      </c>
      <c r="F969" t="s">
        <v>118</v>
      </c>
      <c r="H969" t="s">
        <v>3954</v>
      </c>
    </row>
    <row r="970" spans="1:8">
      <c r="A970" t="s">
        <v>241</v>
      </c>
      <c r="B970" t="s">
        <v>118</v>
      </c>
      <c r="C970">
        <v>40</v>
      </c>
      <c r="D970" t="s">
        <v>3955</v>
      </c>
      <c r="E970" t="s">
        <v>3956</v>
      </c>
      <c r="F970" t="s">
        <v>118</v>
      </c>
      <c r="H970" t="s">
        <v>3957</v>
      </c>
    </row>
    <row r="971" spans="1:8">
      <c r="A971" t="s">
        <v>241</v>
      </c>
      <c r="B971" t="s">
        <v>118</v>
      </c>
      <c r="C971">
        <v>40</v>
      </c>
      <c r="D971" t="s">
        <v>3958</v>
      </c>
      <c r="E971" t="s">
        <v>3959</v>
      </c>
      <c r="F971" t="s">
        <v>118</v>
      </c>
      <c r="H971" t="s">
        <v>3960</v>
      </c>
    </row>
    <row r="972" spans="1:8">
      <c r="A972" t="s">
        <v>241</v>
      </c>
      <c r="B972" t="s">
        <v>118</v>
      </c>
      <c r="C972">
        <v>40</v>
      </c>
      <c r="D972" t="s">
        <v>3961</v>
      </c>
      <c r="E972" t="s">
        <v>3962</v>
      </c>
      <c r="F972" t="s">
        <v>118</v>
      </c>
      <c r="G972" t="s">
        <v>3963</v>
      </c>
      <c r="H972" t="s">
        <v>3964</v>
      </c>
    </row>
    <row r="973" spans="1:8">
      <c r="A973" t="s">
        <v>250</v>
      </c>
      <c r="B973" t="s">
        <v>118</v>
      </c>
      <c r="C973">
        <v>40</v>
      </c>
      <c r="D973" t="s">
        <v>3965</v>
      </c>
      <c r="E973" t="s">
        <v>3966</v>
      </c>
      <c r="F973" t="s">
        <v>118</v>
      </c>
      <c r="H973" t="s">
        <v>3854</v>
      </c>
    </row>
    <row r="974" spans="1:8">
      <c r="A974" t="s">
        <v>250</v>
      </c>
      <c r="B974" t="s">
        <v>118</v>
      </c>
      <c r="C974">
        <v>40</v>
      </c>
      <c r="D974" t="s">
        <v>3967</v>
      </c>
      <c r="E974" t="s">
        <v>3968</v>
      </c>
      <c r="F974" t="s">
        <v>118</v>
      </c>
    </row>
    <row r="975" spans="1:8">
      <c r="A975" t="s">
        <v>250</v>
      </c>
      <c r="B975" t="s">
        <v>118</v>
      </c>
      <c r="C975">
        <v>40</v>
      </c>
      <c r="D975" t="s">
        <v>3969</v>
      </c>
      <c r="E975" t="s">
        <v>3970</v>
      </c>
      <c r="F975" t="s">
        <v>118</v>
      </c>
      <c r="H975" t="s">
        <v>3971</v>
      </c>
    </row>
    <row r="976" spans="1:8">
      <c r="A976" t="s">
        <v>238</v>
      </c>
      <c r="B976" t="s">
        <v>118</v>
      </c>
      <c r="C976">
        <v>40</v>
      </c>
      <c r="D976" t="s">
        <v>3972</v>
      </c>
      <c r="E976" t="s">
        <v>3973</v>
      </c>
      <c r="F976" t="s">
        <v>118</v>
      </c>
      <c r="G976" t="s">
        <v>3974</v>
      </c>
      <c r="H976" t="s">
        <v>3975</v>
      </c>
    </row>
    <row r="977" spans="1:8">
      <c r="A977" t="s">
        <v>241</v>
      </c>
      <c r="B977" t="s">
        <v>118</v>
      </c>
      <c r="C977">
        <v>40</v>
      </c>
      <c r="D977" t="s">
        <v>3976</v>
      </c>
      <c r="E977" t="s">
        <v>3977</v>
      </c>
      <c r="F977" t="s">
        <v>118</v>
      </c>
      <c r="H977" t="s">
        <v>3978</v>
      </c>
    </row>
    <row r="978" spans="1:8">
      <c r="A978" t="s">
        <v>250</v>
      </c>
      <c r="B978" t="s">
        <v>118</v>
      </c>
      <c r="C978">
        <v>40</v>
      </c>
      <c r="D978" t="s">
        <v>3979</v>
      </c>
      <c r="E978" t="s">
        <v>3980</v>
      </c>
      <c r="F978" t="s">
        <v>118</v>
      </c>
      <c r="H978" t="s">
        <v>3842</v>
      </c>
    </row>
    <row r="979" spans="1:8">
      <c r="A979" t="s">
        <v>250</v>
      </c>
      <c r="B979" t="s">
        <v>118</v>
      </c>
      <c r="C979">
        <v>40</v>
      </c>
      <c r="D979" t="s">
        <v>3981</v>
      </c>
      <c r="E979" t="s">
        <v>3982</v>
      </c>
      <c r="F979" t="s">
        <v>118</v>
      </c>
    </row>
    <row r="980" spans="1:8">
      <c r="A980" t="s">
        <v>249</v>
      </c>
      <c r="B980" t="s">
        <v>118</v>
      </c>
      <c r="C980">
        <v>40</v>
      </c>
      <c r="D980" t="s">
        <v>3983</v>
      </c>
      <c r="E980" t="s">
        <v>3984</v>
      </c>
      <c r="F980" t="s">
        <v>118</v>
      </c>
      <c r="G980" t="s">
        <v>3985</v>
      </c>
      <c r="H980" t="s">
        <v>3986</v>
      </c>
    </row>
    <row r="981" spans="1:8">
      <c r="A981" t="s">
        <v>250</v>
      </c>
      <c r="B981" t="s">
        <v>118</v>
      </c>
      <c r="C981">
        <v>40</v>
      </c>
      <c r="D981" t="s">
        <v>3987</v>
      </c>
      <c r="E981" t="s">
        <v>3988</v>
      </c>
      <c r="G981" t="s">
        <v>3989</v>
      </c>
      <c r="H981" t="s">
        <v>3990</v>
      </c>
    </row>
    <row r="982" spans="1:8">
      <c r="A982" t="s">
        <v>250</v>
      </c>
      <c r="B982" t="s">
        <v>118</v>
      </c>
      <c r="C982">
        <v>40</v>
      </c>
      <c r="D982" t="s">
        <v>3991</v>
      </c>
      <c r="E982" t="s">
        <v>3992</v>
      </c>
      <c r="F982" t="s">
        <v>118</v>
      </c>
    </row>
    <row r="983" spans="1:8">
      <c r="A983" t="s">
        <v>250</v>
      </c>
      <c r="B983" t="s">
        <v>118</v>
      </c>
      <c r="C983">
        <v>40</v>
      </c>
      <c r="D983" t="s">
        <v>3993</v>
      </c>
      <c r="E983" t="s">
        <v>3994</v>
      </c>
      <c r="F983" t="s">
        <v>118</v>
      </c>
    </row>
    <row r="984" spans="1:8">
      <c r="A984" t="s">
        <v>250</v>
      </c>
      <c r="B984" t="s">
        <v>118</v>
      </c>
      <c r="C984">
        <v>40</v>
      </c>
      <c r="D984" t="s">
        <v>3995</v>
      </c>
      <c r="E984" t="s">
        <v>3996</v>
      </c>
      <c r="F984" t="s">
        <v>118</v>
      </c>
    </row>
    <row r="985" spans="1:8">
      <c r="A985" t="s">
        <v>250</v>
      </c>
      <c r="B985" t="s">
        <v>118</v>
      </c>
      <c r="C985">
        <v>40</v>
      </c>
      <c r="D985" t="s">
        <v>3997</v>
      </c>
      <c r="E985" t="s">
        <v>3998</v>
      </c>
      <c r="F985" t="s">
        <v>118</v>
      </c>
    </row>
    <row r="986" spans="1:8">
      <c r="A986" t="s">
        <v>250</v>
      </c>
      <c r="B986" t="s">
        <v>118</v>
      </c>
      <c r="C986">
        <v>40</v>
      </c>
      <c r="D986" t="s">
        <v>3999</v>
      </c>
      <c r="E986" t="s">
        <v>4000</v>
      </c>
      <c r="F986" t="s">
        <v>118</v>
      </c>
    </row>
    <row r="987" spans="1:8">
      <c r="A987" t="s">
        <v>250</v>
      </c>
      <c r="B987" t="s">
        <v>118</v>
      </c>
      <c r="C987">
        <v>40</v>
      </c>
      <c r="D987" t="s">
        <v>4001</v>
      </c>
      <c r="E987" t="s">
        <v>4002</v>
      </c>
      <c r="F987" t="s">
        <v>118</v>
      </c>
    </row>
    <row r="988" spans="1:8">
      <c r="A988" t="s">
        <v>250</v>
      </c>
      <c r="B988" t="s">
        <v>118</v>
      </c>
      <c r="C988">
        <v>40</v>
      </c>
      <c r="D988" t="s">
        <v>4003</v>
      </c>
      <c r="E988" t="s">
        <v>4004</v>
      </c>
      <c r="F988" t="s">
        <v>118</v>
      </c>
      <c r="G988" t="s">
        <v>4005</v>
      </c>
    </row>
    <row r="989" spans="1:8">
      <c r="A989" t="s">
        <v>250</v>
      </c>
      <c r="B989" t="s">
        <v>118</v>
      </c>
      <c r="C989">
        <v>40</v>
      </c>
      <c r="D989" t="s">
        <v>4006</v>
      </c>
      <c r="E989" t="s">
        <v>4007</v>
      </c>
      <c r="F989" t="s">
        <v>118</v>
      </c>
    </row>
    <row r="990" spans="1:8">
      <c r="A990" t="s">
        <v>250</v>
      </c>
      <c r="B990" t="s">
        <v>118</v>
      </c>
      <c r="C990">
        <v>40</v>
      </c>
      <c r="D990" t="s">
        <v>4008</v>
      </c>
      <c r="E990" t="s">
        <v>4009</v>
      </c>
      <c r="F990" t="s">
        <v>118</v>
      </c>
    </row>
    <row r="991" spans="1:8">
      <c r="A991" t="s">
        <v>250</v>
      </c>
      <c r="B991" t="s">
        <v>118</v>
      </c>
      <c r="C991">
        <v>40</v>
      </c>
      <c r="D991" t="s">
        <v>4010</v>
      </c>
      <c r="E991" t="s">
        <v>4011</v>
      </c>
      <c r="F991" t="s">
        <v>118</v>
      </c>
    </row>
    <row r="992" spans="1:8">
      <c r="A992" t="s">
        <v>250</v>
      </c>
      <c r="B992" t="s">
        <v>118</v>
      </c>
      <c r="C992">
        <v>40</v>
      </c>
      <c r="D992" t="s">
        <v>4012</v>
      </c>
      <c r="E992" t="s">
        <v>4013</v>
      </c>
      <c r="F992" t="s">
        <v>118</v>
      </c>
      <c r="G992" t="s">
        <v>4014</v>
      </c>
    </row>
    <row r="993" spans="1:8">
      <c r="A993" t="s">
        <v>250</v>
      </c>
      <c r="B993" t="s">
        <v>118</v>
      </c>
      <c r="C993">
        <v>40</v>
      </c>
      <c r="D993" t="s">
        <v>4015</v>
      </c>
      <c r="E993" t="s">
        <v>4016</v>
      </c>
      <c r="F993" t="s">
        <v>118</v>
      </c>
    </row>
    <row r="994" spans="1:8">
      <c r="A994" t="s">
        <v>250</v>
      </c>
      <c r="B994" t="s">
        <v>118</v>
      </c>
      <c r="C994">
        <v>40</v>
      </c>
      <c r="D994" t="s">
        <v>4017</v>
      </c>
      <c r="E994" t="s">
        <v>3921</v>
      </c>
      <c r="F994" t="s">
        <v>118</v>
      </c>
    </row>
    <row r="995" spans="1:8">
      <c r="A995" t="s">
        <v>250</v>
      </c>
      <c r="B995" t="s">
        <v>118</v>
      </c>
      <c r="C995">
        <v>40</v>
      </c>
      <c r="D995" t="s">
        <v>4018</v>
      </c>
      <c r="E995" t="s">
        <v>4019</v>
      </c>
      <c r="F995" t="s">
        <v>118</v>
      </c>
    </row>
    <row r="996" spans="1:8">
      <c r="A996" t="s">
        <v>250</v>
      </c>
      <c r="B996" t="s">
        <v>118</v>
      </c>
      <c r="C996">
        <v>40</v>
      </c>
      <c r="D996" t="s">
        <v>4020</v>
      </c>
      <c r="E996" t="s">
        <v>3921</v>
      </c>
      <c r="F996" t="s">
        <v>118</v>
      </c>
      <c r="G996" t="s">
        <v>4021</v>
      </c>
    </row>
    <row r="997" spans="1:8">
      <c r="A997" t="s">
        <v>250</v>
      </c>
      <c r="B997" t="s">
        <v>118</v>
      </c>
      <c r="C997">
        <v>40</v>
      </c>
      <c r="D997" t="s">
        <v>4022</v>
      </c>
      <c r="E997" t="s">
        <v>4023</v>
      </c>
      <c r="F997" t="s">
        <v>118</v>
      </c>
      <c r="G997" t="s">
        <v>4024</v>
      </c>
      <c r="H997" t="s">
        <v>4025</v>
      </c>
    </row>
    <row r="998" spans="1:8">
      <c r="A998" t="s">
        <v>250</v>
      </c>
      <c r="B998" t="s">
        <v>118</v>
      </c>
      <c r="C998">
        <v>40</v>
      </c>
      <c r="D998" t="s">
        <v>4026</v>
      </c>
      <c r="E998" t="s">
        <v>4027</v>
      </c>
      <c r="F998" t="s">
        <v>118</v>
      </c>
      <c r="G998" t="s">
        <v>4028</v>
      </c>
    </row>
    <row r="999" spans="1:8">
      <c r="A999" t="s">
        <v>250</v>
      </c>
      <c r="B999" t="s">
        <v>118</v>
      </c>
      <c r="C999">
        <v>40</v>
      </c>
      <c r="D999" t="s">
        <v>4029</v>
      </c>
      <c r="E999" t="s">
        <v>4030</v>
      </c>
      <c r="F999" t="s">
        <v>118</v>
      </c>
    </row>
    <row r="1000" spans="1:8">
      <c r="A1000" t="s">
        <v>250</v>
      </c>
      <c r="B1000" t="s">
        <v>118</v>
      </c>
      <c r="C1000">
        <v>40</v>
      </c>
      <c r="D1000" t="s">
        <v>4031</v>
      </c>
      <c r="E1000" t="s">
        <v>4032</v>
      </c>
      <c r="F1000" t="s">
        <v>118</v>
      </c>
    </row>
    <row r="1001" spans="1:8">
      <c r="A1001" t="s">
        <v>250</v>
      </c>
      <c r="B1001" t="s">
        <v>118</v>
      </c>
      <c r="C1001">
        <v>40</v>
      </c>
      <c r="D1001" t="s">
        <v>4033</v>
      </c>
      <c r="E1001" t="s">
        <v>4034</v>
      </c>
      <c r="F1001" t="s">
        <v>118</v>
      </c>
      <c r="G1001" t="s">
        <v>4035</v>
      </c>
      <c r="H1001" t="s">
        <v>4036</v>
      </c>
    </row>
    <row r="1002" spans="1:8">
      <c r="A1002" t="s">
        <v>250</v>
      </c>
      <c r="B1002" t="s">
        <v>118</v>
      </c>
      <c r="C1002">
        <v>40</v>
      </c>
      <c r="D1002" t="s">
        <v>4037</v>
      </c>
      <c r="E1002" t="s">
        <v>4038</v>
      </c>
      <c r="F1002" t="s">
        <v>118</v>
      </c>
    </row>
    <row r="1003" spans="1:8">
      <c r="A1003" t="s">
        <v>241</v>
      </c>
      <c r="B1003" t="s">
        <v>118</v>
      </c>
      <c r="C1003">
        <v>40</v>
      </c>
      <c r="D1003" t="s">
        <v>4039</v>
      </c>
      <c r="E1003" t="s">
        <v>4040</v>
      </c>
      <c r="F1003" t="s">
        <v>118</v>
      </c>
      <c r="H1003" t="s">
        <v>4041</v>
      </c>
    </row>
    <row r="1004" spans="1:8">
      <c r="A1004" t="s">
        <v>242</v>
      </c>
      <c r="B1004" t="s">
        <v>118</v>
      </c>
      <c r="C1004">
        <v>40</v>
      </c>
      <c r="D1004" t="s">
        <v>1802</v>
      </c>
      <c r="E1004" t="s">
        <v>4042</v>
      </c>
      <c r="F1004" t="s">
        <v>118</v>
      </c>
      <c r="H1004" t="s">
        <v>4043</v>
      </c>
    </row>
    <row r="1005" spans="1:8">
      <c r="A1005" t="s">
        <v>241</v>
      </c>
      <c r="B1005" t="s">
        <v>118</v>
      </c>
      <c r="C1005">
        <v>40</v>
      </c>
      <c r="D1005" t="s">
        <v>4044</v>
      </c>
      <c r="E1005" t="s">
        <v>4045</v>
      </c>
      <c r="F1005" t="s">
        <v>4046</v>
      </c>
      <c r="G1005" t="s">
        <v>4047</v>
      </c>
      <c r="H1005" t="s">
        <v>4048</v>
      </c>
    </row>
    <row r="1006" spans="1:8">
      <c r="A1006" t="s">
        <v>241</v>
      </c>
      <c r="B1006" t="s">
        <v>118</v>
      </c>
      <c r="C1006">
        <v>40</v>
      </c>
      <c r="D1006" t="s">
        <v>4049</v>
      </c>
      <c r="E1006" t="s">
        <v>4050</v>
      </c>
      <c r="F1006" t="s">
        <v>118</v>
      </c>
      <c r="H1006" t="s">
        <v>4051</v>
      </c>
    </row>
    <row r="1007" spans="1:8">
      <c r="A1007" t="s">
        <v>241</v>
      </c>
      <c r="B1007" t="s">
        <v>118</v>
      </c>
      <c r="C1007">
        <v>40</v>
      </c>
      <c r="D1007" t="s">
        <v>4052</v>
      </c>
      <c r="E1007" t="s">
        <v>4053</v>
      </c>
      <c r="H1007" t="s">
        <v>4054</v>
      </c>
    </row>
    <row r="1008" spans="1:8">
      <c r="A1008" t="s">
        <v>241</v>
      </c>
      <c r="B1008" t="s">
        <v>118</v>
      </c>
      <c r="C1008">
        <v>40</v>
      </c>
      <c r="D1008" t="s">
        <v>4055</v>
      </c>
      <c r="E1008" t="s">
        <v>4056</v>
      </c>
      <c r="H1008" t="s">
        <v>4057</v>
      </c>
    </row>
    <row r="1009" spans="1:8">
      <c r="A1009" t="s">
        <v>241</v>
      </c>
      <c r="B1009" t="s">
        <v>118</v>
      </c>
      <c r="C1009">
        <v>40</v>
      </c>
      <c r="D1009" t="s">
        <v>4058</v>
      </c>
      <c r="E1009" t="s">
        <v>4059</v>
      </c>
      <c r="G1009" t="s">
        <v>4060</v>
      </c>
      <c r="H1009" t="s">
        <v>4061</v>
      </c>
    </row>
    <row r="1010" spans="1:8">
      <c r="A1010" t="s">
        <v>241</v>
      </c>
      <c r="B1010" t="s">
        <v>118</v>
      </c>
      <c r="C1010">
        <v>40</v>
      </c>
      <c r="D1010" t="s">
        <v>4062</v>
      </c>
      <c r="E1010" t="s">
        <v>4063</v>
      </c>
      <c r="H1010" t="s">
        <v>4064</v>
      </c>
    </row>
    <row r="1011" spans="1:8">
      <c r="A1011" t="s">
        <v>241</v>
      </c>
      <c r="B1011" t="s">
        <v>118</v>
      </c>
      <c r="C1011">
        <v>40</v>
      </c>
      <c r="D1011" t="s">
        <v>4065</v>
      </c>
      <c r="E1011" t="s">
        <v>4066</v>
      </c>
      <c r="H1011" t="s">
        <v>4067</v>
      </c>
    </row>
    <row r="1012" spans="1:8">
      <c r="A1012" t="s">
        <v>243</v>
      </c>
      <c r="B1012" t="s">
        <v>118</v>
      </c>
      <c r="C1012">
        <v>40</v>
      </c>
      <c r="D1012" t="s">
        <v>4068</v>
      </c>
      <c r="E1012" t="s">
        <v>4069</v>
      </c>
      <c r="H1012" t="s">
        <v>4070</v>
      </c>
    </row>
    <row r="1013" spans="1:8">
      <c r="A1013" t="s">
        <v>243</v>
      </c>
      <c r="B1013" t="s">
        <v>118</v>
      </c>
      <c r="C1013">
        <v>40</v>
      </c>
      <c r="D1013" t="s">
        <v>4071</v>
      </c>
      <c r="E1013" t="s">
        <v>4072</v>
      </c>
      <c r="F1013" t="s">
        <v>118</v>
      </c>
      <c r="H1013" t="s">
        <v>4073</v>
      </c>
    </row>
    <row r="1014" spans="1:8">
      <c r="A1014" t="s">
        <v>241</v>
      </c>
      <c r="B1014" t="s">
        <v>118</v>
      </c>
      <c r="C1014">
        <v>40</v>
      </c>
      <c r="D1014" t="s">
        <v>4074</v>
      </c>
      <c r="E1014" t="s">
        <v>4075</v>
      </c>
      <c r="H1014" t="s">
        <v>4076</v>
      </c>
    </row>
    <row r="1015" spans="1:8">
      <c r="A1015" t="s">
        <v>250</v>
      </c>
      <c r="B1015" t="s">
        <v>118</v>
      </c>
      <c r="C1015">
        <v>40</v>
      </c>
      <c r="D1015" t="s">
        <v>4077</v>
      </c>
      <c r="E1015" t="s">
        <v>3970</v>
      </c>
      <c r="H1015" t="s">
        <v>4078</v>
      </c>
    </row>
    <row r="1016" spans="1:8">
      <c r="A1016" t="s">
        <v>243</v>
      </c>
      <c r="B1016" t="s">
        <v>118</v>
      </c>
      <c r="C1016">
        <v>40</v>
      </c>
      <c r="D1016" t="s">
        <v>4079</v>
      </c>
      <c r="E1016" t="s">
        <v>4080</v>
      </c>
      <c r="F1016" t="s">
        <v>118</v>
      </c>
      <c r="H1016" t="s">
        <v>4081</v>
      </c>
    </row>
    <row r="1017" spans="1:8">
      <c r="A1017" t="s">
        <v>241</v>
      </c>
      <c r="B1017" t="s">
        <v>118</v>
      </c>
      <c r="C1017">
        <v>40</v>
      </c>
      <c r="D1017" t="s">
        <v>4082</v>
      </c>
      <c r="E1017" t="s">
        <v>4083</v>
      </c>
      <c r="F1017" t="s">
        <v>4084</v>
      </c>
      <c r="G1017" t="s">
        <v>4085</v>
      </c>
      <c r="H1017" t="s">
        <v>4086</v>
      </c>
    </row>
    <row r="1018" spans="1:8">
      <c r="A1018" t="s">
        <v>241</v>
      </c>
      <c r="B1018" t="s">
        <v>118</v>
      </c>
      <c r="C1018">
        <v>40</v>
      </c>
      <c r="D1018" t="s">
        <v>4087</v>
      </c>
      <c r="E1018" t="s">
        <v>4088</v>
      </c>
      <c r="G1018" t="s">
        <v>4089</v>
      </c>
      <c r="H1018" t="s">
        <v>4090</v>
      </c>
    </row>
    <row r="1019" spans="1:8">
      <c r="A1019" t="s">
        <v>241</v>
      </c>
      <c r="B1019" t="s">
        <v>118</v>
      </c>
      <c r="C1019">
        <v>40</v>
      </c>
      <c r="D1019" t="s">
        <v>4091</v>
      </c>
      <c r="E1019" t="s">
        <v>4092</v>
      </c>
      <c r="F1019" t="s">
        <v>118</v>
      </c>
      <c r="G1019" t="s">
        <v>4093</v>
      </c>
      <c r="H1019" t="s">
        <v>4094</v>
      </c>
    </row>
    <row r="1020" spans="1:8">
      <c r="A1020" t="s">
        <v>241</v>
      </c>
      <c r="B1020" t="s">
        <v>118</v>
      </c>
      <c r="C1020">
        <v>40</v>
      </c>
      <c r="D1020" t="s">
        <v>4095</v>
      </c>
      <c r="E1020" t="s">
        <v>4096</v>
      </c>
      <c r="F1020" t="s">
        <v>118</v>
      </c>
      <c r="G1020" t="s">
        <v>4097</v>
      </c>
      <c r="H1020" t="s">
        <v>4098</v>
      </c>
    </row>
    <row r="1021" spans="1:8">
      <c r="A1021" t="s">
        <v>243</v>
      </c>
      <c r="B1021" t="s">
        <v>118</v>
      </c>
      <c r="C1021">
        <v>40</v>
      </c>
      <c r="D1021" t="s">
        <v>4099</v>
      </c>
      <c r="E1021" t="s">
        <v>4100</v>
      </c>
      <c r="H1021" t="s">
        <v>4101</v>
      </c>
    </row>
    <row r="1022" spans="1:8">
      <c r="A1022" t="s">
        <v>239</v>
      </c>
      <c r="B1022" t="s">
        <v>118</v>
      </c>
      <c r="C1022">
        <v>40</v>
      </c>
      <c r="D1022" t="s">
        <v>4102</v>
      </c>
      <c r="E1022" t="s">
        <v>4103</v>
      </c>
      <c r="F1022" t="s">
        <v>118</v>
      </c>
      <c r="H1022" t="s">
        <v>4104</v>
      </c>
    </row>
    <row r="1023" spans="1:8">
      <c r="A1023" t="s">
        <v>250</v>
      </c>
      <c r="B1023" t="s">
        <v>118</v>
      </c>
      <c r="C1023">
        <v>40</v>
      </c>
      <c r="D1023" t="s">
        <v>4105</v>
      </c>
      <c r="F1023" t="s">
        <v>118</v>
      </c>
      <c r="G1023" t="s">
        <v>4106</v>
      </c>
      <c r="H1023" t="s">
        <v>4106</v>
      </c>
    </row>
    <row r="1024" spans="1:8">
      <c r="A1024" t="s">
        <v>250</v>
      </c>
      <c r="B1024" t="s">
        <v>118</v>
      </c>
      <c r="C1024">
        <v>40</v>
      </c>
      <c r="D1024" t="s">
        <v>4107</v>
      </c>
      <c r="E1024" t="s">
        <v>3921</v>
      </c>
      <c r="F1024" t="s">
        <v>118</v>
      </c>
    </row>
    <row r="1025" spans="1:8">
      <c r="A1025" t="s">
        <v>250</v>
      </c>
      <c r="B1025" t="s">
        <v>118</v>
      </c>
      <c r="C1025">
        <v>40</v>
      </c>
      <c r="D1025" t="s">
        <v>4108</v>
      </c>
      <c r="E1025" t="s">
        <v>3921</v>
      </c>
      <c r="F1025" t="s">
        <v>118</v>
      </c>
    </row>
    <row r="1026" spans="1:8">
      <c r="A1026" t="s">
        <v>250</v>
      </c>
      <c r="B1026" t="s">
        <v>118</v>
      </c>
      <c r="C1026">
        <v>40</v>
      </c>
      <c r="D1026" t="s">
        <v>4109</v>
      </c>
      <c r="E1026" t="s">
        <v>4110</v>
      </c>
      <c r="F1026" t="s">
        <v>118</v>
      </c>
    </row>
    <row r="1027" spans="1:8">
      <c r="A1027" t="s">
        <v>250</v>
      </c>
      <c r="B1027" t="s">
        <v>118</v>
      </c>
      <c r="C1027">
        <v>40</v>
      </c>
      <c r="D1027" t="s">
        <v>4111</v>
      </c>
      <c r="E1027" t="s">
        <v>4112</v>
      </c>
      <c r="F1027" t="s">
        <v>118</v>
      </c>
      <c r="G1027" t="s">
        <v>4113</v>
      </c>
      <c r="H1027" t="s">
        <v>4114</v>
      </c>
    </row>
    <row r="1028" spans="1:8">
      <c r="A1028" t="s">
        <v>241</v>
      </c>
      <c r="B1028" t="s">
        <v>118</v>
      </c>
      <c r="C1028">
        <v>40</v>
      </c>
      <c r="D1028" t="s">
        <v>4115</v>
      </c>
      <c r="E1028" t="s">
        <v>4116</v>
      </c>
      <c r="F1028" t="s">
        <v>4117</v>
      </c>
      <c r="G1028" t="s">
        <v>4118</v>
      </c>
      <c r="H1028" t="s">
        <v>4119</v>
      </c>
    </row>
    <row r="1029" spans="1:8">
      <c r="A1029" t="s">
        <v>241</v>
      </c>
      <c r="B1029" t="s">
        <v>118</v>
      </c>
      <c r="C1029">
        <v>40</v>
      </c>
      <c r="D1029" t="s">
        <v>4120</v>
      </c>
      <c r="E1029" t="s">
        <v>4121</v>
      </c>
      <c r="H1029" t="s">
        <v>4122</v>
      </c>
    </row>
    <row r="1030" spans="1:8">
      <c r="A1030" t="s">
        <v>238</v>
      </c>
      <c r="B1030" t="s">
        <v>118</v>
      </c>
      <c r="C1030">
        <v>40</v>
      </c>
      <c r="D1030" t="s">
        <v>4123</v>
      </c>
      <c r="E1030" t="s">
        <v>4124</v>
      </c>
      <c r="F1030" t="s">
        <v>118</v>
      </c>
      <c r="G1030" t="s">
        <v>4125</v>
      </c>
      <c r="H1030" t="s">
        <v>4126</v>
      </c>
    </row>
    <row r="1031" spans="1:8">
      <c r="A1031" t="s">
        <v>241</v>
      </c>
      <c r="B1031" t="s">
        <v>118</v>
      </c>
      <c r="C1031">
        <v>40</v>
      </c>
      <c r="D1031" t="s">
        <v>4127</v>
      </c>
      <c r="E1031" t="s">
        <v>4128</v>
      </c>
      <c r="F1031" t="s">
        <v>118</v>
      </c>
      <c r="H1031" t="s">
        <v>4129</v>
      </c>
    </row>
    <row r="1032" spans="1:8">
      <c r="A1032" t="s">
        <v>243</v>
      </c>
      <c r="B1032" t="s">
        <v>118</v>
      </c>
      <c r="C1032">
        <v>40</v>
      </c>
      <c r="D1032" t="s">
        <v>4130</v>
      </c>
      <c r="E1032" t="s">
        <v>4131</v>
      </c>
      <c r="F1032" t="s">
        <v>118</v>
      </c>
      <c r="H1032" t="s">
        <v>4132</v>
      </c>
    </row>
    <row r="1033" spans="1:8">
      <c r="A1033" t="s">
        <v>241</v>
      </c>
      <c r="B1033" t="s">
        <v>118</v>
      </c>
      <c r="C1033">
        <v>40</v>
      </c>
      <c r="D1033" t="s">
        <v>4133</v>
      </c>
      <c r="E1033" t="s">
        <v>4134</v>
      </c>
      <c r="F1033" t="s">
        <v>118</v>
      </c>
      <c r="H1033" t="s">
        <v>4135</v>
      </c>
    </row>
    <row r="1034" spans="1:8">
      <c r="A1034" t="s">
        <v>241</v>
      </c>
      <c r="B1034" t="s">
        <v>118</v>
      </c>
      <c r="C1034">
        <v>40</v>
      </c>
      <c r="D1034" t="s">
        <v>3472</v>
      </c>
      <c r="E1034" t="s">
        <v>4136</v>
      </c>
      <c r="F1034" t="s">
        <v>4046</v>
      </c>
      <c r="G1034" t="s">
        <v>4137</v>
      </c>
      <c r="H1034" t="s">
        <v>4138</v>
      </c>
    </row>
    <row r="1035" spans="1:8">
      <c r="A1035" t="s">
        <v>241</v>
      </c>
      <c r="B1035" t="s">
        <v>118</v>
      </c>
      <c r="C1035">
        <v>40</v>
      </c>
      <c r="D1035" t="s">
        <v>4139</v>
      </c>
      <c r="E1035" t="s">
        <v>4140</v>
      </c>
      <c r="F1035" t="s">
        <v>118</v>
      </c>
      <c r="H1035" t="s">
        <v>4141</v>
      </c>
    </row>
    <row r="1036" spans="1:8">
      <c r="A1036" t="s">
        <v>243</v>
      </c>
      <c r="B1036" t="s">
        <v>118</v>
      </c>
      <c r="C1036">
        <v>40</v>
      </c>
      <c r="D1036" t="s">
        <v>4142</v>
      </c>
      <c r="E1036" t="s">
        <v>4143</v>
      </c>
      <c r="F1036" t="s">
        <v>118</v>
      </c>
      <c r="H1036" t="s">
        <v>4144</v>
      </c>
    </row>
    <row r="1037" spans="1:8">
      <c r="A1037" t="s">
        <v>241</v>
      </c>
      <c r="B1037" t="s">
        <v>118</v>
      </c>
      <c r="C1037">
        <v>40</v>
      </c>
      <c r="D1037" t="s">
        <v>4145</v>
      </c>
      <c r="E1037" t="s">
        <v>4146</v>
      </c>
      <c r="F1037" t="s">
        <v>118</v>
      </c>
      <c r="G1037" t="s">
        <v>4147</v>
      </c>
      <c r="H1037" t="s">
        <v>4148</v>
      </c>
    </row>
    <row r="1038" spans="1:8">
      <c r="A1038" t="s">
        <v>241</v>
      </c>
      <c r="B1038" t="s">
        <v>118</v>
      </c>
      <c r="C1038">
        <v>40</v>
      </c>
      <c r="D1038" t="s">
        <v>4149</v>
      </c>
      <c r="E1038" t="s">
        <v>4150</v>
      </c>
      <c r="F1038" t="s">
        <v>118</v>
      </c>
      <c r="G1038" t="s">
        <v>4151</v>
      </c>
      <c r="H1038" t="s">
        <v>4152</v>
      </c>
    </row>
    <row r="1039" spans="1:8">
      <c r="A1039" t="s">
        <v>243</v>
      </c>
      <c r="B1039" t="s">
        <v>118</v>
      </c>
      <c r="C1039">
        <v>40</v>
      </c>
      <c r="D1039" t="s">
        <v>4153</v>
      </c>
      <c r="E1039" t="s">
        <v>4154</v>
      </c>
      <c r="F1039" t="s">
        <v>118</v>
      </c>
      <c r="H1039" t="s">
        <v>4155</v>
      </c>
    </row>
    <row r="1040" spans="1:8">
      <c r="A1040" t="s">
        <v>242</v>
      </c>
      <c r="B1040" t="s">
        <v>118</v>
      </c>
      <c r="C1040">
        <v>40</v>
      </c>
      <c r="D1040" t="s">
        <v>4156</v>
      </c>
      <c r="E1040" t="s">
        <v>4157</v>
      </c>
      <c r="F1040" t="s">
        <v>118</v>
      </c>
      <c r="G1040" t="s">
        <v>4158</v>
      </c>
      <c r="H1040" t="s">
        <v>4159</v>
      </c>
    </row>
    <row r="1041" spans="1:8">
      <c r="A1041" t="s">
        <v>238</v>
      </c>
      <c r="B1041" t="s">
        <v>118</v>
      </c>
      <c r="C1041">
        <v>40</v>
      </c>
      <c r="D1041" t="s">
        <v>4160</v>
      </c>
      <c r="E1041" t="s">
        <v>3937</v>
      </c>
      <c r="F1041" t="s">
        <v>118</v>
      </c>
      <c r="G1041" t="s">
        <v>3938</v>
      </c>
      <c r="H1041" t="s">
        <v>3939</v>
      </c>
    </row>
    <row r="1042" spans="1:8">
      <c r="A1042" t="s">
        <v>243</v>
      </c>
      <c r="B1042" t="s">
        <v>118</v>
      </c>
      <c r="C1042">
        <v>40</v>
      </c>
      <c r="D1042" t="s">
        <v>4161</v>
      </c>
      <c r="E1042" t="s">
        <v>4162</v>
      </c>
      <c r="F1042" t="s">
        <v>118</v>
      </c>
      <c r="G1042" t="s">
        <v>4163</v>
      </c>
      <c r="H1042" t="s">
        <v>4164</v>
      </c>
    </row>
    <row r="1043" spans="1:8">
      <c r="A1043" t="s">
        <v>241</v>
      </c>
      <c r="B1043" t="s">
        <v>118</v>
      </c>
      <c r="C1043">
        <v>40</v>
      </c>
      <c r="D1043" t="s">
        <v>4165</v>
      </c>
      <c r="E1043" t="s">
        <v>4166</v>
      </c>
      <c r="H1043" t="s">
        <v>4167</v>
      </c>
    </row>
    <row r="1044" spans="1:8">
      <c r="A1044" t="s">
        <v>241</v>
      </c>
      <c r="B1044" t="s">
        <v>118</v>
      </c>
      <c r="C1044">
        <v>40</v>
      </c>
      <c r="D1044" t="s">
        <v>4168</v>
      </c>
      <c r="E1044" t="s">
        <v>4169</v>
      </c>
      <c r="F1044" t="s">
        <v>118</v>
      </c>
      <c r="G1044" t="s">
        <v>4170</v>
      </c>
      <c r="H1044" t="s">
        <v>4171</v>
      </c>
    </row>
    <row r="1045" spans="1:8">
      <c r="A1045" t="s">
        <v>240</v>
      </c>
      <c r="B1045" t="s">
        <v>118</v>
      </c>
      <c r="C1045">
        <v>40</v>
      </c>
      <c r="D1045" t="s">
        <v>4172</v>
      </c>
      <c r="E1045" t="s">
        <v>4173</v>
      </c>
      <c r="F1045" t="s">
        <v>118</v>
      </c>
      <c r="G1045" t="s">
        <v>4174</v>
      </c>
      <c r="H1045" t="s">
        <v>4175</v>
      </c>
    </row>
    <row r="1046" spans="1:8">
      <c r="A1046" t="s">
        <v>241</v>
      </c>
      <c r="B1046" t="s">
        <v>118</v>
      </c>
      <c r="C1046">
        <v>40</v>
      </c>
      <c r="D1046" t="s">
        <v>4176</v>
      </c>
      <c r="E1046" t="s">
        <v>4177</v>
      </c>
      <c r="F1046" t="s">
        <v>118</v>
      </c>
      <c r="G1046" t="s">
        <v>4178</v>
      </c>
      <c r="H1046" t="s">
        <v>4179</v>
      </c>
    </row>
    <row r="1047" spans="1:8">
      <c r="A1047" t="s">
        <v>241</v>
      </c>
      <c r="B1047" t="s">
        <v>118</v>
      </c>
      <c r="C1047">
        <v>40</v>
      </c>
      <c r="D1047" t="s">
        <v>4180</v>
      </c>
      <c r="E1047" t="s">
        <v>3865</v>
      </c>
      <c r="F1047" t="s">
        <v>118</v>
      </c>
      <c r="H1047" t="s">
        <v>4181</v>
      </c>
    </row>
    <row r="1048" spans="1:8">
      <c r="A1048" t="s">
        <v>241</v>
      </c>
      <c r="B1048" t="s">
        <v>118</v>
      </c>
      <c r="C1048">
        <v>40</v>
      </c>
      <c r="D1048" t="s">
        <v>4182</v>
      </c>
      <c r="E1048" t="s">
        <v>4183</v>
      </c>
      <c r="F1048" t="s">
        <v>4184</v>
      </c>
      <c r="G1048" t="s">
        <v>4185</v>
      </c>
    </row>
    <row r="1049" spans="1:8">
      <c r="A1049" t="s">
        <v>241</v>
      </c>
      <c r="B1049" t="s">
        <v>118</v>
      </c>
      <c r="C1049">
        <v>40</v>
      </c>
      <c r="D1049" t="s">
        <v>4186</v>
      </c>
      <c r="E1049" t="s">
        <v>4187</v>
      </c>
      <c r="F1049" t="s">
        <v>118</v>
      </c>
      <c r="H1049" t="s">
        <v>4188</v>
      </c>
    </row>
    <row r="1050" spans="1:8">
      <c r="A1050" t="s">
        <v>241</v>
      </c>
      <c r="B1050" t="s">
        <v>118</v>
      </c>
      <c r="C1050">
        <v>40</v>
      </c>
      <c r="D1050" t="s">
        <v>4189</v>
      </c>
      <c r="E1050" t="s">
        <v>4190</v>
      </c>
      <c r="F1050" t="s">
        <v>118</v>
      </c>
      <c r="H1050" t="s">
        <v>4191</v>
      </c>
    </row>
    <row r="1051" spans="1:8">
      <c r="A1051" t="s">
        <v>241</v>
      </c>
      <c r="B1051" t="s">
        <v>118</v>
      </c>
      <c r="C1051">
        <v>40</v>
      </c>
      <c r="D1051" t="s">
        <v>4192</v>
      </c>
      <c r="E1051" t="s">
        <v>4193</v>
      </c>
      <c r="F1051" t="s">
        <v>118</v>
      </c>
    </row>
    <row r="1052" spans="1:8">
      <c r="A1052" t="s">
        <v>241</v>
      </c>
      <c r="B1052" t="s">
        <v>118</v>
      </c>
      <c r="C1052">
        <v>40</v>
      </c>
      <c r="D1052" t="s">
        <v>4194</v>
      </c>
      <c r="E1052" t="s">
        <v>4195</v>
      </c>
      <c r="F1052" t="s">
        <v>118</v>
      </c>
      <c r="H1052" t="s">
        <v>4196</v>
      </c>
    </row>
    <row r="1053" spans="1:8">
      <c r="A1053" t="s">
        <v>241</v>
      </c>
      <c r="B1053" t="s">
        <v>118</v>
      </c>
      <c r="C1053">
        <v>40</v>
      </c>
      <c r="D1053" t="s">
        <v>4197</v>
      </c>
      <c r="E1053" t="s">
        <v>4198</v>
      </c>
      <c r="F1053" t="s">
        <v>118</v>
      </c>
      <c r="H1053" t="s">
        <v>4199</v>
      </c>
    </row>
    <row r="1054" spans="1:8">
      <c r="A1054" t="s">
        <v>241</v>
      </c>
      <c r="B1054" t="s">
        <v>118</v>
      </c>
      <c r="C1054">
        <v>40</v>
      </c>
      <c r="D1054" t="s">
        <v>4200</v>
      </c>
      <c r="E1054" t="s">
        <v>4187</v>
      </c>
      <c r="F1054" t="s">
        <v>118</v>
      </c>
      <c r="H1054" t="s">
        <v>4201</v>
      </c>
    </row>
    <row r="1055" spans="1:8">
      <c r="A1055" t="s">
        <v>241</v>
      </c>
      <c r="B1055" t="s">
        <v>118</v>
      </c>
      <c r="C1055">
        <v>40</v>
      </c>
      <c r="D1055" t="s">
        <v>4202</v>
      </c>
      <c r="E1055" t="s">
        <v>4203</v>
      </c>
      <c r="F1055" t="s">
        <v>118</v>
      </c>
      <c r="G1055" t="s">
        <v>4204</v>
      </c>
      <c r="H1055" t="s">
        <v>4205</v>
      </c>
    </row>
    <row r="1056" spans="1:8">
      <c r="A1056" t="s">
        <v>239</v>
      </c>
      <c r="B1056" t="s">
        <v>75</v>
      </c>
      <c r="C1056">
        <v>40</v>
      </c>
      <c r="D1056" t="s">
        <v>4842</v>
      </c>
      <c r="E1056" t="s">
        <v>4843</v>
      </c>
      <c r="G1056" t="s">
        <v>4844</v>
      </c>
      <c r="H1056" t="s">
        <v>4845</v>
      </c>
    </row>
    <row r="1057" spans="1:8">
      <c r="A1057" t="s">
        <v>242</v>
      </c>
      <c r="B1057" t="s">
        <v>75</v>
      </c>
      <c r="C1057">
        <v>40</v>
      </c>
      <c r="D1057" t="s">
        <v>4846</v>
      </c>
      <c r="E1057" t="s">
        <v>4847</v>
      </c>
      <c r="F1057" t="s">
        <v>75</v>
      </c>
      <c r="H1057" t="s">
        <v>4848</v>
      </c>
    </row>
    <row r="1058" spans="1:8">
      <c r="A1058" t="s">
        <v>242</v>
      </c>
      <c r="B1058" t="s">
        <v>75</v>
      </c>
      <c r="C1058">
        <v>40</v>
      </c>
      <c r="D1058" t="s">
        <v>4849</v>
      </c>
      <c r="E1058" t="s">
        <v>4850</v>
      </c>
      <c r="F1058" t="s">
        <v>75</v>
      </c>
      <c r="G1058" t="s">
        <v>4851</v>
      </c>
      <c r="H1058" t="s">
        <v>4852</v>
      </c>
    </row>
    <row r="1059" spans="1:8">
      <c r="A1059" t="s">
        <v>241</v>
      </c>
      <c r="B1059" t="s">
        <v>75</v>
      </c>
      <c r="C1059">
        <v>40</v>
      </c>
      <c r="D1059" t="s">
        <v>4853</v>
      </c>
      <c r="E1059" t="s">
        <v>4854</v>
      </c>
      <c r="F1059" t="s">
        <v>75</v>
      </c>
      <c r="G1059" t="s">
        <v>4855</v>
      </c>
      <c r="H1059" t="s">
        <v>4856</v>
      </c>
    </row>
    <row r="1060" spans="1:8">
      <c r="A1060" t="s">
        <v>242</v>
      </c>
      <c r="B1060" t="s">
        <v>75</v>
      </c>
      <c r="C1060">
        <v>40</v>
      </c>
      <c r="D1060" t="s">
        <v>4857</v>
      </c>
      <c r="E1060" t="s">
        <v>4858</v>
      </c>
      <c r="F1060" t="s">
        <v>4859</v>
      </c>
    </row>
    <row r="1061" spans="1:8">
      <c r="A1061" t="s">
        <v>244</v>
      </c>
      <c r="B1061" t="s">
        <v>75</v>
      </c>
      <c r="C1061">
        <v>40</v>
      </c>
      <c r="D1061" t="s">
        <v>4860</v>
      </c>
      <c r="F1061" t="s">
        <v>4861</v>
      </c>
    </row>
    <row r="1062" spans="1:8">
      <c r="A1062" t="s">
        <v>244</v>
      </c>
      <c r="B1062" t="s">
        <v>75</v>
      </c>
      <c r="C1062">
        <v>40</v>
      </c>
      <c r="D1062" t="s">
        <v>4862</v>
      </c>
      <c r="F1062" t="s">
        <v>4863</v>
      </c>
    </row>
    <row r="1063" spans="1:8">
      <c r="A1063" t="s">
        <v>241</v>
      </c>
      <c r="B1063" t="s">
        <v>75</v>
      </c>
      <c r="C1063">
        <v>40</v>
      </c>
      <c r="D1063" t="s">
        <v>4864</v>
      </c>
      <c r="E1063" t="s">
        <v>4865</v>
      </c>
      <c r="F1063" t="s">
        <v>75</v>
      </c>
      <c r="G1063" t="s">
        <v>4866</v>
      </c>
      <c r="H1063" t="s">
        <v>4867</v>
      </c>
    </row>
    <row r="1064" spans="1:8">
      <c r="A1064" t="s">
        <v>241</v>
      </c>
      <c r="B1064" t="s">
        <v>75</v>
      </c>
      <c r="C1064">
        <v>40</v>
      </c>
      <c r="D1064" t="s">
        <v>4868</v>
      </c>
      <c r="E1064" t="s">
        <v>4869</v>
      </c>
      <c r="F1064" t="s">
        <v>75</v>
      </c>
    </row>
    <row r="1065" spans="1:8">
      <c r="A1065" t="s">
        <v>241</v>
      </c>
      <c r="B1065" t="s">
        <v>75</v>
      </c>
      <c r="C1065">
        <v>40</v>
      </c>
      <c r="D1065" t="s">
        <v>4870</v>
      </c>
      <c r="E1065" t="s">
        <v>4871</v>
      </c>
      <c r="F1065" t="s">
        <v>75</v>
      </c>
      <c r="G1065" t="s">
        <v>4872</v>
      </c>
      <c r="H1065" t="s">
        <v>4873</v>
      </c>
    </row>
    <row r="1066" spans="1:8">
      <c r="A1066" t="s">
        <v>241</v>
      </c>
      <c r="B1066" t="s">
        <v>75</v>
      </c>
      <c r="C1066">
        <v>40</v>
      </c>
      <c r="D1066" t="s">
        <v>4874</v>
      </c>
      <c r="E1066" t="s">
        <v>4875</v>
      </c>
      <c r="F1066" t="s">
        <v>4859</v>
      </c>
      <c r="G1066" t="s">
        <v>4876</v>
      </c>
      <c r="H1066" t="s">
        <v>4877</v>
      </c>
    </row>
    <row r="1067" spans="1:8">
      <c r="A1067" t="s">
        <v>241</v>
      </c>
      <c r="B1067" t="s">
        <v>75</v>
      </c>
      <c r="C1067">
        <v>40</v>
      </c>
      <c r="D1067" t="s">
        <v>4878</v>
      </c>
      <c r="E1067" t="s">
        <v>4879</v>
      </c>
      <c r="G1067" t="s">
        <v>4880</v>
      </c>
      <c r="H1067" t="s">
        <v>4881</v>
      </c>
    </row>
    <row r="1068" spans="1:8">
      <c r="A1068" t="s">
        <v>242</v>
      </c>
      <c r="B1068" t="s">
        <v>75</v>
      </c>
      <c r="C1068">
        <v>40</v>
      </c>
      <c r="D1068" t="s">
        <v>4882</v>
      </c>
      <c r="E1068" t="s">
        <v>4883</v>
      </c>
      <c r="F1068" t="s">
        <v>75</v>
      </c>
      <c r="G1068" t="s">
        <v>4884</v>
      </c>
      <c r="H1068" t="s">
        <v>4885</v>
      </c>
    </row>
    <row r="1069" spans="1:8">
      <c r="A1069" t="s">
        <v>242</v>
      </c>
      <c r="B1069" t="s">
        <v>75</v>
      </c>
      <c r="C1069">
        <v>40</v>
      </c>
      <c r="D1069" t="s">
        <v>4886</v>
      </c>
      <c r="E1069" t="s">
        <v>4887</v>
      </c>
      <c r="F1069" t="s">
        <v>4888</v>
      </c>
      <c r="G1069" t="s">
        <v>4889</v>
      </c>
      <c r="H1069" t="s">
        <v>4890</v>
      </c>
    </row>
    <row r="1070" spans="1:8">
      <c r="A1070" t="s">
        <v>241</v>
      </c>
      <c r="B1070" t="s">
        <v>75</v>
      </c>
      <c r="C1070">
        <v>40</v>
      </c>
      <c r="D1070" t="s">
        <v>4891</v>
      </c>
      <c r="E1070" t="s">
        <v>4892</v>
      </c>
      <c r="H1070" t="s">
        <v>4893</v>
      </c>
    </row>
    <row r="1071" spans="1:8">
      <c r="A1071" t="s">
        <v>241</v>
      </c>
      <c r="B1071" t="s">
        <v>75</v>
      </c>
      <c r="C1071">
        <v>40</v>
      </c>
      <c r="D1071" t="s">
        <v>4894</v>
      </c>
      <c r="E1071" t="s">
        <v>4895</v>
      </c>
      <c r="G1071" t="s">
        <v>4896</v>
      </c>
      <c r="H1071" t="s">
        <v>4897</v>
      </c>
    </row>
    <row r="1072" spans="1:8">
      <c r="A1072" t="s">
        <v>238</v>
      </c>
      <c r="B1072" t="s">
        <v>75</v>
      </c>
      <c r="C1072">
        <v>40</v>
      </c>
      <c r="D1072" t="s">
        <v>4898</v>
      </c>
      <c r="E1072" t="s">
        <v>4899</v>
      </c>
      <c r="F1072" t="s">
        <v>4900</v>
      </c>
      <c r="G1072" t="s">
        <v>4901</v>
      </c>
      <c r="H1072" t="s">
        <v>4902</v>
      </c>
    </row>
    <row r="1073" spans="1:8">
      <c r="A1073" t="s">
        <v>242</v>
      </c>
      <c r="B1073" t="s">
        <v>75</v>
      </c>
      <c r="C1073">
        <v>40</v>
      </c>
      <c r="D1073" t="s">
        <v>4903</v>
      </c>
      <c r="E1073" t="s">
        <v>4904</v>
      </c>
      <c r="H1073" t="s">
        <v>4905</v>
      </c>
    </row>
    <row r="1074" spans="1:8">
      <c r="A1074" t="s">
        <v>241</v>
      </c>
      <c r="B1074" t="s">
        <v>75</v>
      </c>
      <c r="C1074">
        <v>40</v>
      </c>
      <c r="D1074" t="s">
        <v>3140</v>
      </c>
      <c r="E1074" t="s">
        <v>4906</v>
      </c>
      <c r="H1074" t="s">
        <v>4907</v>
      </c>
    </row>
    <row r="1075" spans="1:8">
      <c r="A1075" t="s">
        <v>242</v>
      </c>
      <c r="B1075" t="s">
        <v>75</v>
      </c>
      <c r="C1075">
        <v>40</v>
      </c>
      <c r="D1075" t="s">
        <v>4908</v>
      </c>
      <c r="F1075" t="s">
        <v>4909</v>
      </c>
      <c r="H1075" t="s">
        <v>4910</v>
      </c>
    </row>
    <row r="1076" spans="1:8">
      <c r="A1076" t="s">
        <v>241</v>
      </c>
      <c r="B1076" t="s">
        <v>75</v>
      </c>
      <c r="C1076">
        <v>40</v>
      </c>
      <c r="D1076" t="s">
        <v>4911</v>
      </c>
      <c r="E1076" t="s">
        <v>4912</v>
      </c>
      <c r="F1076" t="s">
        <v>4913</v>
      </c>
      <c r="H1076" t="s">
        <v>4914</v>
      </c>
    </row>
    <row r="1077" spans="1:8">
      <c r="A1077" t="s">
        <v>242</v>
      </c>
      <c r="B1077" t="s">
        <v>75</v>
      </c>
      <c r="C1077">
        <v>40</v>
      </c>
      <c r="D1077" t="s">
        <v>4915</v>
      </c>
      <c r="E1077" t="s">
        <v>4916</v>
      </c>
      <c r="F1077" t="s">
        <v>75</v>
      </c>
      <c r="G1077" t="s">
        <v>4917</v>
      </c>
      <c r="H1077" t="s">
        <v>4918</v>
      </c>
    </row>
    <row r="1078" spans="1:8">
      <c r="A1078" t="s">
        <v>238</v>
      </c>
      <c r="B1078" t="s">
        <v>75</v>
      </c>
      <c r="C1078">
        <v>40</v>
      </c>
      <c r="D1078" t="s">
        <v>4919</v>
      </c>
      <c r="E1078" t="s">
        <v>4920</v>
      </c>
      <c r="F1078" t="s">
        <v>4921</v>
      </c>
      <c r="G1078" t="s">
        <v>4922</v>
      </c>
      <c r="H1078" t="s">
        <v>4923</v>
      </c>
    </row>
    <row r="1079" spans="1:8">
      <c r="A1079" t="s">
        <v>242</v>
      </c>
      <c r="B1079" t="s">
        <v>75</v>
      </c>
      <c r="C1079">
        <v>40</v>
      </c>
      <c r="D1079" t="s">
        <v>4924</v>
      </c>
      <c r="E1079" t="s">
        <v>4925</v>
      </c>
      <c r="F1079" t="s">
        <v>75</v>
      </c>
      <c r="G1079" t="s">
        <v>4926</v>
      </c>
      <c r="H1079" t="s">
        <v>4927</v>
      </c>
    </row>
    <row r="1080" spans="1:8">
      <c r="A1080" t="s">
        <v>239</v>
      </c>
      <c r="B1080" t="s">
        <v>75</v>
      </c>
      <c r="C1080">
        <v>40</v>
      </c>
      <c r="D1080" t="s">
        <v>4928</v>
      </c>
      <c r="E1080" t="s">
        <v>4929</v>
      </c>
      <c r="F1080" t="s">
        <v>4930</v>
      </c>
      <c r="H1080" t="s">
        <v>4931</v>
      </c>
    </row>
    <row r="1081" spans="1:8">
      <c r="A1081" t="s">
        <v>242</v>
      </c>
      <c r="B1081" t="s">
        <v>75</v>
      </c>
      <c r="C1081">
        <v>40</v>
      </c>
      <c r="D1081" t="s">
        <v>4932</v>
      </c>
      <c r="E1081" t="s">
        <v>4933</v>
      </c>
      <c r="F1081" t="s">
        <v>4934</v>
      </c>
      <c r="H1081" t="s">
        <v>4935</v>
      </c>
    </row>
    <row r="1082" spans="1:8">
      <c r="A1082" t="s">
        <v>240</v>
      </c>
      <c r="B1082" t="s">
        <v>75</v>
      </c>
      <c r="C1082">
        <v>40</v>
      </c>
      <c r="D1082" t="s">
        <v>4936</v>
      </c>
      <c r="E1082" t="s">
        <v>4937</v>
      </c>
      <c r="F1082" t="s">
        <v>75</v>
      </c>
      <c r="G1082" t="s">
        <v>4938</v>
      </c>
      <c r="H1082" t="s">
        <v>4939</v>
      </c>
    </row>
    <row r="1083" spans="1:8">
      <c r="A1083" t="s">
        <v>241</v>
      </c>
      <c r="B1083" t="s">
        <v>75</v>
      </c>
      <c r="C1083">
        <v>40</v>
      </c>
      <c r="D1083" t="s">
        <v>4940</v>
      </c>
      <c r="E1083" t="s">
        <v>4941</v>
      </c>
      <c r="F1083" t="s">
        <v>75</v>
      </c>
      <c r="G1083" t="s">
        <v>4942</v>
      </c>
      <c r="H1083" t="s">
        <v>4943</v>
      </c>
    </row>
    <row r="1084" spans="1:8">
      <c r="A1084" t="s">
        <v>240</v>
      </c>
      <c r="B1084" t="s">
        <v>75</v>
      </c>
      <c r="C1084">
        <v>40</v>
      </c>
      <c r="D1084" t="s">
        <v>4944</v>
      </c>
      <c r="E1084" t="s">
        <v>4945</v>
      </c>
      <c r="F1084" t="s">
        <v>75</v>
      </c>
      <c r="G1084" t="s">
        <v>4946</v>
      </c>
      <c r="H1084" t="s">
        <v>4947</v>
      </c>
    </row>
    <row r="1085" spans="1:8">
      <c r="A1085" t="s">
        <v>240</v>
      </c>
      <c r="B1085" t="s">
        <v>75</v>
      </c>
      <c r="C1085">
        <v>40</v>
      </c>
      <c r="D1085" t="s">
        <v>4948</v>
      </c>
      <c r="E1085" t="s">
        <v>4949</v>
      </c>
      <c r="F1085" t="s">
        <v>75</v>
      </c>
      <c r="G1085" t="s">
        <v>4950</v>
      </c>
      <c r="H1085" t="s">
        <v>4951</v>
      </c>
    </row>
    <row r="1086" spans="1:8">
      <c r="A1086" t="s">
        <v>241</v>
      </c>
      <c r="B1086" t="s">
        <v>75</v>
      </c>
      <c r="C1086">
        <v>40</v>
      </c>
      <c r="D1086" t="s">
        <v>4952</v>
      </c>
      <c r="E1086" t="s">
        <v>4953</v>
      </c>
      <c r="F1086" t="s">
        <v>75</v>
      </c>
      <c r="G1086" t="s">
        <v>4954</v>
      </c>
      <c r="H1086" t="s">
        <v>4955</v>
      </c>
    </row>
    <row r="1087" spans="1:8">
      <c r="A1087" t="s">
        <v>240</v>
      </c>
      <c r="B1087" t="s">
        <v>75</v>
      </c>
      <c r="C1087">
        <v>40</v>
      </c>
      <c r="D1087" t="s">
        <v>4956</v>
      </c>
      <c r="E1087" t="s">
        <v>4957</v>
      </c>
      <c r="F1087" t="s">
        <v>75</v>
      </c>
      <c r="G1087" t="s">
        <v>4958</v>
      </c>
      <c r="H1087" t="s">
        <v>4959</v>
      </c>
    </row>
    <row r="1088" spans="1:8">
      <c r="A1088" t="s">
        <v>240</v>
      </c>
      <c r="B1088" t="s">
        <v>75</v>
      </c>
      <c r="C1088">
        <v>40</v>
      </c>
      <c r="D1088" t="s">
        <v>4960</v>
      </c>
      <c r="E1088" t="s">
        <v>4961</v>
      </c>
      <c r="F1088" t="s">
        <v>75</v>
      </c>
      <c r="G1088" t="s">
        <v>4962</v>
      </c>
      <c r="H1088" t="s">
        <v>4963</v>
      </c>
    </row>
    <row r="1089" spans="1:8">
      <c r="A1089" t="s">
        <v>240</v>
      </c>
      <c r="B1089" t="s">
        <v>75</v>
      </c>
      <c r="C1089">
        <v>40</v>
      </c>
      <c r="D1089" t="s">
        <v>4964</v>
      </c>
      <c r="E1089" t="s">
        <v>4965</v>
      </c>
      <c r="H1089" t="s">
        <v>4966</v>
      </c>
    </row>
    <row r="1090" spans="1:8">
      <c r="A1090" t="s">
        <v>238</v>
      </c>
      <c r="B1090" t="s">
        <v>75</v>
      </c>
      <c r="C1090">
        <v>40</v>
      </c>
      <c r="D1090" t="s">
        <v>4967</v>
      </c>
      <c r="F1090" t="s">
        <v>4968</v>
      </c>
      <c r="G1090" t="s">
        <v>4969</v>
      </c>
      <c r="H1090" t="s">
        <v>4970</v>
      </c>
    </row>
    <row r="1091" spans="1:8">
      <c r="A1091" t="s">
        <v>243</v>
      </c>
      <c r="B1091" t="s">
        <v>75</v>
      </c>
      <c r="C1091">
        <v>40</v>
      </c>
      <c r="D1091" t="s">
        <v>3345</v>
      </c>
      <c r="E1091" t="s">
        <v>4971</v>
      </c>
      <c r="H1091" t="s">
        <v>4972</v>
      </c>
    </row>
    <row r="1092" spans="1:8">
      <c r="A1092" t="s">
        <v>239</v>
      </c>
      <c r="B1092" t="s">
        <v>75</v>
      </c>
      <c r="C1092">
        <v>40</v>
      </c>
      <c r="D1092" t="s">
        <v>4973</v>
      </c>
      <c r="E1092" t="s">
        <v>4974</v>
      </c>
      <c r="H1092" t="s">
        <v>4975</v>
      </c>
    </row>
    <row r="1093" spans="1:8">
      <c r="A1093" t="s">
        <v>239</v>
      </c>
      <c r="B1093" t="s">
        <v>75</v>
      </c>
      <c r="C1093">
        <v>40</v>
      </c>
      <c r="D1093" t="s">
        <v>4976</v>
      </c>
      <c r="E1093" t="s">
        <v>4977</v>
      </c>
      <c r="H1093" t="s">
        <v>4978</v>
      </c>
    </row>
    <row r="1094" spans="1:8">
      <c r="A1094" t="s">
        <v>241</v>
      </c>
      <c r="B1094" t="s">
        <v>75</v>
      </c>
      <c r="C1094">
        <v>40</v>
      </c>
      <c r="D1094" t="s">
        <v>4979</v>
      </c>
      <c r="E1094" t="s">
        <v>4980</v>
      </c>
      <c r="F1094" t="s">
        <v>75</v>
      </c>
      <c r="H1094" t="s">
        <v>4981</v>
      </c>
    </row>
    <row r="1095" spans="1:8">
      <c r="A1095" t="s">
        <v>238</v>
      </c>
      <c r="B1095" t="s">
        <v>75</v>
      </c>
      <c r="C1095">
        <v>40</v>
      </c>
      <c r="D1095" t="s">
        <v>4982</v>
      </c>
      <c r="E1095" t="s">
        <v>4983</v>
      </c>
      <c r="F1095" t="s">
        <v>75</v>
      </c>
      <c r="H1095" t="s">
        <v>4984</v>
      </c>
    </row>
    <row r="1096" spans="1:8">
      <c r="A1096" t="s">
        <v>241</v>
      </c>
      <c r="B1096" t="s">
        <v>75</v>
      </c>
      <c r="C1096">
        <v>40</v>
      </c>
      <c r="D1096" t="s">
        <v>4985</v>
      </c>
      <c r="E1096" t="s">
        <v>4986</v>
      </c>
      <c r="F1096" t="s">
        <v>4987</v>
      </c>
      <c r="H1096" t="s">
        <v>4988</v>
      </c>
    </row>
    <row r="1097" spans="1:8">
      <c r="A1097" t="s">
        <v>241</v>
      </c>
      <c r="B1097" t="s">
        <v>75</v>
      </c>
      <c r="C1097">
        <v>40</v>
      </c>
      <c r="D1097" t="s">
        <v>4989</v>
      </c>
      <c r="E1097" t="s">
        <v>4990</v>
      </c>
      <c r="H1097" t="s">
        <v>4991</v>
      </c>
    </row>
    <row r="1098" spans="1:8">
      <c r="A1098" t="s">
        <v>240</v>
      </c>
      <c r="B1098" t="s">
        <v>75</v>
      </c>
      <c r="C1098">
        <v>40</v>
      </c>
      <c r="D1098" t="s">
        <v>4992</v>
      </c>
      <c r="E1098" t="s">
        <v>4993</v>
      </c>
      <c r="F1098" t="s">
        <v>4994</v>
      </c>
      <c r="G1098" t="s">
        <v>4995</v>
      </c>
      <c r="H1098" t="s">
        <v>4996</v>
      </c>
    </row>
    <row r="1099" spans="1:8">
      <c r="A1099" t="s">
        <v>242</v>
      </c>
      <c r="B1099" t="s">
        <v>75</v>
      </c>
      <c r="C1099">
        <v>40</v>
      </c>
      <c r="D1099" t="s">
        <v>4997</v>
      </c>
      <c r="E1099" t="s">
        <v>4998</v>
      </c>
      <c r="F1099" t="s">
        <v>75</v>
      </c>
      <c r="H1099" t="s">
        <v>4999</v>
      </c>
    </row>
    <row r="1100" spans="1:8">
      <c r="A1100" t="s">
        <v>242</v>
      </c>
      <c r="B1100" t="s">
        <v>75</v>
      </c>
      <c r="C1100">
        <v>40</v>
      </c>
      <c r="D1100" t="s">
        <v>5000</v>
      </c>
      <c r="E1100" t="s">
        <v>5001</v>
      </c>
      <c r="F1100" t="s">
        <v>75</v>
      </c>
      <c r="H1100" t="s">
        <v>5002</v>
      </c>
    </row>
    <row r="1101" spans="1:8">
      <c r="A1101" t="s">
        <v>242</v>
      </c>
      <c r="B1101" t="s">
        <v>75</v>
      </c>
      <c r="C1101">
        <v>40</v>
      </c>
      <c r="D1101" t="s">
        <v>5003</v>
      </c>
      <c r="E1101" t="s">
        <v>5004</v>
      </c>
      <c r="F1101" t="s">
        <v>75</v>
      </c>
      <c r="G1101" t="s">
        <v>5005</v>
      </c>
      <c r="H1101" t="s">
        <v>5006</v>
      </c>
    </row>
    <row r="1102" spans="1:8">
      <c r="A1102" t="s">
        <v>242</v>
      </c>
      <c r="B1102" t="s">
        <v>75</v>
      </c>
      <c r="C1102">
        <v>40</v>
      </c>
      <c r="D1102" t="s">
        <v>5007</v>
      </c>
      <c r="E1102" t="s">
        <v>5008</v>
      </c>
      <c r="F1102" t="s">
        <v>75</v>
      </c>
      <c r="G1102" t="s">
        <v>4926</v>
      </c>
      <c r="H1102" t="s">
        <v>4927</v>
      </c>
    </row>
    <row r="1103" spans="1:8">
      <c r="A1103" t="s">
        <v>243</v>
      </c>
      <c r="B1103" t="s">
        <v>75</v>
      </c>
      <c r="C1103">
        <v>40</v>
      </c>
      <c r="D1103" t="s">
        <v>5009</v>
      </c>
      <c r="E1103" t="s">
        <v>5010</v>
      </c>
      <c r="F1103" t="s">
        <v>75</v>
      </c>
      <c r="G1103" t="s">
        <v>5011</v>
      </c>
      <c r="H1103" t="s">
        <v>5012</v>
      </c>
    </row>
    <row r="1104" spans="1:8">
      <c r="A1104" t="s">
        <v>243</v>
      </c>
      <c r="B1104" t="s">
        <v>75</v>
      </c>
      <c r="C1104">
        <v>40</v>
      </c>
      <c r="D1104" t="s">
        <v>5013</v>
      </c>
      <c r="E1104" t="s">
        <v>5014</v>
      </c>
      <c r="F1104" t="s">
        <v>75</v>
      </c>
      <c r="H1104" t="s">
        <v>5015</v>
      </c>
    </row>
    <row r="1105" spans="1:8">
      <c r="A1105" t="s">
        <v>243</v>
      </c>
      <c r="B1105" t="s">
        <v>75</v>
      </c>
      <c r="C1105">
        <v>40</v>
      </c>
      <c r="D1105" t="s">
        <v>5009</v>
      </c>
      <c r="E1105" t="s">
        <v>5010</v>
      </c>
      <c r="F1105" t="s">
        <v>75</v>
      </c>
      <c r="G1105" t="s">
        <v>5011</v>
      </c>
      <c r="H1105" t="s">
        <v>5012</v>
      </c>
    </row>
    <row r="1106" spans="1:8">
      <c r="A1106" t="s">
        <v>240</v>
      </c>
      <c r="B1106" t="s">
        <v>75</v>
      </c>
      <c r="C1106">
        <v>40</v>
      </c>
      <c r="D1106" t="s">
        <v>5016</v>
      </c>
      <c r="E1106" t="s">
        <v>5017</v>
      </c>
      <c r="F1106" t="s">
        <v>75</v>
      </c>
      <c r="G1106" t="s">
        <v>5018</v>
      </c>
      <c r="H1106" t="s">
        <v>5019</v>
      </c>
    </row>
    <row r="1107" spans="1:8">
      <c r="A1107" t="s">
        <v>243</v>
      </c>
      <c r="B1107" t="s">
        <v>75</v>
      </c>
      <c r="C1107">
        <v>40</v>
      </c>
      <c r="D1107" t="s">
        <v>5020</v>
      </c>
      <c r="E1107" t="s">
        <v>5021</v>
      </c>
      <c r="F1107" t="s">
        <v>75</v>
      </c>
      <c r="G1107" t="s">
        <v>5018</v>
      </c>
      <c r="H1107" t="s">
        <v>5019</v>
      </c>
    </row>
    <row r="1108" spans="1:8">
      <c r="A1108" t="s">
        <v>242</v>
      </c>
      <c r="B1108" t="s">
        <v>75</v>
      </c>
      <c r="C1108">
        <v>40</v>
      </c>
      <c r="D1108" t="s">
        <v>5022</v>
      </c>
      <c r="E1108" t="s">
        <v>5023</v>
      </c>
      <c r="F1108" t="s">
        <v>75</v>
      </c>
    </row>
    <row r="1109" spans="1:8">
      <c r="A1109" t="s">
        <v>240</v>
      </c>
      <c r="B1109" t="s">
        <v>75</v>
      </c>
      <c r="C1109">
        <v>40</v>
      </c>
      <c r="D1109" t="s">
        <v>5024</v>
      </c>
      <c r="E1109" t="s">
        <v>5025</v>
      </c>
      <c r="F1109" t="s">
        <v>75</v>
      </c>
      <c r="H1109" t="s">
        <v>5026</v>
      </c>
    </row>
    <row r="1110" spans="1:8">
      <c r="A1110" t="s">
        <v>241</v>
      </c>
      <c r="B1110" t="s">
        <v>75</v>
      </c>
      <c r="C1110">
        <v>40</v>
      </c>
      <c r="D1110" t="s">
        <v>5027</v>
      </c>
      <c r="E1110" t="s">
        <v>5028</v>
      </c>
      <c r="F1110" t="s">
        <v>75</v>
      </c>
      <c r="G1110" t="s">
        <v>4872</v>
      </c>
      <c r="H1110" t="s">
        <v>4873</v>
      </c>
    </row>
    <row r="1111" spans="1:8">
      <c r="A1111" t="s">
        <v>243</v>
      </c>
      <c r="B1111" t="s">
        <v>75</v>
      </c>
      <c r="C1111">
        <v>40</v>
      </c>
      <c r="D1111" t="s">
        <v>5029</v>
      </c>
      <c r="E1111" t="s">
        <v>5030</v>
      </c>
      <c r="F1111" t="s">
        <v>75</v>
      </c>
      <c r="H1111" t="s">
        <v>5031</v>
      </c>
    </row>
    <row r="1112" spans="1:8">
      <c r="A1112" t="s">
        <v>241</v>
      </c>
      <c r="B1112" t="s">
        <v>75</v>
      </c>
      <c r="C1112">
        <v>40</v>
      </c>
      <c r="D1112" t="s">
        <v>5032</v>
      </c>
      <c r="E1112" t="s">
        <v>5033</v>
      </c>
      <c r="F1112" t="s">
        <v>75</v>
      </c>
      <c r="G1112" t="s">
        <v>5034</v>
      </c>
      <c r="H1112" t="s">
        <v>5035</v>
      </c>
    </row>
    <row r="1113" spans="1:8">
      <c r="A1113" t="s">
        <v>242</v>
      </c>
      <c r="B1113" t="s">
        <v>75</v>
      </c>
      <c r="C1113">
        <v>40</v>
      </c>
      <c r="D1113" t="s">
        <v>5036</v>
      </c>
      <c r="E1113" t="s">
        <v>5037</v>
      </c>
      <c r="F1113" t="s">
        <v>75</v>
      </c>
      <c r="H1113" t="s">
        <v>5038</v>
      </c>
    </row>
    <row r="1114" spans="1:8">
      <c r="A1114" t="s">
        <v>245</v>
      </c>
      <c r="B1114" t="s">
        <v>75</v>
      </c>
      <c r="C1114">
        <v>40</v>
      </c>
      <c r="D1114" t="s">
        <v>5039</v>
      </c>
      <c r="E1114" t="s">
        <v>5040</v>
      </c>
      <c r="F1114" t="s">
        <v>75</v>
      </c>
      <c r="G1114" t="s">
        <v>5041</v>
      </c>
      <c r="H1114" t="s">
        <v>5042</v>
      </c>
    </row>
    <row r="1115" spans="1:8">
      <c r="A1115" t="s">
        <v>238</v>
      </c>
      <c r="B1115" t="s">
        <v>75</v>
      </c>
      <c r="C1115">
        <v>40</v>
      </c>
      <c r="D1115" t="s">
        <v>4919</v>
      </c>
      <c r="E1115" t="s">
        <v>5043</v>
      </c>
      <c r="F1115" t="s">
        <v>4921</v>
      </c>
      <c r="G1115" t="s">
        <v>4922</v>
      </c>
      <c r="H1115" t="s">
        <v>4923</v>
      </c>
    </row>
    <row r="1116" spans="1:8">
      <c r="A1116" t="s">
        <v>240</v>
      </c>
      <c r="B1116" t="s">
        <v>75</v>
      </c>
      <c r="C1116">
        <v>40</v>
      </c>
      <c r="D1116" t="s">
        <v>5044</v>
      </c>
      <c r="E1116" t="s">
        <v>5045</v>
      </c>
      <c r="F1116" t="s">
        <v>75</v>
      </c>
      <c r="G1116" t="s">
        <v>5046</v>
      </c>
      <c r="H1116" t="s">
        <v>5047</v>
      </c>
    </row>
    <row r="1117" spans="1:8">
      <c r="A1117" t="s">
        <v>241</v>
      </c>
      <c r="B1117" t="s">
        <v>75</v>
      </c>
      <c r="C1117">
        <v>40</v>
      </c>
      <c r="D1117" t="s">
        <v>5048</v>
      </c>
      <c r="E1117" t="s">
        <v>5049</v>
      </c>
      <c r="F1117" t="s">
        <v>75</v>
      </c>
      <c r="H1117" t="s">
        <v>5050</v>
      </c>
    </row>
    <row r="1118" spans="1:8">
      <c r="A1118" t="s">
        <v>243</v>
      </c>
      <c r="B1118" t="s">
        <v>75</v>
      </c>
      <c r="C1118">
        <v>40</v>
      </c>
      <c r="D1118" t="s">
        <v>5051</v>
      </c>
      <c r="E1118" t="s">
        <v>5052</v>
      </c>
      <c r="F1118" t="s">
        <v>75</v>
      </c>
      <c r="G1118" t="s">
        <v>5053</v>
      </c>
      <c r="H1118" t="s">
        <v>5054</v>
      </c>
    </row>
    <row r="1119" spans="1:8">
      <c r="A1119" t="s">
        <v>242</v>
      </c>
      <c r="B1119" t="s">
        <v>75</v>
      </c>
      <c r="C1119">
        <v>40</v>
      </c>
      <c r="D1119" t="s">
        <v>5055</v>
      </c>
      <c r="E1119" t="s">
        <v>4945</v>
      </c>
      <c r="F1119" t="s">
        <v>75</v>
      </c>
      <c r="G1119" t="s">
        <v>5056</v>
      </c>
      <c r="H1119" t="s">
        <v>5057</v>
      </c>
    </row>
    <row r="1120" spans="1:8">
      <c r="A1120" t="s">
        <v>239</v>
      </c>
      <c r="B1120" t="s">
        <v>75</v>
      </c>
      <c r="C1120">
        <v>40</v>
      </c>
      <c r="D1120" t="s">
        <v>5058</v>
      </c>
      <c r="E1120" t="s">
        <v>5059</v>
      </c>
      <c r="F1120" t="s">
        <v>75</v>
      </c>
      <c r="H1120" t="s">
        <v>5060</v>
      </c>
    </row>
    <row r="1121" spans="1:8">
      <c r="A1121" t="s">
        <v>242</v>
      </c>
      <c r="B1121" t="s">
        <v>75</v>
      </c>
      <c r="C1121">
        <v>40</v>
      </c>
      <c r="D1121" t="s">
        <v>5061</v>
      </c>
      <c r="E1121" t="s">
        <v>5062</v>
      </c>
      <c r="F1121" t="s">
        <v>75</v>
      </c>
      <c r="G1121" t="s">
        <v>5063</v>
      </c>
      <c r="H1121" t="s">
        <v>5064</v>
      </c>
    </row>
    <row r="1122" spans="1:8">
      <c r="A1122" t="s">
        <v>241</v>
      </c>
      <c r="B1122" t="s">
        <v>75</v>
      </c>
      <c r="C1122">
        <v>40</v>
      </c>
      <c r="D1122" t="s">
        <v>5065</v>
      </c>
      <c r="E1122" t="s">
        <v>5066</v>
      </c>
      <c r="F1122" t="s">
        <v>75</v>
      </c>
      <c r="H1122" t="s">
        <v>5067</v>
      </c>
    </row>
    <row r="1123" spans="1:8">
      <c r="A1123" t="s">
        <v>243</v>
      </c>
      <c r="B1123" t="s">
        <v>75</v>
      </c>
      <c r="C1123">
        <v>40</v>
      </c>
      <c r="D1123" t="s">
        <v>5068</v>
      </c>
      <c r="E1123" t="s">
        <v>5069</v>
      </c>
      <c r="F1123" t="s">
        <v>5070</v>
      </c>
      <c r="H1123" t="s">
        <v>5071</v>
      </c>
    </row>
    <row r="1124" spans="1:8">
      <c r="A1124" t="s">
        <v>243</v>
      </c>
      <c r="B1124" t="s">
        <v>75</v>
      </c>
      <c r="C1124">
        <v>40</v>
      </c>
      <c r="D1124" t="s">
        <v>5072</v>
      </c>
      <c r="E1124" t="s">
        <v>5073</v>
      </c>
      <c r="F1124" t="s">
        <v>75</v>
      </c>
      <c r="H1124" t="s">
        <v>5074</v>
      </c>
    </row>
    <row r="1125" spans="1:8">
      <c r="A1125" t="s">
        <v>241</v>
      </c>
      <c r="B1125" t="s">
        <v>75</v>
      </c>
      <c r="C1125">
        <v>40</v>
      </c>
      <c r="D1125" t="s">
        <v>5075</v>
      </c>
      <c r="E1125" t="s">
        <v>5076</v>
      </c>
      <c r="F1125" t="s">
        <v>75</v>
      </c>
      <c r="H1125" t="s">
        <v>5077</v>
      </c>
    </row>
    <row r="1126" spans="1:8">
      <c r="A1126" t="s">
        <v>243</v>
      </c>
      <c r="B1126" t="s">
        <v>83</v>
      </c>
      <c r="C1126">
        <v>41</v>
      </c>
      <c r="D1126" t="s">
        <v>9597</v>
      </c>
      <c r="E1126" t="s">
        <v>9598</v>
      </c>
      <c r="H1126" t="s">
        <v>9599</v>
      </c>
    </row>
    <row r="1127" spans="1:8">
      <c r="A1127" t="s">
        <v>240</v>
      </c>
      <c r="B1127" t="s">
        <v>83</v>
      </c>
      <c r="C1127">
        <v>41</v>
      </c>
      <c r="D1127" t="s">
        <v>9600</v>
      </c>
      <c r="E1127" t="s">
        <v>9601</v>
      </c>
      <c r="F1127" t="s">
        <v>83</v>
      </c>
      <c r="G1127" t="s">
        <v>9602</v>
      </c>
      <c r="H1127" t="s">
        <v>9603</v>
      </c>
    </row>
    <row r="1128" spans="1:8">
      <c r="A1128" t="s">
        <v>241</v>
      </c>
      <c r="B1128" t="s">
        <v>83</v>
      </c>
      <c r="C1128">
        <v>41</v>
      </c>
      <c r="D1128" t="s">
        <v>9604</v>
      </c>
      <c r="E1128" t="s">
        <v>9605</v>
      </c>
      <c r="H1128" t="s">
        <v>9606</v>
      </c>
    </row>
    <row r="1129" spans="1:8">
      <c r="A1129" t="s">
        <v>238</v>
      </c>
      <c r="B1129" t="s">
        <v>83</v>
      </c>
      <c r="C1129">
        <v>41</v>
      </c>
      <c r="D1129" t="s">
        <v>9607</v>
      </c>
      <c r="E1129" t="s">
        <v>9608</v>
      </c>
      <c r="F1129" t="s">
        <v>83</v>
      </c>
      <c r="H1129" t="s">
        <v>9609</v>
      </c>
    </row>
    <row r="1130" spans="1:8">
      <c r="A1130" t="s">
        <v>240</v>
      </c>
      <c r="B1130" t="s">
        <v>83</v>
      </c>
      <c r="C1130">
        <v>41</v>
      </c>
      <c r="D1130" t="s">
        <v>9610</v>
      </c>
      <c r="E1130" t="s">
        <v>9611</v>
      </c>
      <c r="F1130" t="s">
        <v>83</v>
      </c>
      <c r="G1130" t="s">
        <v>9612</v>
      </c>
      <c r="H1130" t="s">
        <v>9613</v>
      </c>
    </row>
    <row r="1131" spans="1:8">
      <c r="A1131" t="s">
        <v>239</v>
      </c>
      <c r="B1131" t="s">
        <v>110</v>
      </c>
      <c r="C1131">
        <v>42</v>
      </c>
      <c r="D1131" t="s">
        <v>2349</v>
      </c>
      <c r="E1131" t="s">
        <v>2350</v>
      </c>
      <c r="F1131" t="s">
        <v>110</v>
      </c>
      <c r="H1131" t="s">
        <v>2351</v>
      </c>
    </row>
    <row r="1132" spans="1:8">
      <c r="A1132" t="s">
        <v>241</v>
      </c>
      <c r="B1132" t="s">
        <v>110</v>
      </c>
      <c r="C1132">
        <v>42</v>
      </c>
      <c r="D1132" t="s">
        <v>2352</v>
      </c>
      <c r="E1132" t="s">
        <v>2350</v>
      </c>
      <c r="F1132" t="s">
        <v>110</v>
      </c>
      <c r="H1132" t="s">
        <v>2353</v>
      </c>
    </row>
    <row r="1133" spans="1:8">
      <c r="A1133" t="s">
        <v>240</v>
      </c>
      <c r="B1133" t="s">
        <v>110</v>
      </c>
      <c r="C1133">
        <v>42</v>
      </c>
      <c r="D1133" t="s">
        <v>2354</v>
      </c>
      <c r="E1133" t="s">
        <v>2355</v>
      </c>
      <c r="F1133" t="s">
        <v>2356</v>
      </c>
      <c r="H1133" t="s">
        <v>2357</v>
      </c>
    </row>
    <row r="1134" spans="1:8">
      <c r="A1134" t="s">
        <v>240</v>
      </c>
      <c r="B1134" t="s">
        <v>110</v>
      </c>
      <c r="C1134">
        <v>42</v>
      </c>
      <c r="D1134" t="s">
        <v>2358</v>
      </c>
      <c r="E1134" t="s">
        <v>2359</v>
      </c>
      <c r="F1134" t="s">
        <v>2356</v>
      </c>
    </row>
    <row r="1135" spans="1:8">
      <c r="A1135" t="s">
        <v>241</v>
      </c>
      <c r="B1135" t="s">
        <v>201</v>
      </c>
      <c r="C1135">
        <v>42</v>
      </c>
      <c r="D1135" t="s">
        <v>6252</v>
      </c>
      <c r="E1135" t="s">
        <v>6253</v>
      </c>
      <c r="G1135" t="s">
        <v>6254</v>
      </c>
      <c r="H1135" t="s">
        <v>6255</v>
      </c>
    </row>
    <row r="1136" spans="1:8">
      <c r="A1136" t="s">
        <v>249</v>
      </c>
      <c r="B1136" t="s">
        <v>201</v>
      </c>
      <c r="C1136">
        <v>42</v>
      </c>
      <c r="D1136" t="s">
        <v>6256</v>
      </c>
      <c r="F1136" t="s">
        <v>201</v>
      </c>
      <c r="G1136" t="s">
        <v>6257</v>
      </c>
      <c r="H1136" t="s">
        <v>6258</v>
      </c>
    </row>
    <row r="1137" spans="1:8">
      <c r="A1137" t="s">
        <v>240</v>
      </c>
      <c r="B1137" t="s">
        <v>201</v>
      </c>
      <c r="C1137">
        <v>42</v>
      </c>
      <c r="D1137" t="s">
        <v>6259</v>
      </c>
      <c r="E1137" t="s">
        <v>6260</v>
      </c>
      <c r="F1137" t="s">
        <v>201</v>
      </c>
      <c r="G1137" t="s">
        <v>3791</v>
      </c>
      <c r="H1137" t="s">
        <v>6261</v>
      </c>
    </row>
    <row r="1138" spans="1:8">
      <c r="A1138" t="s">
        <v>240</v>
      </c>
      <c r="B1138" t="s">
        <v>201</v>
      </c>
      <c r="C1138">
        <v>42</v>
      </c>
      <c r="D1138" t="s">
        <v>6262</v>
      </c>
      <c r="E1138" t="s">
        <v>6263</v>
      </c>
      <c r="F1138" t="s">
        <v>201</v>
      </c>
      <c r="H1138" t="s">
        <v>6264</v>
      </c>
    </row>
    <row r="1139" spans="1:8">
      <c r="A1139" t="s">
        <v>240</v>
      </c>
      <c r="B1139" t="s">
        <v>201</v>
      </c>
      <c r="C1139">
        <v>42</v>
      </c>
      <c r="D1139" t="s">
        <v>6265</v>
      </c>
      <c r="E1139" t="s">
        <v>6266</v>
      </c>
      <c r="F1139" t="s">
        <v>201</v>
      </c>
      <c r="G1139" t="s">
        <v>6267</v>
      </c>
      <c r="H1139" t="s">
        <v>6268</v>
      </c>
    </row>
    <row r="1140" spans="1:8">
      <c r="A1140" t="s">
        <v>240</v>
      </c>
      <c r="B1140" t="s">
        <v>201</v>
      </c>
      <c r="C1140">
        <v>42</v>
      </c>
      <c r="D1140" t="s">
        <v>6269</v>
      </c>
      <c r="E1140" t="s">
        <v>6270</v>
      </c>
      <c r="F1140" t="s">
        <v>201</v>
      </c>
      <c r="G1140" t="s">
        <v>6271</v>
      </c>
      <c r="H1140" t="s">
        <v>6272</v>
      </c>
    </row>
    <row r="1141" spans="1:8">
      <c r="A1141" t="s">
        <v>240</v>
      </c>
      <c r="B1141" t="s">
        <v>201</v>
      </c>
      <c r="C1141">
        <v>42</v>
      </c>
      <c r="D1141" t="s">
        <v>6273</v>
      </c>
      <c r="E1141" t="s">
        <v>6274</v>
      </c>
      <c r="F1141" t="s">
        <v>201</v>
      </c>
    </row>
    <row r="1142" spans="1:8">
      <c r="A1142" t="s">
        <v>243</v>
      </c>
      <c r="B1142" t="s">
        <v>201</v>
      </c>
      <c r="C1142">
        <v>42</v>
      </c>
      <c r="D1142" t="s">
        <v>6275</v>
      </c>
      <c r="E1142" t="s">
        <v>6276</v>
      </c>
      <c r="F1142" t="s">
        <v>201</v>
      </c>
      <c r="G1142" t="s">
        <v>6277</v>
      </c>
      <c r="H1142" t="s">
        <v>6278</v>
      </c>
    </row>
    <row r="1143" spans="1:8">
      <c r="A1143" t="s">
        <v>242</v>
      </c>
      <c r="B1143" t="s">
        <v>201</v>
      </c>
      <c r="C1143">
        <v>42</v>
      </c>
      <c r="D1143" t="s">
        <v>6279</v>
      </c>
      <c r="E1143" t="s">
        <v>6280</v>
      </c>
      <c r="F1143" t="s">
        <v>201</v>
      </c>
      <c r="G1143" t="s">
        <v>6281</v>
      </c>
      <c r="H1143" t="s">
        <v>6282</v>
      </c>
    </row>
    <row r="1144" spans="1:8">
      <c r="A1144" t="s">
        <v>239</v>
      </c>
      <c r="B1144" t="s">
        <v>201</v>
      </c>
      <c r="C1144">
        <v>42</v>
      </c>
      <c r="D1144" t="s">
        <v>6283</v>
      </c>
      <c r="E1144" t="s">
        <v>6284</v>
      </c>
      <c r="F1144" t="s">
        <v>201</v>
      </c>
      <c r="G1144" t="s">
        <v>6285</v>
      </c>
      <c r="H1144" t="s">
        <v>6286</v>
      </c>
    </row>
    <row r="1145" spans="1:8">
      <c r="A1145" t="s">
        <v>243</v>
      </c>
      <c r="B1145" t="s">
        <v>201</v>
      </c>
      <c r="C1145">
        <v>42</v>
      </c>
      <c r="D1145" t="s">
        <v>6287</v>
      </c>
    </row>
    <row r="1146" spans="1:8">
      <c r="A1146" t="s">
        <v>241</v>
      </c>
      <c r="B1146" t="s">
        <v>201</v>
      </c>
      <c r="C1146">
        <v>42</v>
      </c>
      <c r="D1146" t="s">
        <v>6288</v>
      </c>
      <c r="E1146" t="s">
        <v>6289</v>
      </c>
      <c r="F1146" t="s">
        <v>201</v>
      </c>
      <c r="H1146" t="s">
        <v>6290</v>
      </c>
    </row>
    <row r="1147" spans="1:8">
      <c r="A1147" t="s">
        <v>241</v>
      </c>
      <c r="B1147" t="s">
        <v>201</v>
      </c>
      <c r="C1147">
        <v>42</v>
      </c>
      <c r="D1147" t="s">
        <v>6291</v>
      </c>
      <c r="E1147" t="s">
        <v>6292</v>
      </c>
      <c r="F1147" t="s">
        <v>201</v>
      </c>
      <c r="G1147" t="s">
        <v>6293</v>
      </c>
      <c r="H1147" t="s">
        <v>6294</v>
      </c>
    </row>
    <row r="1148" spans="1:8">
      <c r="A1148" t="s">
        <v>243</v>
      </c>
      <c r="B1148" t="s">
        <v>201</v>
      </c>
      <c r="C1148">
        <v>42</v>
      </c>
      <c r="D1148" t="s">
        <v>6295</v>
      </c>
      <c r="E1148" t="s">
        <v>6296</v>
      </c>
      <c r="F1148" t="s">
        <v>201</v>
      </c>
      <c r="G1148" t="s">
        <v>6297</v>
      </c>
      <c r="H1148" t="s">
        <v>6298</v>
      </c>
    </row>
    <row r="1149" spans="1:8">
      <c r="A1149" t="s">
        <v>241</v>
      </c>
      <c r="B1149" t="s">
        <v>201</v>
      </c>
      <c r="C1149">
        <v>42</v>
      </c>
      <c r="D1149" t="s">
        <v>6299</v>
      </c>
      <c r="E1149" t="s">
        <v>6300</v>
      </c>
      <c r="F1149" t="s">
        <v>201</v>
      </c>
      <c r="G1149" t="s">
        <v>6301</v>
      </c>
      <c r="H1149" t="s">
        <v>6302</v>
      </c>
    </row>
    <row r="1150" spans="1:8">
      <c r="A1150" t="s">
        <v>243</v>
      </c>
      <c r="B1150" t="s">
        <v>201</v>
      </c>
      <c r="C1150">
        <v>42</v>
      </c>
      <c r="D1150" t="s">
        <v>6303</v>
      </c>
      <c r="E1150" t="s">
        <v>6304</v>
      </c>
      <c r="F1150" t="s">
        <v>6305</v>
      </c>
      <c r="H1150" t="s">
        <v>6306</v>
      </c>
    </row>
    <row r="1151" spans="1:8">
      <c r="A1151" t="s">
        <v>241</v>
      </c>
      <c r="B1151" t="s">
        <v>201</v>
      </c>
      <c r="C1151">
        <v>42</v>
      </c>
      <c r="D1151" t="s">
        <v>1631</v>
      </c>
      <c r="E1151" t="s">
        <v>6307</v>
      </c>
      <c r="F1151" t="s">
        <v>201</v>
      </c>
      <c r="G1151" t="s">
        <v>6308</v>
      </c>
      <c r="H1151" t="s">
        <v>6309</v>
      </c>
    </row>
    <row r="1152" spans="1:8">
      <c r="A1152" t="s">
        <v>238</v>
      </c>
      <c r="B1152" t="s">
        <v>201</v>
      </c>
      <c r="C1152">
        <v>42</v>
      </c>
      <c r="D1152" t="s">
        <v>6310</v>
      </c>
      <c r="E1152" t="s">
        <v>6311</v>
      </c>
      <c r="F1152" t="s">
        <v>201</v>
      </c>
    </row>
    <row r="1153" spans="1:8">
      <c r="A1153" t="s">
        <v>243</v>
      </c>
      <c r="B1153" t="s">
        <v>201</v>
      </c>
      <c r="C1153">
        <v>42</v>
      </c>
      <c r="D1153" t="s">
        <v>6312</v>
      </c>
      <c r="E1153" t="s">
        <v>6313</v>
      </c>
      <c r="F1153" t="s">
        <v>6314</v>
      </c>
      <c r="G1153" t="s">
        <v>6315</v>
      </c>
      <c r="H1153" t="s">
        <v>6316</v>
      </c>
    </row>
    <row r="1154" spans="1:8">
      <c r="A1154" t="s">
        <v>242</v>
      </c>
      <c r="B1154" t="s">
        <v>201</v>
      </c>
      <c r="C1154">
        <v>42</v>
      </c>
      <c r="D1154" t="s">
        <v>6317</v>
      </c>
      <c r="E1154" t="s">
        <v>6318</v>
      </c>
      <c r="F1154" t="s">
        <v>201</v>
      </c>
      <c r="G1154" t="s">
        <v>6319</v>
      </c>
      <c r="H1154" t="s">
        <v>6320</v>
      </c>
    </row>
    <row r="1155" spans="1:8">
      <c r="A1155" t="s">
        <v>242</v>
      </c>
      <c r="B1155" t="s">
        <v>201</v>
      </c>
      <c r="C1155">
        <v>42</v>
      </c>
      <c r="D1155" t="s">
        <v>6321</v>
      </c>
      <c r="E1155" t="s">
        <v>6322</v>
      </c>
      <c r="F1155" t="s">
        <v>201</v>
      </c>
      <c r="G1155" t="s">
        <v>6323</v>
      </c>
    </row>
    <row r="1156" spans="1:8">
      <c r="A1156" t="s">
        <v>252</v>
      </c>
      <c r="B1156" t="s">
        <v>201</v>
      </c>
      <c r="C1156">
        <v>42</v>
      </c>
      <c r="D1156" t="s">
        <v>6324</v>
      </c>
      <c r="E1156" t="s">
        <v>6325</v>
      </c>
      <c r="F1156" t="s">
        <v>201</v>
      </c>
      <c r="G1156" t="s">
        <v>6326</v>
      </c>
      <c r="H1156" t="s">
        <v>6327</v>
      </c>
    </row>
    <row r="1157" spans="1:8">
      <c r="A1157" t="s">
        <v>252</v>
      </c>
      <c r="B1157" t="s">
        <v>201</v>
      </c>
      <c r="C1157">
        <v>42</v>
      </c>
      <c r="D1157" t="s">
        <v>6328</v>
      </c>
      <c r="E1157" t="s">
        <v>6329</v>
      </c>
      <c r="F1157" t="s">
        <v>201</v>
      </c>
      <c r="G1157" t="s">
        <v>6330</v>
      </c>
      <c r="H1157" t="s">
        <v>6331</v>
      </c>
    </row>
    <row r="1158" spans="1:8">
      <c r="A1158" t="s">
        <v>252</v>
      </c>
      <c r="B1158" t="s">
        <v>201</v>
      </c>
      <c r="C1158">
        <v>42</v>
      </c>
      <c r="D1158" t="s">
        <v>6332</v>
      </c>
      <c r="E1158" t="s">
        <v>6333</v>
      </c>
      <c r="F1158" t="s">
        <v>201</v>
      </c>
      <c r="G1158" t="s">
        <v>6334</v>
      </c>
      <c r="H1158" t="s">
        <v>6335</v>
      </c>
    </row>
    <row r="1159" spans="1:8">
      <c r="A1159" t="s">
        <v>249</v>
      </c>
      <c r="B1159" t="s">
        <v>201</v>
      </c>
      <c r="C1159">
        <v>42</v>
      </c>
      <c r="D1159" t="s">
        <v>6336</v>
      </c>
      <c r="E1159" t="s">
        <v>6337</v>
      </c>
      <c r="F1159" t="s">
        <v>201</v>
      </c>
      <c r="H1159" t="s">
        <v>6338</v>
      </c>
    </row>
    <row r="1160" spans="1:8">
      <c r="A1160" t="s">
        <v>252</v>
      </c>
      <c r="B1160" t="s">
        <v>201</v>
      </c>
      <c r="C1160">
        <v>42</v>
      </c>
      <c r="D1160" t="s">
        <v>6339</v>
      </c>
      <c r="E1160" t="s">
        <v>6340</v>
      </c>
      <c r="F1160" t="s">
        <v>201</v>
      </c>
      <c r="G1160" t="s">
        <v>6341</v>
      </c>
      <c r="H1160" t="s">
        <v>6342</v>
      </c>
    </row>
    <row r="1161" spans="1:8">
      <c r="A1161" t="s">
        <v>252</v>
      </c>
      <c r="B1161" t="s">
        <v>201</v>
      </c>
      <c r="C1161">
        <v>42</v>
      </c>
      <c r="D1161" t="s">
        <v>3108</v>
      </c>
      <c r="E1161" t="s">
        <v>6343</v>
      </c>
      <c r="F1161" t="s">
        <v>201</v>
      </c>
      <c r="G1161" t="s">
        <v>6344</v>
      </c>
      <c r="H1161" t="s">
        <v>6345</v>
      </c>
    </row>
    <row r="1162" spans="1:8">
      <c r="A1162" t="s">
        <v>249</v>
      </c>
      <c r="B1162" t="s">
        <v>201</v>
      </c>
      <c r="C1162">
        <v>42</v>
      </c>
      <c r="D1162" t="s">
        <v>6346</v>
      </c>
      <c r="E1162" t="s">
        <v>6347</v>
      </c>
      <c r="F1162" t="s">
        <v>201</v>
      </c>
      <c r="G1162" t="s">
        <v>6348</v>
      </c>
      <c r="H1162" t="s">
        <v>6349</v>
      </c>
    </row>
    <row r="1163" spans="1:8">
      <c r="A1163" t="s">
        <v>246</v>
      </c>
      <c r="B1163" t="s">
        <v>201</v>
      </c>
      <c r="C1163">
        <v>42</v>
      </c>
      <c r="D1163" t="s">
        <v>6350</v>
      </c>
      <c r="E1163" t="s">
        <v>6351</v>
      </c>
      <c r="F1163" t="s">
        <v>201</v>
      </c>
      <c r="G1163" t="s">
        <v>6352</v>
      </c>
      <c r="H1163" t="s">
        <v>6353</v>
      </c>
    </row>
    <row r="1164" spans="1:8">
      <c r="A1164" t="s">
        <v>241</v>
      </c>
      <c r="B1164" t="s">
        <v>201</v>
      </c>
      <c r="C1164">
        <v>42</v>
      </c>
      <c r="D1164" t="s">
        <v>6354</v>
      </c>
      <c r="E1164" t="s">
        <v>6355</v>
      </c>
      <c r="F1164" t="s">
        <v>201</v>
      </c>
      <c r="G1164" t="s">
        <v>6356</v>
      </c>
      <c r="H1164" t="s">
        <v>6357</v>
      </c>
    </row>
    <row r="1165" spans="1:8">
      <c r="A1165" t="s">
        <v>241</v>
      </c>
      <c r="B1165" t="s">
        <v>201</v>
      </c>
      <c r="C1165">
        <v>42</v>
      </c>
      <c r="D1165" t="s">
        <v>6358</v>
      </c>
      <c r="E1165" t="s">
        <v>6359</v>
      </c>
      <c r="F1165" t="s">
        <v>201</v>
      </c>
      <c r="H1165" t="s">
        <v>6360</v>
      </c>
    </row>
    <row r="1166" spans="1:8">
      <c r="A1166" t="s">
        <v>241</v>
      </c>
      <c r="B1166" t="s">
        <v>201</v>
      </c>
      <c r="C1166">
        <v>42</v>
      </c>
      <c r="D1166" t="s">
        <v>6361</v>
      </c>
      <c r="E1166" t="s">
        <v>6362</v>
      </c>
      <c r="F1166" t="s">
        <v>201</v>
      </c>
      <c r="H1166" t="s">
        <v>6363</v>
      </c>
    </row>
    <row r="1167" spans="1:8">
      <c r="A1167" t="s">
        <v>241</v>
      </c>
      <c r="B1167" t="s">
        <v>201</v>
      </c>
      <c r="C1167">
        <v>42</v>
      </c>
      <c r="D1167" t="s">
        <v>6364</v>
      </c>
      <c r="E1167" t="s">
        <v>6365</v>
      </c>
      <c r="F1167" t="s">
        <v>201</v>
      </c>
    </row>
    <row r="1168" spans="1:8">
      <c r="A1168" t="s">
        <v>243</v>
      </c>
      <c r="B1168" t="s">
        <v>201</v>
      </c>
      <c r="C1168">
        <v>42</v>
      </c>
      <c r="D1168" t="s">
        <v>6366</v>
      </c>
      <c r="E1168" t="s">
        <v>6367</v>
      </c>
      <c r="F1168" t="s">
        <v>201</v>
      </c>
      <c r="G1168" t="s">
        <v>6368</v>
      </c>
      <c r="H1168" t="s">
        <v>6369</v>
      </c>
    </row>
    <row r="1169" spans="1:8">
      <c r="A1169" t="s">
        <v>241</v>
      </c>
      <c r="B1169" t="s">
        <v>201</v>
      </c>
      <c r="C1169">
        <v>42</v>
      </c>
      <c r="D1169" t="s">
        <v>6370</v>
      </c>
      <c r="F1169" t="s">
        <v>201</v>
      </c>
    </row>
    <row r="1170" spans="1:8">
      <c r="A1170" t="s">
        <v>242</v>
      </c>
      <c r="B1170" t="s">
        <v>201</v>
      </c>
      <c r="C1170">
        <v>42</v>
      </c>
      <c r="D1170" t="s">
        <v>6371</v>
      </c>
      <c r="E1170" t="s">
        <v>6372</v>
      </c>
      <c r="F1170" t="s">
        <v>201</v>
      </c>
      <c r="H1170" t="s">
        <v>6373</v>
      </c>
    </row>
    <row r="1171" spans="1:8">
      <c r="A1171" t="s">
        <v>242</v>
      </c>
      <c r="B1171" t="s">
        <v>201</v>
      </c>
      <c r="C1171">
        <v>42</v>
      </c>
      <c r="D1171" t="s">
        <v>6374</v>
      </c>
      <c r="E1171" t="s">
        <v>6375</v>
      </c>
      <c r="F1171" t="s">
        <v>201</v>
      </c>
    </row>
    <row r="1172" spans="1:8">
      <c r="A1172" t="s">
        <v>249</v>
      </c>
      <c r="B1172" t="s">
        <v>201</v>
      </c>
      <c r="C1172">
        <v>42</v>
      </c>
      <c r="D1172" t="s">
        <v>6376</v>
      </c>
      <c r="E1172" t="s">
        <v>6377</v>
      </c>
      <c r="F1172" t="s">
        <v>201</v>
      </c>
      <c r="G1172" t="s">
        <v>6378</v>
      </c>
      <c r="H1172" t="s">
        <v>6379</v>
      </c>
    </row>
    <row r="1173" spans="1:8">
      <c r="A1173" t="s">
        <v>240</v>
      </c>
      <c r="B1173" t="s">
        <v>201</v>
      </c>
      <c r="C1173">
        <v>42</v>
      </c>
      <c r="D1173" t="s">
        <v>6380</v>
      </c>
      <c r="E1173" t="s">
        <v>6381</v>
      </c>
      <c r="F1173" t="s">
        <v>6382</v>
      </c>
      <c r="G1173" t="s">
        <v>6383</v>
      </c>
      <c r="H1173" t="s">
        <v>6384</v>
      </c>
    </row>
    <row r="1174" spans="1:8">
      <c r="A1174" t="s">
        <v>248</v>
      </c>
      <c r="B1174" t="s">
        <v>201</v>
      </c>
      <c r="C1174">
        <v>42</v>
      </c>
      <c r="D1174" t="s">
        <v>6385</v>
      </c>
      <c r="E1174" t="s">
        <v>6304</v>
      </c>
      <c r="F1174" t="s">
        <v>201</v>
      </c>
      <c r="G1174" t="s">
        <v>6386</v>
      </c>
      <c r="H1174" t="s">
        <v>6387</v>
      </c>
    </row>
    <row r="1175" spans="1:8">
      <c r="A1175" t="s">
        <v>242</v>
      </c>
      <c r="B1175" t="s">
        <v>201</v>
      </c>
      <c r="C1175">
        <v>42</v>
      </c>
      <c r="D1175" t="s">
        <v>3227</v>
      </c>
      <c r="E1175" t="s">
        <v>6388</v>
      </c>
      <c r="G1175" t="s">
        <v>6389</v>
      </c>
      <c r="H1175" t="s">
        <v>6390</v>
      </c>
    </row>
    <row r="1176" spans="1:8">
      <c r="A1176" t="s">
        <v>243</v>
      </c>
      <c r="B1176" t="s">
        <v>201</v>
      </c>
      <c r="C1176">
        <v>42</v>
      </c>
      <c r="D1176" t="s">
        <v>6391</v>
      </c>
      <c r="E1176" t="s">
        <v>6392</v>
      </c>
      <c r="H1176" t="s">
        <v>6393</v>
      </c>
    </row>
    <row r="1177" spans="1:8">
      <c r="A1177" t="s">
        <v>241</v>
      </c>
      <c r="B1177" t="s">
        <v>201</v>
      </c>
      <c r="C1177">
        <v>42</v>
      </c>
      <c r="D1177" t="s">
        <v>6394</v>
      </c>
      <c r="E1177" t="s">
        <v>6395</v>
      </c>
      <c r="H1177" t="s">
        <v>6396</v>
      </c>
    </row>
    <row r="1178" spans="1:8">
      <c r="A1178" t="s">
        <v>241</v>
      </c>
      <c r="B1178" t="s">
        <v>201</v>
      </c>
      <c r="C1178">
        <v>42</v>
      </c>
      <c r="D1178" t="s">
        <v>2689</v>
      </c>
      <c r="E1178" t="s">
        <v>6397</v>
      </c>
      <c r="G1178" t="s">
        <v>6398</v>
      </c>
      <c r="H1178" t="s">
        <v>6399</v>
      </c>
    </row>
    <row r="1179" spans="1:8">
      <c r="A1179" t="s">
        <v>241</v>
      </c>
      <c r="B1179" t="s">
        <v>201</v>
      </c>
      <c r="C1179">
        <v>42</v>
      </c>
      <c r="D1179" t="s">
        <v>6400</v>
      </c>
      <c r="E1179" t="s">
        <v>6401</v>
      </c>
      <c r="F1179" t="s">
        <v>6402</v>
      </c>
      <c r="G1179" t="s">
        <v>6403</v>
      </c>
      <c r="H1179" t="s">
        <v>6404</v>
      </c>
    </row>
    <row r="1180" spans="1:8">
      <c r="A1180" t="s">
        <v>241</v>
      </c>
      <c r="B1180" t="s">
        <v>201</v>
      </c>
      <c r="C1180">
        <v>42</v>
      </c>
      <c r="D1180" t="s">
        <v>6405</v>
      </c>
      <c r="E1180" t="s">
        <v>6406</v>
      </c>
    </row>
    <row r="1181" spans="1:8">
      <c r="A1181" t="s">
        <v>242</v>
      </c>
      <c r="B1181" t="s">
        <v>201</v>
      </c>
      <c r="C1181">
        <v>42</v>
      </c>
      <c r="D1181" t="s">
        <v>6407</v>
      </c>
      <c r="E1181" t="s">
        <v>6408</v>
      </c>
      <c r="F1181" t="s">
        <v>6409</v>
      </c>
      <c r="G1181" t="s">
        <v>6410</v>
      </c>
      <c r="H1181" t="s">
        <v>6411</v>
      </c>
    </row>
    <row r="1182" spans="1:8">
      <c r="A1182" t="s">
        <v>241</v>
      </c>
      <c r="B1182" t="s">
        <v>201</v>
      </c>
      <c r="C1182">
        <v>42</v>
      </c>
      <c r="D1182" t="s">
        <v>6412</v>
      </c>
      <c r="E1182" t="s">
        <v>6413</v>
      </c>
      <c r="F1182" t="s">
        <v>6414</v>
      </c>
      <c r="G1182" t="s">
        <v>6415</v>
      </c>
      <c r="H1182" t="s">
        <v>6416</v>
      </c>
    </row>
    <row r="1183" spans="1:8">
      <c r="A1183" t="s">
        <v>241</v>
      </c>
      <c r="B1183" t="s">
        <v>201</v>
      </c>
      <c r="C1183">
        <v>42</v>
      </c>
      <c r="D1183" t="s">
        <v>6417</v>
      </c>
      <c r="E1183" t="s">
        <v>6418</v>
      </c>
      <c r="F1183" t="s">
        <v>6419</v>
      </c>
      <c r="H1183" t="s">
        <v>6420</v>
      </c>
    </row>
    <row r="1184" spans="1:8">
      <c r="A1184" t="s">
        <v>241</v>
      </c>
      <c r="B1184" t="s">
        <v>201</v>
      </c>
      <c r="C1184">
        <v>42</v>
      </c>
      <c r="D1184" t="s">
        <v>6421</v>
      </c>
      <c r="E1184" t="s">
        <v>6422</v>
      </c>
      <c r="G1184" t="s">
        <v>6423</v>
      </c>
      <c r="H1184" t="s">
        <v>6424</v>
      </c>
    </row>
    <row r="1185" spans="1:8">
      <c r="A1185" t="s">
        <v>251</v>
      </c>
      <c r="B1185" t="s">
        <v>201</v>
      </c>
      <c r="C1185">
        <v>42</v>
      </c>
      <c r="D1185" t="s">
        <v>6425</v>
      </c>
      <c r="E1185" t="s">
        <v>6426</v>
      </c>
      <c r="G1185" t="s">
        <v>6427</v>
      </c>
      <c r="H1185" t="s">
        <v>6428</v>
      </c>
    </row>
    <row r="1186" spans="1:8">
      <c r="A1186" t="s">
        <v>241</v>
      </c>
      <c r="B1186" t="s">
        <v>201</v>
      </c>
      <c r="C1186">
        <v>42</v>
      </c>
      <c r="D1186" t="s">
        <v>6429</v>
      </c>
      <c r="E1186" t="s">
        <v>6430</v>
      </c>
      <c r="G1186" t="s">
        <v>6431</v>
      </c>
      <c r="H1186" t="s">
        <v>6432</v>
      </c>
    </row>
    <row r="1187" spans="1:8">
      <c r="A1187" t="s">
        <v>241</v>
      </c>
      <c r="B1187" t="s">
        <v>201</v>
      </c>
      <c r="C1187">
        <v>42</v>
      </c>
      <c r="D1187" t="s">
        <v>6433</v>
      </c>
      <c r="E1187" t="s">
        <v>6434</v>
      </c>
      <c r="H1187" t="s">
        <v>6435</v>
      </c>
    </row>
    <row r="1188" spans="1:8">
      <c r="A1188" t="s">
        <v>241</v>
      </c>
      <c r="B1188" t="s">
        <v>201</v>
      </c>
      <c r="C1188">
        <v>42</v>
      </c>
      <c r="D1188" t="s">
        <v>6436</v>
      </c>
      <c r="E1188" t="s">
        <v>6437</v>
      </c>
      <c r="G1188" t="s">
        <v>6438</v>
      </c>
      <c r="H1188" t="s">
        <v>6439</v>
      </c>
    </row>
    <row r="1189" spans="1:8">
      <c r="A1189" t="s">
        <v>241</v>
      </c>
      <c r="B1189" t="s">
        <v>201</v>
      </c>
      <c r="C1189">
        <v>42</v>
      </c>
      <c r="D1189" t="s">
        <v>6440</v>
      </c>
      <c r="E1189" t="s">
        <v>6441</v>
      </c>
      <c r="H1189" t="s">
        <v>6442</v>
      </c>
    </row>
    <row r="1190" spans="1:8">
      <c r="A1190" t="s">
        <v>241</v>
      </c>
      <c r="B1190" t="s">
        <v>201</v>
      </c>
      <c r="C1190">
        <v>42</v>
      </c>
      <c r="D1190" t="s">
        <v>6443</v>
      </c>
      <c r="E1190" t="s">
        <v>6444</v>
      </c>
      <c r="F1190" t="s">
        <v>6445</v>
      </c>
      <c r="G1190" t="s">
        <v>6446</v>
      </c>
      <c r="H1190" t="s">
        <v>6447</v>
      </c>
    </row>
    <row r="1191" spans="1:8">
      <c r="A1191" t="s">
        <v>241</v>
      </c>
      <c r="B1191" t="s">
        <v>201</v>
      </c>
      <c r="C1191">
        <v>42</v>
      </c>
      <c r="D1191" t="s">
        <v>6448</v>
      </c>
      <c r="E1191" t="s">
        <v>6449</v>
      </c>
      <c r="F1191" t="s">
        <v>201</v>
      </c>
      <c r="H1191" t="s">
        <v>6450</v>
      </c>
    </row>
    <row r="1192" spans="1:8">
      <c r="A1192" t="s">
        <v>241</v>
      </c>
      <c r="B1192" t="s">
        <v>201</v>
      </c>
      <c r="C1192">
        <v>42</v>
      </c>
      <c r="D1192" t="s">
        <v>6451</v>
      </c>
      <c r="E1192" t="s">
        <v>6452</v>
      </c>
    </row>
    <row r="1193" spans="1:8">
      <c r="A1193" t="s">
        <v>241</v>
      </c>
      <c r="B1193" t="s">
        <v>201</v>
      </c>
      <c r="C1193">
        <v>42</v>
      </c>
      <c r="D1193" t="s">
        <v>6453</v>
      </c>
      <c r="E1193" t="s">
        <v>6454</v>
      </c>
      <c r="H1193" t="s">
        <v>6455</v>
      </c>
    </row>
    <row r="1194" spans="1:8">
      <c r="A1194" t="s">
        <v>241</v>
      </c>
      <c r="B1194" t="s">
        <v>201</v>
      </c>
      <c r="C1194">
        <v>42</v>
      </c>
      <c r="D1194" t="s">
        <v>6456</v>
      </c>
      <c r="E1194" t="s">
        <v>6457</v>
      </c>
      <c r="F1194" t="s">
        <v>201</v>
      </c>
      <c r="G1194" t="s">
        <v>6458</v>
      </c>
      <c r="H1194" t="s">
        <v>6459</v>
      </c>
    </row>
    <row r="1195" spans="1:8">
      <c r="A1195" t="s">
        <v>241</v>
      </c>
      <c r="B1195" t="s">
        <v>201</v>
      </c>
      <c r="C1195">
        <v>42</v>
      </c>
      <c r="D1195" t="s">
        <v>6460</v>
      </c>
      <c r="E1195" t="s">
        <v>6461</v>
      </c>
      <c r="F1195" t="s">
        <v>201</v>
      </c>
      <c r="H1195" t="s">
        <v>6462</v>
      </c>
    </row>
    <row r="1196" spans="1:8">
      <c r="A1196" t="s">
        <v>241</v>
      </c>
      <c r="B1196" t="s">
        <v>201</v>
      </c>
      <c r="C1196">
        <v>42</v>
      </c>
      <c r="D1196" t="s">
        <v>6463</v>
      </c>
      <c r="E1196" t="s">
        <v>6464</v>
      </c>
      <c r="F1196" t="s">
        <v>201</v>
      </c>
      <c r="H1196" t="s">
        <v>6465</v>
      </c>
    </row>
    <row r="1197" spans="1:8">
      <c r="A1197" t="s">
        <v>242</v>
      </c>
      <c r="B1197" t="s">
        <v>201</v>
      </c>
      <c r="C1197">
        <v>42</v>
      </c>
      <c r="D1197" t="s">
        <v>6466</v>
      </c>
      <c r="E1197" t="s">
        <v>6467</v>
      </c>
      <c r="F1197" t="s">
        <v>201</v>
      </c>
      <c r="G1197" t="s">
        <v>6297</v>
      </c>
      <c r="H1197" t="s">
        <v>6298</v>
      </c>
    </row>
    <row r="1198" spans="1:8">
      <c r="A1198" t="s">
        <v>238</v>
      </c>
      <c r="B1198" t="s">
        <v>201</v>
      </c>
      <c r="C1198">
        <v>42</v>
      </c>
      <c r="D1198" t="s">
        <v>6468</v>
      </c>
      <c r="E1198" t="s">
        <v>6469</v>
      </c>
      <c r="F1198" t="s">
        <v>6314</v>
      </c>
      <c r="G1198" t="s">
        <v>6470</v>
      </c>
      <c r="H1198" t="s">
        <v>6471</v>
      </c>
    </row>
    <row r="1199" spans="1:8">
      <c r="A1199" t="s">
        <v>241</v>
      </c>
      <c r="B1199" t="s">
        <v>201</v>
      </c>
      <c r="C1199">
        <v>42</v>
      </c>
      <c r="D1199" t="s">
        <v>6472</v>
      </c>
      <c r="E1199" t="s">
        <v>6473</v>
      </c>
      <c r="F1199" t="s">
        <v>201</v>
      </c>
      <c r="G1199" t="s">
        <v>6474</v>
      </c>
      <c r="H1199" t="s">
        <v>6475</v>
      </c>
    </row>
    <row r="1200" spans="1:8">
      <c r="A1200" t="s">
        <v>241</v>
      </c>
      <c r="B1200" t="s">
        <v>201</v>
      </c>
      <c r="C1200">
        <v>42</v>
      </c>
      <c r="D1200" t="s">
        <v>6476</v>
      </c>
      <c r="E1200" t="s">
        <v>6477</v>
      </c>
      <c r="F1200" t="s">
        <v>201</v>
      </c>
      <c r="G1200" t="s">
        <v>6478</v>
      </c>
      <c r="H1200" t="s">
        <v>6479</v>
      </c>
    </row>
    <row r="1201" spans="1:8">
      <c r="A1201" t="s">
        <v>242</v>
      </c>
      <c r="B1201" t="s">
        <v>201</v>
      </c>
      <c r="C1201">
        <v>42</v>
      </c>
      <c r="D1201" t="s">
        <v>6480</v>
      </c>
      <c r="E1201" t="s">
        <v>6481</v>
      </c>
      <c r="F1201" t="s">
        <v>201</v>
      </c>
      <c r="G1201" t="s">
        <v>6482</v>
      </c>
      <c r="H1201" t="s">
        <v>6483</v>
      </c>
    </row>
    <row r="1202" spans="1:8">
      <c r="A1202" t="s">
        <v>242</v>
      </c>
      <c r="B1202" t="s">
        <v>201</v>
      </c>
      <c r="C1202">
        <v>42</v>
      </c>
      <c r="D1202" t="s">
        <v>6484</v>
      </c>
      <c r="E1202" t="s">
        <v>6485</v>
      </c>
      <c r="F1202" t="s">
        <v>201</v>
      </c>
      <c r="H1202" t="s">
        <v>6486</v>
      </c>
    </row>
    <row r="1203" spans="1:8">
      <c r="A1203" t="s">
        <v>248</v>
      </c>
      <c r="B1203" t="s">
        <v>201</v>
      </c>
      <c r="C1203">
        <v>42</v>
      </c>
      <c r="D1203" t="s">
        <v>6487</v>
      </c>
      <c r="E1203" t="s">
        <v>6488</v>
      </c>
      <c r="F1203" t="s">
        <v>201</v>
      </c>
      <c r="G1203" t="s">
        <v>6489</v>
      </c>
      <c r="H1203" t="s">
        <v>6490</v>
      </c>
    </row>
    <row r="1204" spans="1:8">
      <c r="A1204" t="s">
        <v>242</v>
      </c>
      <c r="B1204" t="s">
        <v>201</v>
      </c>
      <c r="C1204">
        <v>42</v>
      </c>
      <c r="D1204" t="s">
        <v>6491</v>
      </c>
      <c r="E1204" t="s">
        <v>6492</v>
      </c>
      <c r="F1204" t="s">
        <v>201</v>
      </c>
    </row>
    <row r="1205" spans="1:8">
      <c r="A1205" t="s">
        <v>243</v>
      </c>
      <c r="B1205" t="s">
        <v>201</v>
      </c>
      <c r="C1205">
        <v>42</v>
      </c>
      <c r="D1205" t="s">
        <v>6493</v>
      </c>
      <c r="E1205" t="s">
        <v>6494</v>
      </c>
      <c r="F1205" t="s">
        <v>201</v>
      </c>
    </row>
    <row r="1206" spans="1:8">
      <c r="A1206" t="s">
        <v>244</v>
      </c>
      <c r="B1206" t="s">
        <v>201</v>
      </c>
      <c r="C1206">
        <v>42</v>
      </c>
      <c r="D1206" t="s">
        <v>6495</v>
      </c>
      <c r="F1206" t="s">
        <v>6314</v>
      </c>
      <c r="G1206" t="s">
        <v>6496</v>
      </c>
      <c r="H1206" t="s">
        <v>6497</v>
      </c>
    </row>
    <row r="1207" spans="1:8">
      <c r="A1207" t="s">
        <v>241</v>
      </c>
      <c r="B1207" t="s">
        <v>201</v>
      </c>
      <c r="C1207">
        <v>42</v>
      </c>
      <c r="D1207" t="s">
        <v>6498</v>
      </c>
      <c r="E1207" t="s">
        <v>6499</v>
      </c>
      <c r="F1207" t="s">
        <v>201</v>
      </c>
      <c r="G1207" t="s">
        <v>6500</v>
      </c>
      <c r="H1207" t="s">
        <v>6501</v>
      </c>
    </row>
    <row r="1208" spans="1:8">
      <c r="A1208" t="s">
        <v>241</v>
      </c>
      <c r="B1208" t="s">
        <v>201</v>
      </c>
      <c r="C1208">
        <v>42</v>
      </c>
      <c r="D1208" t="s">
        <v>6502</v>
      </c>
      <c r="E1208" t="s">
        <v>6503</v>
      </c>
      <c r="H1208" t="s">
        <v>6504</v>
      </c>
    </row>
    <row r="1209" spans="1:8">
      <c r="A1209" t="s">
        <v>241</v>
      </c>
      <c r="B1209" t="s">
        <v>201</v>
      </c>
      <c r="C1209">
        <v>42</v>
      </c>
      <c r="D1209" t="s">
        <v>6505</v>
      </c>
      <c r="E1209" t="s">
        <v>6454</v>
      </c>
      <c r="H1209" t="s">
        <v>6455</v>
      </c>
    </row>
    <row r="1210" spans="1:8">
      <c r="A1210" t="s">
        <v>252</v>
      </c>
      <c r="B1210" t="s">
        <v>201</v>
      </c>
      <c r="C1210">
        <v>42</v>
      </c>
      <c r="D1210" t="s">
        <v>6506</v>
      </c>
      <c r="E1210" t="s">
        <v>6507</v>
      </c>
      <c r="F1210" t="s">
        <v>201</v>
      </c>
      <c r="G1210" t="s">
        <v>6508</v>
      </c>
      <c r="H1210" t="s">
        <v>6509</v>
      </c>
    </row>
    <row r="1211" spans="1:8">
      <c r="A1211" t="s">
        <v>241</v>
      </c>
      <c r="B1211" t="s">
        <v>201</v>
      </c>
      <c r="C1211">
        <v>42</v>
      </c>
      <c r="D1211" t="s">
        <v>6510</v>
      </c>
      <c r="E1211" t="s">
        <v>6511</v>
      </c>
      <c r="F1211" t="s">
        <v>201</v>
      </c>
      <c r="G1211" t="s">
        <v>6512</v>
      </c>
      <c r="H1211" t="s">
        <v>6513</v>
      </c>
    </row>
    <row r="1212" spans="1:8">
      <c r="A1212" t="s">
        <v>242</v>
      </c>
      <c r="B1212" t="s">
        <v>201</v>
      </c>
      <c r="C1212">
        <v>42</v>
      </c>
      <c r="D1212" t="s">
        <v>6514</v>
      </c>
      <c r="E1212" t="s">
        <v>6515</v>
      </c>
      <c r="F1212" t="s">
        <v>201</v>
      </c>
      <c r="H1212" t="s">
        <v>6516</v>
      </c>
    </row>
    <row r="1213" spans="1:8">
      <c r="A1213" t="s">
        <v>242</v>
      </c>
      <c r="B1213" t="s">
        <v>201</v>
      </c>
      <c r="C1213">
        <v>42</v>
      </c>
      <c r="D1213" t="s">
        <v>6517</v>
      </c>
      <c r="E1213" t="s">
        <v>6518</v>
      </c>
      <c r="F1213" t="s">
        <v>201</v>
      </c>
    </row>
    <row r="1214" spans="1:8">
      <c r="A1214" t="s">
        <v>241</v>
      </c>
      <c r="B1214" t="s">
        <v>201</v>
      </c>
      <c r="C1214">
        <v>42</v>
      </c>
      <c r="D1214" t="s">
        <v>6519</v>
      </c>
      <c r="E1214" t="s">
        <v>6520</v>
      </c>
      <c r="F1214" t="s">
        <v>201</v>
      </c>
      <c r="G1214" t="s">
        <v>6521</v>
      </c>
      <c r="H1214" t="s">
        <v>6522</v>
      </c>
    </row>
    <row r="1215" spans="1:8">
      <c r="A1215" t="s">
        <v>241</v>
      </c>
      <c r="B1215" t="s">
        <v>201</v>
      </c>
      <c r="C1215">
        <v>42</v>
      </c>
      <c r="D1215" t="s">
        <v>6523</v>
      </c>
      <c r="E1215" t="s">
        <v>6524</v>
      </c>
      <c r="F1215" t="s">
        <v>201</v>
      </c>
      <c r="H1215" t="s">
        <v>6525</v>
      </c>
    </row>
    <row r="1216" spans="1:8">
      <c r="A1216" t="s">
        <v>243</v>
      </c>
      <c r="B1216" t="s">
        <v>201</v>
      </c>
      <c r="C1216">
        <v>42</v>
      </c>
      <c r="D1216" t="s">
        <v>6526</v>
      </c>
      <c r="E1216" t="s">
        <v>6527</v>
      </c>
      <c r="F1216" t="s">
        <v>201</v>
      </c>
      <c r="G1216" t="s">
        <v>6528</v>
      </c>
      <c r="H1216" t="s">
        <v>6529</v>
      </c>
    </row>
    <row r="1217" spans="1:8">
      <c r="A1217" t="s">
        <v>249</v>
      </c>
      <c r="B1217" t="s">
        <v>201</v>
      </c>
      <c r="C1217">
        <v>42</v>
      </c>
      <c r="D1217" t="s">
        <v>6530</v>
      </c>
      <c r="E1217" t="s">
        <v>6531</v>
      </c>
      <c r="F1217" t="s">
        <v>201</v>
      </c>
      <c r="G1217" t="s">
        <v>6532</v>
      </c>
      <c r="H1217" t="s">
        <v>6533</v>
      </c>
    </row>
    <row r="1218" spans="1:8">
      <c r="A1218" t="s">
        <v>243</v>
      </c>
      <c r="B1218" t="s">
        <v>201</v>
      </c>
      <c r="C1218">
        <v>42</v>
      </c>
      <c r="D1218" t="s">
        <v>6534</v>
      </c>
      <c r="E1218" t="s">
        <v>6535</v>
      </c>
      <c r="F1218" t="s">
        <v>201</v>
      </c>
      <c r="H1218" t="s">
        <v>6536</v>
      </c>
    </row>
    <row r="1219" spans="1:8">
      <c r="A1219" t="s">
        <v>243</v>
      </c>
      <c r="B1219" t="s">
        <v>201</v>
      </c>
      <c r="C1219">
        <v>42</v>
      </c>
      <c r="D1219" t="s">
        <v>6537</v>
      </c>
      <c r="E1219" t="s">
        <v>6538</v>
      </c>
      <c r="F1219" t="s">
        <v>6539</v>
      </c>
      <c r="G1219" t="s">
        <v>6540</v>
      </c>
      <c r="H1219" t="s">
        <v>6541</v>
      </c>
    </row>
    <row r="1220" spans="1:8">
      <c r="A1220" t="s">
        <v>241</v>
      </c>
      <c r="B1220" t="s">
        <v>201</v>
      </c>
      <c r="C1220">
        <v>42</v>
      </c>
      <c r="D1220" t="s">
        <v>6542</v>
      </c>
      <c r="E1220" t="s">
        <v>6543</v>
      </c>
      <c r="F1220" t="s">
        <v>6539</v>
      </c>
      <c r="H1220" t="s">
        <v>6544</v>
      </c>
    </row>
    <row r="1221" spans="1:8">
      <c r="A1221" t="s">
        <v>241</v>
      </c>
      <c r="B1221" t="s">
        <v>201</v>
      </c>
      <c r="C1221">
        <v>42</v>
      </c>
      <c r="D1221" t="s">
        <v>6545</v>
      </c>
      <c r="E1221" t="s">
        <v>6300</v>
      </c>
      <c r="F1221" t="s">
        <v>201</v>
      </c>
      <c r="G1221" t="s">
        <v>6301</v>
      </c>
      <c r="H1221" t="s">
        <v>6302</v>
      </c>
    </row>
    <row r="1222" spans="1:8">
      <c r="A1222" t="s">
        <v>241</v>
      </c>
      <c r="B1222" t="s">
        <v>201</v>
      </c>
      <c r="C1222">
        <v>42</v>
      </c>
      <c r="D1222" t="s">
        <v>6546</v>
      </c>
      <c r="E1222" t="s">
        <v>6547</v>
      </c>
      <c r="F1222" t="s">
        <v>201</v>
      </c>
    </row>
    <row r="1223" spans="1:8">
      <c r="A1223" t="s">
        <v>241</v>
      </c>
      <c r="B1223" t="s">
        <v>201</v>
      </c>
      <c r="C1223">
        <v>42</v>
      </c>
      <c r="D1223" t="s">
        <v>6548</v>
      </c>
      <c r="E1223" t="s">
        <v>6549</v>
      </c>
      <c r="F1223" t="s">
        <v>201</v>
      </c>
      <c r="G1223" t="s">
        <v>6550</v>
      </c>
      <c r="H1223" t="s">
        <v>6551</v>
      </c>
    </row>
    <row r="1224" spans="1:8">
      <c r="A1224" t="s">
        <v>241</v>
      </c>
      <c r="B1224" t="s">
        <v>201</v>
      </c>
      <c r="C1224">
        <v>42</v>
      </c>
      <c r="D1224" t="s">
        <v>6552</v>
      </c>
      <c r="E1224" t="s">
        <v>6553</v>
      </c>
      <c r="H1224" t="s">
        <v>6554</v>
      </c>
    </row>
    <row r="1225" spans="1:8">
      <c r="A1225" t="s">
        <v>241</v>
      </c>
      <c r="B1225" t="s">
        <v>201</v>
      </c>
      <c r="C1225">
        <v>42</v>
      </c>
      <c r="D1225" t="s">
        <v>6555</v>
      </c>
      <c r="E1225" t="s">
        <v>6556</v>
      </c>
      <c r="F1225" t="s">
        <v>201</v>
      </c>
    </row>
    <row r="1226" spans="1:8">
      <c r="A1226" t="s">
        <v>241</v>
      </c>
      <c r="B1226" t="s">
        <v>201</v>
      </c>
      <c r="C1226">
        <v>42</v>
      </c>
      <c r="D1226" t="s">
        <v>6557</v>
      </c>
      <c r="E1226" t="s">
        <v>6558</v>
      </c>
      <c r="F1226" t="s">
        <v>201</v>
      </c>
      <c r="G1226" t="s">
        <v>6559</v>
      </c>
      <c r="H1226" t="s">
        <v>6560</v>
      </c>
    </row>
    <row r="1227" spans="1:8">
      <c r="A1227" t="s">
        <v>240</v>
      </c>
      <c r="B1227" t="s">
        <v>201</v>
      </c>
      <c r="C1227">
        <v>42</v>
      </c>
      <c r="D1227" t="s">
        <v>6561</v>
      </c>
      <c r="E1227" t="s">
        <v>6562</v>
      </c>
      <c r="F1227" t="s">
        <v>201</v>
      </c>
      <c r="H1227" t="s">
        <v>6563</v>
      </c>
    </row>
    <row r="1228" spans="1:8">
      <c r="A1228" t="s">
        <v>241</v>
      </c>
      <c r="B1228" t="s">
        <v>201</v>
      </c>
      <c r="C1228">
        <v>42</v>
      </c>
      <c r="D1228" t="s">
        <v>6564</v>
      </c>
      <c r="E1228" t="s">
        <v>6565</v>
      </c>
      <c r="H1228" t="s">
        <v>6566</v>
      </c>
    </row>
    <row r="1229" spans="1:8">
      <c r="A1229" t="s">
        <v>241</v>
      </c>
      <c r="B1229" t="s">
        <v>201</v>
      </c>
      <c r="C1229">
        <v>42</v>
      </c>
      <c r="D1229" t="s">
        <v>6567</v>
      </c>
      <c r="E1229" t="s">
        <v>6568</v>
      </c>
      <c r="H1229" t="s">
        <v>6569</v>
      </c>
    </row>
    <row r="1230" spans="1:8">
      <c r="A1230" t="s">
        <v>241</v>
      </c>
      <c r="B1230" t="s">
        <v>201</v>
      </c>
      <c r="C1230">
        <v>42</v>
      </c>
      <c r="D1230" t="s">
        <v>6570</v>
      </c>
      <c r="E1230" t="s">
        <v>6571</v>
      </c>
      <c r="H1230" t="s">
        <v>6572</v>
      </c>
    </row>
    <row r="1231" spans="1:8">
      <c r="A1231" t="s">
        <v>241</v>
      </c>
      <c r="B1231" t="s">
        <v>201</v>
      </c>
      <c r="C1231">
        <v>42</v>
      </c>
      <c r="D1231" t="s">
        <v>6573</v>
      </c>
      <c r="E1231" t="s">
        <v>6574</v>
      </c>
      <c r="H1231" t="s">
        <v>6575</v>
      </c>
    </row>
    <row r="1232" spans="1:8">
      <c r="A1232" t="s">
        <v>241</v>
      </c>
      <c r="B1232" t="s">
        <v>201</v>
      </c>
      <c r="C1232">
        <v>42</v>
      </c>
      <c r="D1232" t="s">
        <v>6576</v>
      </c>
      <c r="E1232" t="s">
        <v>6577</v>
      </c>
      <c r="H1232" t="s">
        <v>6578</v>
      </c>
    </row>
    <row r="1233" spans="1:8">
      <c r="A1233" t="s">
        <v>241</v>
      </c>
      <c r="B1233" t="s">
        <v>201</v>
      </c>
      <c r="C1233">
        <v>42</v>
      </c>
      <c r="D1233" t="s">
        <v>6579</v>
      </c>
      <c r="E1233" t="s">
        <v>6580</v>
      </c>
      <c r="H1233" t="s">
        <v>6581</v>
      </c>
    </row>
    <row r="1234" spans="1:8">
      <c r="A1234" t="s">
        <v>241</v>
      </c>
      <c r="B1234" t="s">
        <v>201</v>
      </c>
      <c r="C1234">
        <v>42</v>
      </c>
      <c r="D1234" t="s">
        <v>6582</v>
      </c>
      <c r="E1234" t="s">
        <v>6583</v>
      </c>
      <c r="G1234" t="s">
        <v>6584</v>
      </c>
      <c r="H1234" t="s">
        <v>6585</v>
      </c>
    </row>
    <row r="1235" spans="1:8">
      <c r="A1235" t="s">
        <v>239</v>
      </c>
      <c r="B1235" t="s">
        <v>201</v>
      </c>
      <c r="C1235">
        <v>42</v>
      </c>
      <c r="D1235" t="s">
        <v>6586</v>
      </c>
      <c r="E1235" t="s">
        <v>6587</v>
      </c>
      <c r="H1235" t="s">
        <v>6588</v>
      </c>
    </row>
    <row r="1236" spans="1:8">
      <c r="A1236" t="s">
        <v>239</v>
      </c>
      <c r="B1236" t="s">
        <v>201</v>
      </c>
      <c r="C1236">
        <v>42</v>
      </c>
      <c r="D1236" t="s">
        <v>6589</v>
      </c>
      <c r="E1236" t="s">
        <v>6590</v>
      </c>
      <c r="H1236" t="s">
        <v>6591</v>
      </c>
    </row>
    <row r="1237" spans="1:8">
      <c r="A1237" t="s">
        <v>241</v>
      </c>
      <c r="B1237" t="s">
        <v>201</v>
      </c>
      <c r="C1237">
        <v>42</v>
      </c>
      <c r="D1237" t="s">
        <v>6592</v>
      </c>
      <c r="E1237" t="s">
        <v>6593</v>
      </c>
      <c r="H1237" t="s">
        <v>6594</v>
      </c>
    </row>
    <row r="1238" spans="1:8">
      <c r="A1238" t="s">
        <v>241</v>
      </c>
      <c r="B1238" t="s">
        <v>201</v>
      </c>
      <c r="C1238">
        <v>42</v>
      </c>
      <c r="D1238" t="s">
        <v>6595</v>
      </c>
      <c r="E1238" t="s">
        <v>6596</v>
      </c>
      <c r="F1238" t="s">
        <v>6539</v>
      </c>
      <c r="G1238" t="s">
        <v>6597</v>
      </c>
      <c r="H1238" t="s">
        <v>6598</v>
      </c>
    </row>
    <row r="1239" spans="1:8">
      <c r="A1239" t="s">
        <v>241</v>
      </c>
      <c r="B1239" t="s">
        <v>201</v>
      </c>
      <c r="C1239">
        <v>42</v>
      </c>
      <c r="D1239" t="s">
        <v>6599</v>
      </c>
      <c r="E1239" t="s">
        <v>6600</v>
      </c>
      <c r="H1239" t="s">
        <v>6601</v>
      </c>
    </row>
    <row r="1240" spans="1:8">
      <c r="A1240" t="s">
        <v>242</v>
      </c>
      <c r="B1240" t="s">
        <v>201</v>
      </c>
      <c r="C1240">
        <v>42</v>
      </c>
      <c r="D1240" t="s">
        <v>6602</v>
      </c>
      <c r="E1240" t="s">
        <v>6603</v>
      </c>
      <c r="F1240" t="s">
        <v>201</v>
      </c>
    </row>
    <row r="1241" spans="1:8">
      <c r="A1241" t="s">
        <v>242</v>
      </c>
      <c r="B1241" t="s">
        <v>201</v>
      </c>
      <c r="C1241">
        <v>42</v>
      </c>
      <c r="D1241" t="s">
        <v>6604</v>
      </c>
      <c r="E1241" t="s">
        <v>6605</v>
      </c>
      <c r="F1241" t="s">
        <v>201</v>
      </c>
      <c r="G1241" t="s">
        <v>6606</v>
      </c>
      <c r="H1241" t="s">
        <v>6607</v>
      </c>
    </row>
    <row r="1242" spans="1:8">
      <c r="A1242" t="s">
        <v>242</v>
      </c>
      <c r="B1242" t="s">
        <v>201</v>
      </c>
      <c r="C1242">
        <v>42</v>
      </c>
      <c r="D1242" t="s">
        <v>6608</v>
      </c>
      <c r="E1242" t="s">
        <v>6609</v>
      </c>
      <c r="F1242" t="s">
        <v>201</v>
      </c>
      <c r="G1242" t="s">
        <v>6610</v>
      </c>
      <c r="H1242" t="s">
        <v>6611</v>
      </c>
    </row>
    <row r="1243" spans="1:8">
      <c r="A1243" t="s">
        <v>241</v>
      </c>
      <c r="B1243" t="s">
        <v>201</v>
      </c>
      <c r="C1243">
        <v>42</v>
      </c>
      <c r="D1243" t="s">
        <v>6612</v>
      </c>
      <c r="F1243" t="s">
        <v>201</v>
      </c>
      <c r="G1243" t="s">
        <v>6613</v>
      </c>
      <c r="H1243" t="s">
        <v>6614</v>
      </c>
    </row>
    <row r="1244" spans="1:8">
      <c r="A1244" t="s">
        <v>249</v>
      </c>
      <c r="B1244" t="s">
        <v>201</v>
      </c>
      <c r="C1244">
        <v>42</v>
      </c>
      <c r="D1244" t="s">
        <v>3785</v>
      </c>
      <c r="E1244" t="s">
        <v>6615</v>
      </c>
      <c r="F1244" t="s">
        <v>201</v>
      </c>
      <c r="G1244" t="s">
        <v>6616</v>
      </c>
      <c r="H1244" t="s">
        <v>6617</v>
      </c>
    </row>
    <row r="1245" spans="1:8">
      <c r="A1245" t="s">
        <v>250</v>
      </c>
      <c r="B1245" t="s">
        <v>201</v>
      </c>
      <c r="C1245">
        <v>42</v>
      </c>
      <c r="D1245" t="s">
        <v>6618</v>
      </c>
      <c r="F1245" t="s">
        <v>201</v>
      </c>
    </row>
    <row r="1246" spans="1:8">
      <c r="A1246" t="s">
        <v>250</v>
      </c>
      <c r="B1246" t="s">
        <v>201</v>
      </c>
      <c r="C1246">
        <v>42</v>
      </c>
      <c r="D1246" t="s">
        <v>6619</v>
      </c>
      <c r="E1246" t="s">
        <v>6620</v>
      </c>
      <c r="F1246" t="s">
        <v>228</v>
      </c>
    </row>
    <row r="1247" spans="1:8">
      <c r="A1247" t="s">
        <v>250</v>
      </c>
      <c r="B1247" t="s">
        <v>201</v>
      </c>
      <c r="C1247">
        <v>42</v>
      </c>
      <c r="D1247" t="s">
        <v>6621</v>
      </c>
      <c r="E1247" t="s">
        <v>6620</v>
      </c>
      <c r="F1247" t="s">
        <v>228</v>
      </c>
    </row>
    <row r="1248" spans="1:8">
      <c r="A1248" t="s">
        <v>250</v>
      </c>
      <c r="B1248" t="s">
        <v>201</v>
      </c>
      <c r="C1248">
        <v>42</v>
      </c>
      <c r="D1248" t="s">
        <v>6622</v>
      </c>
      <c r="E1248" t="s">
        <v>6620</v>
      </c>
      <c r="F1248" t="s">
        <v>228</v>
      </c>
    </row>
    <row r="1249" spans="1:8">
      <c r="A1249" t="s">
        <v>250</v>
      </c>
      <c r="B1249" t="s">
        <v>201</v>
      </c>
      <c r="C1249">
        <v>42</v>
      </c>
      <c r="D1249" t="s">
        <v>6623</v>
      </c>
      <c r="E1249" t="s">
        <v>6620</v>
      </c>
      <c r="F1249" t="s">
        <v>228</v>
      </c>
    </row>
    <row r="1250" spans="1:8">
      <c r="A1250" t="s">
        <v>250</v>
      </c>
      <c r="B1250" t="s">
        <v>201</v>
      </c>
      <c r="C1250">
        <v>42</v>
      </c>
      <c r="D1250" t="s">
        <v>6624</v>
      </c>
      <c r="E1250" t="s">
        <v>6620</v>
      </c>
      <c r="F1250" t="s">
        <v>228</v>
      </c>
    </row>
    <row r="1251" spans="1:8">
      <c r="A1251" t="s">
        <v>250</v>
      </c>
      <c r="B1251" t="s">
        <v>201</v>
      </c>
      <c r="C1251">
        <v>42</v>
      </c>
      <c r="D1251" t="s">
        <v>6625</v>
      </c>
      <c r="E1251" t="s">
        <v>6620</v>
      </c>
      <c r="F1251" t="s">
        <v>201</v>
      </c>
    </row>
    <row r="1252" spans="1:8">
      <c r="A1252" t="s">
        <v>250</v>
      </c>
      <c r="B1252" t="s">
        <v>201</v>
      </c>
      <c r="C1252">
        <v>42</v>
      </c>
      <c r="D1252" t="s">
        <v>6626</v>
      </c>
      <c r="E1252" t="s">
        <v>6620</v>
      </c>
      <c r="F1252" t="s">
        <v>201</v>
      </c>
    </row>
    <row r="1253" spans="1:8">
      <c r="A1253" t="s">
        <v>250</v>
      </c>
      <c r="B1253" t="s">
        <v>201</v>
      </c>
      <c r="C1253">
        <v>42</v>
      </c>
      <c r="D1253" t="s">
        <v>6627</v>
      </c>
      <c r="E1253" t="s">
        <v>6620</v>
      </c>
      <c r="F1253" t="s">
        <v>228</v>
      </c>
    </row>
    <row r="1254" spans="1:8">
      <c r="A1254" t="s">
        <v>250</v>
      </c>
      <c r="B1254" t="s">
        <v>201</v>
      </c>
      <c r="C1254">
        <v>42</v>
      </c>
      <c r="D1254" t="s">
        <v>6628</v>
      </c>
      <c r="E1254" t="s">
        <v>6620</v>
      </c>
      <c r="F1254" t="s">
        <v>201</v>
      </c>
      <c r="G1254" t="s">
        <v>6629</v>
      </c>
    </row>
    <row r="1255" spans="1:8">
      <c r="A1255" t="s">
        <v>242</v>
      </c>
      <c r="B1255" t="s">
        <v>201</v>
      </c>
      <c r="C1255">
        <v>42</v>
      </c>
      <c r="D1255" t="s">
        <v>2795</v>
      </c>
      <c r="F1255" t="s">
        <v>201</v>
      </c>
      <c r="G1255" t="s">
        <v>6630</v>
      </c>
      <c r="H1255" t="s">
        <v>6631</v>
      </c>
    </row>
    <row r="1256" spans="1:8">
      <c r="A1256" t="s">
        <v>250</v>
      </c>
      <c r="B1256" t="s">
        <v>201</v>
      </c>
      <c r="C1256">
        <v>42</v>
      </c>
      <c r="D1256" t="s">
        <v>6632</v>
      </c>
      <c r="E1256" t="s">
        <v>6620</v>
      </c>
      <c r="F1256" t="s">
        <v>228</v>
      </c>
    </row>
    <row r="1257" spans="1:8">
      <c r="A1257" t="s">
        <v>250</v>
      </c>
      <c r="B1257" t="s">
        <v>201</v>
      </c>
      <c r="C1257">
        <v>42</v>
      </c>
      <c r="D1257" t="s">
        <v>6633</v>
      </c>
      <c r="E1257" t="s">
        <v>6620</v>
      </c>
      <c r="F1257" t="s">
        <v>201</v>
      </c>
    </row>
    <row r="1258" spans="1:8">
      <c r="A1258" t="s">
        <v>250</v>
      </c>
      <c r="B1258" t="s">
        <v>201</v>
      </c>
      <c r="C1258">
        <v>42</v>
      </c>
      <c r="D1258" t="s">
        <v>6634</v>
      </c>
      <c r="E1258" t="s">
        <v>6620</v>
      </c>
      <c r="F1258" t="s">
        <v>228</v>
      </c>
    </row>
    <row r="1259" spans="1:8">
      <c r="A1259" t="s">
        <v>250</v>
      </c>
      <c r="B1259" t="s">
        <v>201</v>
      </c>
      <c r="C1259">
        <v>42</v>
      </c>
      <c r="D1259" t="s">
        <v>6635</v>
      </c>
      <c r="E1259" t="s">
        <v>6620</v>
      </c>
      <c r="F1259" t="s">
        <v>228</v>
      </c>
    </row>
    <row r="1260" spans="1:8">
      <c r="A1260" t="s">
        <v>241</v>
      </c>
      <c r="B1260" t="s">
        <v>201</v>
      </c>
      <c r="C1260">
        <v>42</v>
      </c>
      <c r="D1260" t="s">
        <v>6636</v>
      </c>
      <c r="E1260" t="s">
        <v>6637</v>
      </c>
      <c r="F1260" t="s">
        <v>201</v>
      </c>
      <c r="H1260" t="s">
        <v>6638</v>
      </c>
    </row>
    <row r="1261" spans="1:8">
      <c r="A1261" t="s">
        <v>242</v>
      </c>
      <c r="B1261" t="s">
        <v>201</v>
      </c>
      <c r="C1261">
        <v>42</v>
      </c>
      <c r="D1261" t="s">
        <v>6639</v>
      </c>
      <c r="E1261" t="s">
        <v>6640</v>
      </c>
      <c r="F1261" t="s">
        <v>201</v>
      </c>
      <c r="G1261" t="s">
        <v>6641</v>
      </c>
      <c r="H1261" t="s">
        <v>6642</v>
      </c>
    </row>
    <row r="1262" spans="1:8">
      <c r="A1262" t="s">
        <v>250</v>
      </c>
      <c r="B1262" t="s">
        <v>201</v>
      </c>
      <c r="C1262">
        <v>42</v>
      </c>
      <c r="D1262" t="s">
        <v>6643</v>
      </c>
      <c r="E1262" t="s">
        <v>5206</v>
      </c>
      <c r="F1262" t="s">
        <v>6314</v>
      </c>
    </row>
    <row r="1263" spans="1:8">
      <c r="A1263" t="s">
        <v>249</v>
      </c>
      <c r="B1263" t="s">
        <v>201</v>
      </c>
      <c r="C1263">
        <v>42</v>
      </c>
      <c r="D1263" t="s">
        <v>6644</v>
      </c>
      <c r="E1263" t="s">
        <v>6645</v>
      </c>
      <c r="F1263" t="s">
        <v>6414</v>
      </c>
      <c r="G1263" t="s">
        <v>6646</v>
      </c>
      <c r="H1263" t="s">
        <v>6647</v>
      </c>
    </row>
    <row r="1264" spans="1:8">
      <c r="A1264" t="s">
        <v>249</v>
      </c>
      <c r="B1264" t="s">
        <v>201</v>
      </c>
      <c r="C1264">
        <v>42</v>
      </c>
      <c r="D1264" t="s">
        <v>6648</v>
      </c>
      <c r="F1264" t="s">
        <v>6649</v>
      </c>
      <c r="G1264" t="s">
        <v>6650</v>
      </c>
      <c r="H1264" t="s">
        <v>6651</v>
      </c>
    </row>
    <row r="1265" spans="1:8">
      <c r="A1265" t="s">
        <v>242</v>
      </c>
      <c r="B1265" t="s">
        <v>201</v>
      </c>
      <c r="C1265">
        <v>42</v>
      </c>
      <c r="D1265" t="s">
        <v>6652</v>
      </c>
      <c r="E1265" t="s">
        <v>6653</v>
      </c>
      <c r="F1265" t="s">
        <v>201</v>
      </c>
      <c r="G1265" t="s">
        <v>6654</v>
      </c>
      <c r="H1265" t="s">
        <v>6655</v>
      </c>
    </row>
    <row r="1266" spans="1:8">
      <c r="A1266" t="s">
        <v>248</v>
      </c>
      <c r="B1266" t="s">
        <v>201</v>
      </c>
      <c r="C1266">
        <v>42</v>
      </c>
      <c r="D1266" t="s">
        <v>6656</v>
      </c>
      <c r="E1266" t="s">
        <v>6657</v>
      </c>
      <c r="F1266" t="s">
        <v>6658</v>
      </c>
      <c r="G1266" t="s">
        <v>6659</v>
      </c>
      <c r="H1266" t="s">
        <v>6660</v>
      </c>
    </row>
    <row r="1267" spans="1:8">
      <c r="A1267" t="s">
        <v>242</v>
      </c>
      <c r="B1267" t="s">
        <v>201</v>
      </c>
      <c r="C1267">
        <v>42</v>
      </c>
      <c r="D1267" t="s">
        <v>6661</v>
      </c>
      <c r="E1267" t="s">
        <v>6662</v>
      </c>
      <c r="F1267" t="s">
        <v>201</v>
      </c>
    </row>
    <row r="1268" spans="1:8">
      <c r="A1268" t="s">
        <v>242</v>
      </c>
      <c r="B1268" t="s">
        <v>201</v>
      </c>
      <c r="C1268">
        <v>42</v>
      </c>
      <c r="D1268" t="s">
        <v>6663</v>
      </c>
      <c r="E1268" t="s">
        <v>6664</v>
      </c>
      <c r="F1268" t="s">
        <v>201</v>
      </c>
      <c r="G1268" t="s">
        <v>6665</v>
      </c>
      <c r="H1268" t="s">
        <v>6666</v>
      </c>
    </row>
    <row r="1269" spans="1:8">
      <c r="A1269" t="s">
        <v>242</v>
      </c>
      <c r="B1269" t="s">
        <v>201</v>
      </c>
      <c r="C1269">
        <v>42</v>
      </c>
      <c r="D1269" t="s">
        <v>6667</v>
      </c>
      <c r="E1269" t="s">
        <v>6668</v>
      </c>
      <c r="F1269" t="s">
        <v>201</v>
      </c>
      <c r="H1269" t="s">
        <v>6669</v>
      </c>
    </row>
    <row r="1270" spans="1:8">
      <c r="A1270" t="s">
        <v>241</v>
      </c>
      <c r="B1270" t="s">
        <v>201</v>
      </c>
      <c r="C1270">
        <v>42</v>
      </c>
      <c r="D1270" t="s">
        <v>6670</v>
      </c>
      <c r="E1270" t="s">
        <v>6671</v>
      </c>
      <c r="F1270" t="s">
        <v>201</v>
      </c>
      <c r="G1270" t="s">
        <v>6672</v>
      </c>
      <c r="H1270" t="s">
        <v>6673</v>
      </c>
    </row>
    <row r="1271" spans="1:8">
      <c r="A1271" t="s">
        <v>241</v>
      </c>
      <c r="B1271" t="s">
        <v>201</v>
      </c>
      <c r="C1271">
        <v>42</v>
      </c>
      <c r="D1271" t="s">
        <v>6674</v>
      </c>
      <c r="E1271" t="s">
        <v>6675</v>
      </c>
      <c r="F1271" t="s">
        <v>201</v>
      </c>
      <c r="G1271" t="s">
        <v>6676</v>
      </c>
      <c r="H1271" t="s">
        <v>6677</v>
      </c>
    </row>
    <row r="1272" spans="1:8">
      <c r="A1272" t="s">
        <v>242</v>
      </c>
      <c r="B1272" t="s">
        <v>201</v>
      </c>
      <c r="C1272">
        <v>42</v>
      </c>
      <c r="D1272" t="s">
        <v>6678</v>
      </c>
      <c r="E1272" t="s">
        <v>6679</v>
      </c>
      <c r="F1272" t="s">
        <v>201</v>
      </c>
      <c r="G1272" t="s">
        <v>6680</v>
      </c>
      <c r="H1272" t="s">
        <v>6681</v>
      </c>
    </row>
    <row r="1273" spans="1:8">
      <c r="A1273" t="s">
        <v>239</v>
      </c>
      <c r="B1273" t="s">
        <v>65</v>
      </c>
      <c r="C1273">
        <v>43</v>
      </c>
      <c r="D1273" t="s">
        <v>2656</v>
      </c>
      <c r="E1273" t="s">
        <v>2657</v>
      </c>
      <c r="F1273" t="s">
        <v>65</v>
      </c>
    </row>
    <row r="1274" spans="1:8">
      <c r="A1274" t="s">
        <v>240</v>
      </c>
      <c r="B1274" t="s">
        <v>65</v>
      </c>
      <c r="C1274">
        <v>43</v>
      </c>
      <c r="D1274" t="s">
        <v>2658</v>
      </c>
      <c r="E1274" t="s">
        <v>2659</v>
      </c>
      <c r="F1274" t="s">
        <v>65</v>
      </c>
      <c r="H1274" t="s">
        <v>2660</v>
      </c>
    </row>
    <row r="1275" spans="1:8">
      <c r="A1275" t="s">
        <v>240</v>
      </c>
      <c r="B1275" t="s">
        <v>65</v>
      </c>
      <c r="C1275">
        <v>43</v>
      </c>
      <c r="D1275" t="s">
        <v>2661</v>
      </c>
      <c r="E1275" t="s">
        <v>2662</v>
      </c>
      <c r="F1275" t="s">
        <v>65</v>
      </c>
      <c r="G1275" t="s">
        <v>2663</v>
      </c>
      <c r="H1275" t="s">
        <v>2664</v>
      </c>
    </row>
    <row r="1276" spans="1:8">
      <c r="A1276" t="s">
        <v>240</v>
      </c>
      <c r="B1276" t="s">
        <v>65</v>
      </c>
      <c r="C1276">
        <v>43</v>
      </c>
      <c r="D1276" t="s">
        <v>2665</v>
      </c>
      <c r="E1276" t="s">
        <v>2666</v>
      </c>
      <c r="F1276" t="s">
        <v>65</v>
      </c>
      <c r="G1276" t="s">
        <v>2667</v>
      </c>
      <c r="H1276" t="s">
        <v>2668</v>
      </c>
    </row>
    <row r="1277" spans="1:8">
      <c r="A1277" t="s">
        <v>240</v>
      </c>
      <c r="B1277" t="s">
        <v>65</v>
      </c>
      <c r="C1277">
        <v>43</v>
      </c>
      <c r="D1277" t="s">
        <v>2669</v>
      </c>
      <c r="E1277" t="s">
        <v>2670</v>
      </c>
      <c r="F1277" t="s">
        <v>65</v>
      </c>
      <c r="H1277" t="s">
        <v>2671</v>
      </c>
    </row>
    <row r="1278" spans="1:8">
      <c r="A1278" t="s">
        <v>241</v>
      </c>
      <c r="B1278" t="s">
        <v>65</v>
      </c>
      <c r="C1278">
        <v>43</v>
      </c>
      <c r="D1278" t="s">
        <v>2672</v>
      </c>
    </row>
    <row r="1279" spans="1:8">
      <c r="A1279" t="s">
        <v>243</v>
      </c>
      <c r="B1279" t="s">
        <v>65</v>
      </c>
      <c r="C1279">
        <v>43</v>
      </c>
      <c r="D1279" t="s">
        <v>1437</v>
      </c>
      <c r="E1279" t="s">
        <v>2673</v>
      </c>
      <c r="F1279" t="s">
        <v>65</v>
      </c>
      <c r="G1279" t="s">
        <v>2674</v>
      </c>
      <c r="H1279" t="s">
        <v>2675</v>
      </c>
    </row>
    <row r="1280" spans="1:8">
      <c r="A1280" t="s">
        <v>238</v>
      </c>
      <c r="B1280" t="s">
        <v>65</v>
      </c>
      <c r="C1280">
        <v>43</v>
      </c>
      <c r="D1280" t="s">
        <v>2676</v>
      </c>
      <c r="E1280" t="s">
        <v>2677</v>
      </c>
      <c r="F1280" t="s">
        <v>65</v>
      </c>
      <c r="G1280" t="s">
        <v>2678</v>
      </c>
      <c r="H1280" t="s">
        <v>2679</v>
      </c>
    </row>
    <row r="1281" spans="1:8">
      <c r="A1281" t="s">
        <v>239</v>
      </c>
      <c r="B1281" t="s">
        <v>65</v>
      </c>
      <c r="C1281">
        <v>43</v>
      </c>
      <c r="D1281" t="s">
        <v>2680</v>
      </c>
      <c r="E1281" t="s">
        <v>2681</v>
      </c>
      <c r="F1281" t="s">
        <v>65</v>
      </c>
    </row>
    <row r="1282" spans="1:8">
      <c r="A1282" t="s">
        <v>242</v>
      </c>
      <c r="B1282" t="s">
        <v>65</v>
      </c>
      <c r="C1282">
        <v>43</v>
      </c>
      <c r="D1282" t="s">
        <v>2682</v>
      </c>
      <c r="E1282" t="s">
        <v>2683</v>
      </c>
      <c r="F1282" t="s">
        <v>65</v>
      </c>
      <c r="G1282" t="s">
        <v>2684</v>
      </c>
      <c r="H1282" t="s">
        <v>2685</v>
      </c>
    </row>
    <row r="1283" spans="1:8">
      <c r="A1283" t="s">
        <v>241</v>
      </c>
      <c r="B1283" t="s">
        <v>65</v>
      </c>
      <c r="C1283">
        <v>43</v>
      </c>
      <c r="D1283" t="s">
        <v>2686</v>
      </c>
      <c r="E1283" t="s">
        <v>2687</v>
      </c>
      <c r="F1283" t="s">
        <v>65</v>
      </c>
      <c r="H1283" t="s">
        <v>2688</v>
      </c>
    </row>
    <row r="1284" spans="1:8">
      <c r="A1284" t="s">
        <v>241</v>
      </c>
      <c r="B1284" t="s">
        <v>65</v>
      </c>
      <c r="C1284">
        <v>43</v>
      </c>
      <c r="D1284" t="s">
        <v>2689</v>
      </c>
      <c r="E1284" t="s">
        <v>2690</v>
      </c>
      <c r="F1284" t="s">
        <v>65</v>
      </c>
      <c r="H1284" t="s">
        <v>2691</v>
      </c>
    </row>
    <row r="1285" spans="1:8">
      <c r="A1285" t="s">
        <v>241</v>
      </c>
      <c r="B1285" t="s">
        <v>65</v>
      </c>
      <c r="C1285">
        <v>43</v>
      </c>
      <c r="D1285" t="s">
        <v>2692</v>
      </c>
      <c r="E1285" t="s">
        <v>2693</v>
      </c>
      <c r="F1285" t="s">
        <v>65</v>
      </c>
      <c r="H1285" t="s">
        <v>2694</v>
      </c>
    </row>
    <row r="1286" spans="1:8">
      <c r="A1286" t="s">
        <v>241</v>
      </c>
      <c r="B1286" t="s">
        <v>65</v>
      </c>
      <c r="C1286">
        <v>43</v>
      </c>
      <c r="D1286" t="s">
        <v>2695</v>
      </c>
      <c r="E1286" t="s">
        <v>2696</v>
      </c>
      <c r="F1286" t="s">
        <v>65</v>
      </c>
      <c r="H1286" t="s">
        <v>2697</v>
      </c>
    </row>
    <row r="1287" spans="1:8">
      <c r="A1287" t="s">
        <v>240</v>
      </c>
      <c r="B1287" t="s">
        <v>65</v>
      </c>
      <c r="C1287">
        <v>43</v>
      </c>
      <c r="D1287" t="s">
        <v>2698</v>
      </c>
      <c r="E1287" t="s">
        <v>2699</v>
      </c>
      <c r="G1287" t="s">
        <v>2700</v>
      </c>
      <c r="H1287" t="s">
        <v>2701</v>
      </c>
    </row>
    <row r="1288" spans="1:8">
      <c r="A1288" t="s">
        <v>240</v>
      </c>
      <c r="B1288" t="s">
        <v>65</v>
      </c>
      <c r="C1288">
        <v>43</v>
      </c>
      <c r="D1288" t="s">
        <v>2702</v>
      </c>
      <c r="E1288" t="s">
        <v>2703</v>
      </c>
      <c r="G1288" t="s">
        <v>2704</v>
      </c>
      <c r="H1288" t="s">
        <v>2705</v>
      </c>
    </row>
    <row r="1289" spans="1:8">
      <c r="A1289" t="s">
        <v>241</v>
      </c>
      <c r="B1289" t="s">
        <v>65</v>
      </c>
      <c r="C1289">
        <v>43</v>
      </c>
      <c r="D1289" t="s">
        <v>2706</v>
      </c>
      <c r="E1289" t="s">
        <v>2707</v>
      </c>
      <c r="F1289" t="s">
        <v>65</v>
      </c>
      <c r="H1289" t="s">
        <v>2708</v>
      </c>
    </row>
    <row r="1290" spans="1:8">
      <c r="A1290" t="s">
        <v>240</v>
      </c>
      <c r="B1290" t="s">
        <v>219</v>
      </c>
      <c r="C1290">
        <v>43</v>
      </c>
      <c r="D1290" t="s">
        <v>9924</v>
      </c>
      <c r="E1290" t="s">
        <v>9925</v>
      </c>
      <c r="F1290" t="s">
        <v>219</v>
      </c>
      <c r="G1290" t="s">
        <v>9926</v>
      </c>
      <c r="H1290" t="s">
        <v>9927</v>
      </c>
    </row>
    <row r="1291" spans="1:8">
      <c r="A1291" t="s">
        <v>238</v>
      </c>
      <c r="B1291" t="s">
        <v>219</v>
      </c>
      <c r="C1291">
        <v>43</v>
      </c>
      <c r="D1291" t="s">
        <v>9928</v>
      </c>
      <c r="E1291" t="s">
        <v>9929</v>
      </c>
      <c r="F1291" t="s">
        <v>219</v>
      </c>
      <c r="H1291" t="s">
        <v>9930</v>
      </c>
    </row>
    <row r="1292" spans="1:8">
      <c r="A1292" t="s">
        <v>241</v>
      </c>
      <c r="B1292" t="s">
        <v>219</v>
      </c>
      <c r="C1292">
        <v>43</v>
      </c>
      <c r="D1292" t="s">
        <v>9931</v>
      </c>
      <c r="E1292" t="s">
        <v>9932</v>
      </c>
      <c r="G1292" t="s">
        <v>9933</v>
      </c>
      <c r="H1292" t="s">
        <v>9934</v>
      </c>
    </row>
    <row r="1293" spans="1:8">
      <c r="A1293" t="s">
        <v>242</v>
      </c>
      <c r="B1293" t="s">
        <v>219</v>
      </c>
      <c r="C1293">
        <v>43</v>
      </c>
      <c r="D1293" t="s">
        <v>9935</v>
      </c>
      <c r="E1293" t="s">
        <v>9936</v>
      </c>
      <c r="F1293" t="s">
        <v>219</v>
      </c>
      <c r="G1293" t="s">
        <v>9937</v>
      </c>
      <c r="H1293" t="s">
        <v>9938</v>
      </c>
    </row>
    <row r="1294" spans="1:8">
      <c r="A1294" t="s">
        <v>241</v>
      </c>
      <c r="B1294" t="s">
        <v>219</v>
      </c>
      <c r="C1294">
        <v>43</v>
      </c>
      <c r="D1294" t="s">
        <v>9939</v>
      </c>
      <c r="E1294" t="s">
        <v>9940</v>
      </c>
      <c r="G1294" t="s">
        <v>9941</v>
      </c>
      <c r="H1294" t="s">
        <v>9942</v>
      </c>
    </row>
    <row r="1295" spans="1:8">
      <c r="A1295" t="s">
        <v>241</v>
      </c>
      <c r="B1295" t="s">
        <v>109</v>
      </c>
      <c r="C1295">
        <v>44</v>
      </c>
      <c r="D1295" t="s">
        <v>2274</v>
      </c>
      <c r="E1295" t="s">
        <v>2275</v>
      </c>
      <c r="F1295" t="s">
        <v>109</v>
      </c>
      <c r="H1295" t="s">
        <v>2276</v>
      </c>
    </row>
    <row r="1296" spans="1:8">
      <c r="A1296" t="s">
        <v>241</v>
      </c>
      <c r="B1296" t="s">
        <v>109</v>
      </c>
      <c r="C1296">
        <v>44</v>
      </c>
      <c r="D1296" t="s">
        <v>2277</v>
      </c>
      <c r="E1296" t="s">
        <v>2278</v>
      </c>
      <c r="F1296" t="s">
        <v>109</v>
      </c>
      <c r="G1296" t="s">
        <v>2279</v>
      </c>
      <c r="H1296" t="s">
        <v>2280</v>
      </c>
    </row>
    <row r="1297" spans="1:8">
      <c r="A1297" t="s">
        <v>242</v>
      </c>
      <c r="B1297" t="s">
        <v>109</v>
      </c>
      <c r="C1297">
        <v>44</v>
      </c>
      <c r="D1297" t="s">
        <v>2281</v>
      </c>
      <c r="E1297" t="s">
        <v>2282</v>
      </c>
      <c r="F1297" t="s">
        <v>109</v>
      </c>
      <c r="G1297" t="s">
        <v>2283</v>
      </c>
    </row>
    <row r="1298" spans="1:8">
      <c r="A1298" t="s">
        <v>241</v>
      </c>
      <c r="B1298" t="s">
        <v>109</v>
      </c>
      <c r="C1298">
        <v>44</v>
      </c>
      <c r="D1298" t="s">
        <v>2284</v>
      </c>
      <c r="E1298" t="s">
        <v>2285</v>
      </c>
      <c r="G1298" t="s">
        <v>2286</v>
      </c>
      <c r="H1298" t="s">
        <v>2287</v>
      </c>
    </row>
    <row r="1299" spans="1:8">
      <c r="A1299" t="s">
        <v>243</v>
      </c>
      <c r="B1299" t="s">
        <v>109</v>
      </c>
      <c r="C1299">
        <v>44</v>
      </c>
      <c r="D1299" t="s">
        <v>2288</v>
      </c>
      <c r="E1299" t="s">
        <v>2289</v>
      </c>
      <c r="G1299" t="s">
        <v>2290</v>
      </c>
      <c r="H1299" t="s">
        <v>2291</v>
      </c>
    </row>
    <row r="1300" spans="1:8">
      <c r="A1300" t="s">
        <v>239</v>
      </c>
      <c r="B1300" t="s">
        <v>109</v>
      </c>
      <c r="C1300">
        <v>44</v>
      </c>
      <c r="D1300" t="s">
        <v>2292</v>
      </c>
      <c r="E1300" t="s">
        <v>2293</v>
      </c>
      <c r="F1300" t="s">
        <v>109</v>
      </c>
    </row>
    <row r="1301" spans="1:8">
      <c r="A1301" t="s">
        <v>238</v>
      </c>
      <c r="B1301" t="s">
        <v>109</v>
      </c>
      <c r="C1301">
        <v>44</v>
      </c>
      <c r="D1301" t="s">
        <v>2294</v>
      </c>
      <c r="F1301" t="s">
        <v>1738</v>
      </c>
      <c r="G1301" t="s">
        <v>2295</v>
      </c>
      <c r="H1301" t="s">
        <v>2296</v>
      </c>
    </row>
    <row r="1302" spans="1:8">
      <c r="A1302" t="s">
        <v>241</v>
      </c>
      <c r="B1302" t="s">
        <v>109</v>
      </c>
      <c r="C1302">
        <v>44</v>
      </c>
      <c r="D1302" t="s">
        <v>2297</v>
      </c>
      <c r="E1302" t="s">
        <v>2298</v>
      </c>
      <c r="G1302" t="s">
        <v>2299</v>
      </c>
      <c r="H1302" t="s">
        <v>2300</v>
      </c>
    </row>
    <row r="1303" spans="1:8">
      <c r="A1303" t="s">
        <v>242</v>
      </c>
      <c r="B1303" t="s">
        <v>109</v>
      </c>
      <c r="C1303">
        <v>44</v>
      </c>
      <c r="D1303" t="s">
        <v>2301</v>
      </c>
      <c r="E1303" t="s">
        <v>2302</v>
      </c>
      <c r="F1303" t="s">
        <v>109</v>
      </c>
      <c r="G1303" t="s">
        <v>2303</v>
      </c>
      <c r="H1303" t="s">
        <v>2304</v>
      </c>
    </row>
    <row r="1304" spans="1:8">
      <c r="A1304" t="s">
        <v>242</v>
      </c>
      <c r="B1304" t="s">
        <v>109</v>
      </c>
      <c r="C1304">
        <v>44</v>
      </c>
      <c r="D1304" t="s">
        <v>2305</v>
      </c>
      <c r="E1304" t="s">
        <v>2306</v>
      </c>
      <c r="F1304" t="s">
        <v>2307</v>
      </c>
      <c r="H1304" t="s">
        <v>2308</v>
      </c>
    </row>
    <row r="1305" spans="1:8">
      <c r="A1305" t="s">
        <v>240</v>
      </c>
      <c r="B1305" t="s">
        <v>189</v>
      </c>
      <c r="C1305">
        <v>44</v>
      </c>
      <c r="D1305" t="s">
        <v>6310</v>
      </c>
      <c r="E1305" t="s">
        <v>12089</v>
      </c>
      <c r="F1305" t="s">
        <v>189</v>
      </c>
      <c r="G1305" t="s">
        <v>12090</v>
      </c>
      <c r="H1305" t="s">
        <v>12091</v>
      </c>
    </row>
    <row r="1306" spans="1:8">
      <c r="A1306" t="s">
        <v>241</v>
      </c>
      <c r="B1306" t="s">
        <v>170</v>
      </c>
      <c r="C1306">
        <v>45</v>
      </c>
      <c r="D1306" t="s">
        <v>3401</v>
      </c>
      <c r="E1306" t="s">
        <v>3402</v>
      </c>
      <c r="F1306" t="s">
        <v>170</v>
      </c>
    </row>
    <row r="1307" spans="1:8">
      <c r="A1307" t="s">
        <v>242</v>
      </c>
      <c r="B1307" t="s">
        <v>170</v>
      </c>
      <c r="C1307">
        <v>45</v>
      </c>
      <c r="D1307" t="s">
        <v>3403</v>
      </c>
      <c r="E1307" t="s">
        <v>3404</v>
      </c>
      <c r="F1307" t="s">
        <v>170</v>
      </c>
      <c r="G1307" t="s">
        <v>3405</v>
      </c>
      <c r="H1307" t="s">
        <v>3406</v>
      </c>
    </row>
    <row r="1308" spans="1:8">
      <c r="A1308" t="s">
        <v>242</v>
      </c>
      <c r="B1308" t="s">
        <v>170</v>
      </c>
      <c r="C1308">
        <v>45</v>
      </c>
      <c r="D1308" t="s">
        <v>3407</v>
      </c>
      <c r="E1308" t="s">
        <v>3408</v>
      </c>
      <c r="F1308" t="s">
        <v>170</v>
      </c>
      <c r="G1308" t="s">
        <v>3409</v>
      </c>
      <c r="H1308" t="s">
        <v>3410</v>
      </c>
    </row>
    <row r="1309" spans="1:8">
      <c r="A1309" t="s">
        <v>240</v>
      </c>
      <c r="B1309" t="s">
        <v>170</v>
      </c>
      <c r="C1309">
        <v>45</v>
      </c>
      <c r="D1309" t="s">
        <v>3411</v>
      </c>
      <c r="E1309" t="s">
        <v>3412</v>
      </c>
      <c r="F1309" t="s">
        <v>170</v>
      </c>
      <c r="G1309" t="s">
        <v>3413</v>
      </c>
      <c r="H1309" t="s">
        <v>3414</v>
      </c>
    </row>
    <row r="1310" spans="1:8">
      <c r="A1310" t="s">
        <v>240</v>
      </c>
      <c r="B1310" t="s">
        <v>170</v>
      </c>
      <c r="C1310">
        <v>45</v>
      </c>
      <c r="D1310" t="s">
        <v>3415</v>
      </c>
      <c r="E1310" t="s">
        <v>3416</v>
      </c>
      <c r="F1310" t="s">
        <v>170</v>
      </c>
      <c r="H1310" t="s">
        <v>3417</v>
      </c>
    </row>
    <row r="1311" spans="1:8">
      <c r="A1311" t="s">
        <v>242</v>
      </c>
      <c r="B1311" t="s">
        <v>170</v>
      </c>
      <c r="C1311">
        <v>45</v>
      </c>
      <c r="D1311" t="s">
        <v>3418</v>
      </c>
      <c r="E1311" t="s">
        <v>3419</v>
      </c>
    </row>
    <row r="1312" spans="1:8">
      <c r="A1312" t="s">
        <v>241</v>
      </c>
      <c r="B1312" t="s">
        <v>170</v>
      </c>
      <c r="C1312">
        <v>45</v>
      </c>
      <c r="D1312" t="s">
        <v>3420</v>
      </c>
      <c r="E1312" t="s">
        <v>3421</v>
      </c>
      <c r="H1312" t="s">
        <v>3422</v>
      </c>
    </row>
    <row r="1313" spans="1:8">
      <c r="A1313" t="s">
        <v>241</v>
      </c>
      <c r="B1313" t="s">
        <v>170</v>
      </c>
      <c r="C1313">
        <v>45</v>
      </c>
      <c r="D1313" t="s">
        <v>3423</v>
      </c>
      <c r="E1313" t="s">
        <v>3424</v>
      </c>
      <c r="F1313" t="s">
        <v>170</v>
      </c>
      <c r="G1313" t="s">
        <v>3425</v>
      </c>
      <c r="H1313" t="s">
        <v>3426</v>
      </c>
    </row>
    <row r="1314" spans="1:8">
      <c r="A1314" t="s">
        <v>242</v>
      </c>
      <c r="B1314" t="s">
        <v>170</v>
      </c>
      <c r="C1314">
        <v>45</v>
      </c>
      <c r="D1314" t="s">
        <v>3427</v>
      </c>
      <c r="E1314" t="s">
        <v>3428</v>
      </c>
      <c r="F1314" t="s">
        <v>170</v>
      </c>
      <c r="H1314" t="s">
        <v>3429</v>
      </c>
    </row>
    <row r="1315" spans="1:8">
      <c r="A1315" t="s">
        <v>244</v>
      </c>
      <c r="B1315" t="s">
        <v>170</v>
      </c>
      <c r="C1315">
        <v>45</v>
      </c>
      <c r="D1315" t="s">
        <v>1282</v>
      </c>
      <c r="E1315" t="s">
        <v>3430</v>
      </c>
      <c r="G1315" t="s">
        <v>3431</v>
      </c>
    </row>
    <row r="1316" spans="1:8">
      <c r="A1316" t="s">
        <v>242</v>
      </c>
      <c r="B1316" t="s">
        <v>170</v>
      </c>
      <c r="C1316">
        <v>45</v>
      </c>
      <c r="D1316" t="s">
        <v>3432</v>
      </c>
      <c r="E1316" t="s">
        <v>3433</v>
      </c>
      <c r="F1316" t="s">
        <v>170</v>
      </c>
      <c r="H1316" t="s">
        <v>3434</v>
      </c>
    </row>
    <row r="1317" spans="1:8">
      <c r="A1317" t="s">
        <v>241</v>
      </c>
      <c r="B1317" t="s">
        <v>170</v>
      </c>
      <c r="C1317">
        <v>45</v>
      </c>
      <c r="D1317" t="s">
        <v>3435</v>
      </c>
      <c r="E1317" t="s">
        <v>3436</v>
      </c>
      <c r="F1317" t="s">
        <v>3437</v>
      </c>
      <c r="H1317" t="s">
        <v>3438</v>
      </c>
    </row>
    <row r="1318" spans="1:8">
      <c r="A1318" t="s">
        <v>242</v>
      </c>
      <c r="B1318" t="s">
        <v>170</v>
      </c>
      <c r="C1318">
        <v>45</v>
      </c>
      <c r="D1318" t="s">
        <v>3439</v>
      </c>
      <c r="E1318" t="s">
        <v>3440</v>
      </c>
      <c r="G1318" t="s">
        <v>3441</v>
      </c>
      <c r="H1318" t="s">
        <v>3442</v>
      </c>
    </row>
    <row r="1319" spans="1:8">
      <c r="A1319" t="s">
        <v>241</v>
      </c>
      <c r="B1319" t="s">
        <v>170</v>
      </c>
      <c r="C1319">
        <v>45</v>
      </c>
      <c r="D1319" t="s">
        <v>3443</v>
      </c>
      <c r="E1319" t="s">
        <v>3444</v>
      </c>
      <c r="F1319" t="s">
        <v>170</v>
      </c>
    </row>
    <row r="1320" spans="1:8">
      <c r="A1320" t="s">
        <v>242</v>
      </c>
      <c r="B1320" t="s">
        <v>21</v>
      </c>
      <c r="C1320">
        <v>46</v>
      </c>
      <c r="D1320" t="s">
        <v>8183</v>
      </c>
      <c r="E1320" t="s">
        <v>8184</v>
      </c>
      <c r="F1320" t="s">
        <v>21</v>
      </c>
    </row>
    <row r="1321" spans="1:8">
      <c r="A1321" t="s">
        <v>242</v>
      </c>
      <c r="B1321" t="s">
        <v>21</v>
      </c>
      <c r="C1321">
        <v>46</v>
      </c>
      <c r="D1321" t="s">
        <v>8185</v>
      </c>
      <c r="E1321" t="s">
        <v>8186</v>
      </c>
      <c r="F1321" t="s">
        <v>21</v>
      </c>
    </row>
    <row r="1322" spans="1:8">
      <c r="A1322" t="s">
        <v>242</v>
      </c>
      <c r="B1322" t="s">
        <v>21</v>
      </c>
      <c r="C1322">
        <v>46</v>
      </c>
      <c r="D1322" t="s">
        <v>8187</v>
      </c>
      <c r="E1322" t="s">
        <v>8188</v>
      </c>
      <c r="F1322" t="s">
        <v>21</v>
      </c>
      <c r="G1322" t="s">
        <v>8189</v>
      </c>
      <c r="H1322" t="s">
        <v>8190</v>
      </c>
    </row>
    <row r="1323" spans="1:8">
      <c r="A1323" t="s">
        <v>242</v>
      </c>
      <c r="B1323" t="s">
        <v>21</v>
      </c>
      <c r="C1323">
        <v>46</v>
      </c>
      <c r="D1323" t="s">
        <v>8191</v>
      </c>
      <c r="E1323" t="s">
        <v>8192</v>
      </c>
      <c r="F1323" t="s">
        <v>21</v>
      </c>
      <c r="G1323" t="s">
        <v>8193</v>
      </c>
      <c r="H1323" t="s">
        <v>8194</v>
      </c>
    </row>
    <row r="1324" spans="1:8">
      <c r="A1324" t="s">
        <v>242</v>
      </c>
      <c r="B1324" t="s">
        <v>21</v>
      </c>
      <c r="C1324">
        <v>46</v>
      </c>
      <c r="D1324" t="s">
        <v>8195</v>
      </c>
      <c r="E1324" t="s">
        <v>8196</v>
      </c>
      <c r="F1324" t="s">
        <v>21</v>
      </c>
      <c r="G1324" t="s">
        <v>8197</v>
      </c>
      <c r="H1324" t="s">
        <v>8198</v>
      </c>
    </row>
    <row r="1325" spans="1:8">
      <c r="A1325" t="s">
        <v>238</v>
      </c>
      <c r="B1325" t="s">
        <v>21</v>
      </c>
      <c r="C1325">
        <v>46</v>
      </c>
      <c r="D1325" t="s">
        <v>8199</v>
      </c>
      <c r="E1325" t="s">
        <v>8200</v>
      </c>
      <c r="F1325" t="s">
        <v>21</v>
      </c>
      <c r="H1325" t="s">
        <v>8201</v>
      </c>
    </row>
    <row r="1326" spans="1:8">
      <c r="A1326" t="s">
        <v>241</v>
      </c>
      <c r="B1326" t="s">
        <v>29</v>
      </c>
      <c r="C1326">
        <v>46</v>
      </c>
      <c r="D1326" t="s">
        <v>9955</v>
      </c>
      <c r="E1326" t="s">
        <v>9956</v>
      </c>
      <c r="H1326" t="s">
        <v>9957</v>
      </c>
    </row>
    <row r="1327" spans="1:8">
      <c r="A1327" t="s">
        <v>242</v>
      </c>
      <c r="B1327" t="s">
        <v>29</v>
      </c>
      <c r="C1327">
        <v>46</v>
      </c>
      <c r="D1327" t="s">
        <v>9958</v>
      </c>
      <c r="E1327" t="s">
        <v>9959</v>
      </c>
      <c r="F1327" t="s">
        <v>29</v>
      </c>
      <c r="H1327" t="s">
        <v>9960</v>
      </c>
    </row>
    <row r="1328" spans="1:8">
      <c r="A1328" t="s">
        <v>241</v>
      </c>
      <c r="B1328" t="s">
        <v>29</v>
      </c>
      <c r="C1328">
        <v>46</v>
      </c>
      <c r="D1328" t="s">
        <v>9961</v>
      </c>
      <c r="E1328" t="s">
        <v>9962</v>
      </c>
      <c r="F1328" t="s">
        <v>9963</v>
      </c>
      <c r="H1328" t="s">
        <v>9964</v>
      </c>
    </row>
    <row r="1329" spans="1:8">
      <c r="A1329" t="s">
        <v>238</v>
      </c>
      <c r="B1329" t="s">
        <v>29</v>
      </c>
      <c r="C1329">
        <v>46</v>
      </c>
      <c r="D1329" t="s">
        <v>9965</v>
      </c>
      <c r="E1329" t="s">
        <v>9966</v>
      </c>
      <c r="F1329" t="s">
        <v>2307</v>
      </c>
      <c r="G1329" t="s">
        <v>9967</v>
      </c>
      <c r="H1329" t="s">
        <v>9968</v>
      </c>
    </row>
    <row r="1330" spans="1:8">
      <c r="A1330" t="s">
        <v>242</v>
      </c>
      <c r="B1330" t="s">
        <v>29</v>
      </c>
      <c r="C1330">
        <v>46</v>
      </c>
      <c r="D1330" t="s">
        <v>9969</v>
      </c>
      <c r="E1330" t="s">
        <v>9970</v>
      </c>
      <c r="G1330" t="s">
        <v>9971</v>
      </c>
      <c r="H1330" t="s">
        <v>9972</v>
      </c>
    </row>
    <row r="1331" spans="1:8">
      <c r="A1331" t="s">
        <v>242</v>
      </c>
      <c r="B1331" t="s">
        <v>29</v>
      </c>
      <c r="C1331">
        <v>46</v>
      </c>
      <c r="D1331" t="s">
        <v>9973</v>
      </c>
      <c r="E1331" t="s">
        <v>9974</v>
      </c>
      <c r="F1331" t="s">
        <v>29</v>
      </c>
      <c r="H1331" t="s">
        <v>9975</v>
      </c>
    </row>
    <row r="1332" spans="1:8">
      <c r="A1332" t="s">
        <v>242</v>
      </c>
      <c r="B1332" t="s">
        <v>29</v>
      </c>
      <c r="C1332">
        <v>46</v>
      </c>
      <c r="D1332" t="s">
        <v>9976</v>
      </c>
      <c r="E1332" t="s">
        <v>9977</v>
      </c>
      <c r="F1332" t="s">
        <v>29</v>
      </c>
      <c r="G1332" t="s">
        <v>9978</v>
      </c>
      <c r="H1332" t="s">
        <v>9979</v>
      </c>
    </row>
    <row r="1333" spans="1:8">
      <c r="A1333" t="s">
        <v>242</v>
      </c>
      <c r="B1333" t="s">
        <v>138</v>
      </c>
      <c r="C1333">
        <v>46</v>
      </c>
      <c r="D1333" t="s">
        <v>11002</v>
      </c>
      <c r="E1333" t="s">
        <v>11003</v>
      </c>
      <c r="F1333" t="s">
        <v>138</v>
      </c>
      <c r="G1333" t="s">
        <v>11004</v>
      </c>
      <c r="H1333" t="s">
        <v>11005</v>
      </c>
    </row>
    <row r="1334" spans="1:8">
      <c r="A1334" t="s">
        <v>239</v>
      </c>
      <c r="B1334" t="s">
        <v>138</v>
      </c>
      <c r="C1334">
        <v>46</v>
      </c>
      <c r="D1334" t="s">
        <v>11006</v>
      </c>
      <c r="E1334" t="s">
        <v>11007</v>
      </c>
      <c r="H1334" t="s">
        <v>11008</v>
      </c>
    </row>
    <row r="1335" spans="1:8">
      <c r="A1335" t="s">
        <v>241</v>
      </c>
      <c r="B1335" t="s">
        <v>138</v>
      </c>
      <c r="C1335">
        <v>46</v>
      </c>
      <c r="D1335" t="s">
        <v>11009</v>
      </c>
      <c r="E1335" t="s">
        <v>11010</v>
      </c>
      <c r="G1335" t="s">
        <v>11011</v>
      </c>
      <c r="H1335" t="s">
        <v>11012</v>
      </c>
    </row>
    <row r="1336" spans="1:8">
      <c r="A1336" t="s">
        <v>239</v>
      </c>
      <c r="B1336" t="s">
        <v>138</v>
      </c>
      <c r="C1336">
        <v>46</v>
      </c>
      <c r="D1336" t="s">
        <v>11013</v>
      </c>
      <c r="H1336" t="s">
        <v>11014</v>
      </c>
    </row>
    <row r="1337" spans="1:8">
      <c r="A1337" t="s">
        <v>244</v>
      </c>
      <c r="B1337" t="s">
        <v>138</v>
      </c>
      <c r="C1337">
        <v>46</v>
      </c>
      <c r="D1337" t="s">
        <v>1282</v>
      </c>
      <c r="F1337" t="s">
        <v>11015</v>
      </c>
    </row>
    <row r="1338" spans="1:8">
      <c r="A1338" t="s">
        <v>242</v>
      </c>
      <c r="B1338" t="s">
        <v>138</v>
      </c>
      <c r="C1338">
        <v>46</v>
      </c>
      <c r="D1338" t="s">
        <v>11016</v>
      </c>
      <c r="E1338" t="s">
        <v>11017</v>
      </c>
      <c r="F1338" t="s">
        <v>138</v>
      </c>
      <c r="G1338" t="s">
        <v>11018</v>
      </c>
      <c r="H1338" t="s">
        <v>11019</v>
      </c>
    </row>
    <row r="1339" spans="1:8">
      <c r="A1339" t="s">
        <v>241</v>
      </c>
      <c r="B1339" t="s">
        <v>138</v>
      </c>
      <c r="C1339">
        <v>46</v>
      </c>
      <c r="D1339" t="s">
        <v>11020</v>
      </c>
      <c r="E1339" t="s">
        <v>11021</v>
      </c>
      <c r="F1339" t="s">
        <v>138</v>
      </c>
      <c r="G1339" t="s">
        <v>11022</v>
      </c>
      <c r="H1339" t="s">
        <v>11023</v>
      </c>
    </row>
    <row r="1340" spans="1:8">
      <c r="A1340" t="s">
        <v>239</v>
      </c>
      <c r="B1340" t="s">
        <v>138</v>
      </c>
      <c r="C1340">
        <v>46</v>
      </c>
      <c r="D1340" t="s">
        <v>11024</v>
      </c>
      <c r="E1340" t="s">
        <v>11025</v>
      </c>
      <c r="F1340" t="s">
        <v>138</v>
      </c>
      <c r="H1340" t="s">
        <v>11026</v>
      </c>
    </row>
    <row r="1341" spans="1:8">
      <c r="A1341" t="s">
        <v>241</v>
      </c>
      <c r="B1341" t="s">
        <v>138</v>
      </c>
      <c r="C1341">
        <v>46</v>
      </c>
      <c r="D1341" t="s">
        <v>11027</v>
      </c>
      <c r="E1341" t="s">
        <v>11028</v>
      </c>
      <c r="F1341" t="s">
        <v>11029</v>
      </c>
      <c r="G1341" t="s">
        <v>11030</v>
      </c>
      <c r="H1341" t="s">
        <v>11031</v>
      </c>
    </row>
    <row r="1342" spans="1:8">
      <c r="A1342" t="s">
        <v>241</v>
      </c>
      <c r="B1342" t="s">
        <v>138</v>
      </c>
      <c r="C1342">
        <v>46</v>
      </c>
      <c r="D1342" t="s">
        <v>11032</v>
      </c>
      <c r="E1342" t="s">
        <v>11033</v>
      </c>
      <c r="F1342" t="s">
        <v>11029</v>
      </c>
      <c r="G1342" t="s">
        <v>11030</v>
      </c>
      <c r="H1342" t="s">
        <v>11031</v>
      </c>
    </row>
    <row r="1343" spans="1:8">
      <c r="A1343" t="s">
        <v>239</v>
      </c>
      <c r="B1343" t="s">
        <v>138</v>
      </c>
      <c r="C1343">
        <v>46</v>
      </c>
      <c r="D1343" t="s">
        <v>11034</v>
      </c>
      <c r="E1343" t="s">
        <v>11035</v>
      </c>
      <c r="F1343" t="s">
        <v>138</v>
      </c>
      <c r="H1343" t="s">
        <v>11036</v>
      </c>
    </row>
    <row r="1344" spans="1:8">
      <c r="A1344" t="s">
        <v>241</v>
      </c>
      <c r="B1344" t="s">
        <v>138</v>
      </c>
      <c r="C1344">
        <v>46</v>
      </c>
      <c r="D1344" t="s">
        <v>11037</v>
      </c>
      <c r="E1344" t="s">
        <v>11038</v>
      </c>
      <c r="F1344" t="s">
        <v>138</v>
      </c>
      <c r="H1344" t="s">
        <v>11039</v>
      </c>
    </row>
    <row r="1345" spans="1:8">
      <c r="A1345" t="s">
        <v>238</v>
      </c>
      <c r="B1345" t="s">
        <v>138</v>
      </c>
      <c r="C1345">
        <v>46</v>
      </c>
      <c r="D1345" t="s">
        <v>11040</v>
      </c>
      <c r="E1345" t="s">
        <v>11041</v>
      </c>
      <c r="F1345" t="s">
        <v>138</v>
      </c>
      <c r="G1345" t="s">
        <v>11042</v>
      </c>
      <c r="H1345" t="s">
        <v>11043</v>
      </c>
    </row>
    <row r="1346" spans="1:8">
      <c r="A1346" t="s">
        <v>240</v>
      </c>
      <c r="B1346" t="s">
        <v>138</v>
      </c>
      <c r="C1346">
        <v>46</v>
      </c>
      <c r="D1346" t="s">
        <v>11044</v>
      </c>
      <c r="E1346" t="s">
        <v>11045</v>
      </c>
      <c r="F1346" t="s">
        <v>138</v>
      </c>
      <c r="G1346" t="s">
        <v>11046</v>
      </c>
      <c r="H1346" t="s">
        <v>11047</v>
      </c>
    </row>
    <row r="1347" spans="1:8">
      <c r="A1347" t="s">
        <v>241</v>
      </c>
      <c r="B1347" t="s">
        <v>138</v>
      </c>
      <c r="C1347">
        <v>46</v>
      </c>
      <c r="D1347" t="s">
        <v>11048</v>
      </c>
      <c r="E1347" t="s">
        <v>11049</v>
      </c>
      <c r="F1347" t="s">
        <v>138</v>
      </c>
      <c r="G1347" t="s">
        <v>11050</v>
      </c>
      <c r="H1347" t="s">
        <v>11051</v>
      </c>
    </row>
    <row r="1348" spans="1:8">
      <c r="A1348" t="s">
        <v>241</v>
      </c>
      <c r="B1348" t="s">
        <v>138</v>
      </c>
      <c r="C1348">
        <v>46</v>
      </c>
      <c r="D1348" t="s">
        <v>11052</v>
      </c>
      <c r="E1348" t="s">
        <v>11053</v>
      </c>
      <c r="F1348" t="s">
        <v>138</v>
      </c>
      <c r="G1348" t="s">
        <v>11054</v>
      </c>
      <c r="H1348" t="s">
        <v>11055</v>
      </c>
    </row>
    <row r="1349" spans="1:8">
      <c r="A1349" t="s">
        <v>242</v>
      </c>
      <c r="B1349" t="s">
        <v>138</v>
      </c>
      <c r="C1349">
        <v>46</v>
      </c>
      <c r="D1349" t="s">
        <v>539</v>
      </c>
      <c r="E1349" t="s">
        <v>11056</v>
      </c>
      <c r="F1349" t="s">
        <v>138</v>
      </c>
      <c r="G1349" t="s">
        <v>11057</v>
      </c>
      <c r="H1349" t="s">
        <v>11058</v>
      </c>
    </row>
    <row r="1350" spans="1:8">
      <c r="A1350" t="s">
        <v>239</v>
      </c>
      <c r="B1350" t="s">
        <v>138</v>
      </c>
      <c r="C1350">
        <v>46</v>
      </c>
      <c r="D1350" t="s">
        <v>11059</v>
      </c>
      <c r="E1350" t="s">
        <v>11060</v>
      </c>
      <c r="G1350" t="s">
        <v>3903</v>
      </c>
      <c r="H1350" t="s">
        <v>3904</v>
      </c>
    </row>
    <row r="1351" spans="1:8">
      <c r="A1351" t="s">
        <v>241</v>
      </c>
      <c r="B1351" t="s">
        <v>138</v>
      </c>
      <c r="C1351">
        <v>46</v>
      </c>
      <c r="D1351" t="s">
        <v>11061</v>
      </c>
      <c r="E1351" t="s">
        <v>11062</v>
      </c>
      <c r="F1351" t="s">
        <v>138</v>
      </c>
      <c r="G1351" t="s">
        <v>11063</v>
      </c>
      <c r="H1351" t="s">
        <v>11064</v>
      </c>
    </row>
    <row r="1352" spans="1:8">
      <c r="A1352" t="s">
        <v>243</v>
      </c>
      <c r="B1352" t="s">
        <v>150</v>
      </c>
      <c r="C1352">
        <v>46</v>
      </c>
      <c r="D1352" t="s">
        <v>14527</v>
      </c>
      <c r="E1352" t="s">
        <v>608</v>
      </c>
      <c r="H1352" t="s">
        <v>14528</v>
      </c>
    </row>
    <row r="1353" spans="1:8">
      <c r="A1353" t="s">
        <v>239</v>
      </c>
      <c r="B1353" t="s">
        <v>150</v>
      </c>
      <c r="C1353">
        <v>46</v>
      </c>
      <c r="D1353" t="s">
        <v>14529</v>
      </c>
      <c r="E1353" t="s">
        <v>14530</v>
      </c>
      <c r="H1353" t="s">
        <v>14531</v>
      </c>
    </row>
    <row r="1354" spans="1:8">
      <c r="A1354" t="s">
        <v>238</v>
      </c>
      <c r="B1354" t="s">
        <v>150</v>
      </c>
      <c r="C1354">
        <v>46</v>
      </c>
      <c r="D1354" t="s">
        <v>14532</v>
      </c>
      <c r="E1354" t="s">
        <v>14533</v>
      </c>
      <c r="F1354" t="s">
        <v>150</v>
      </c>
      <c r="H1354" t="s">
        <v>14534</v>
      </c>
    </row>
    <row r="1355" spans="1:8">
      <c r="A1355" t="s">
        <v>243</v>
      </c>
      <c r="B1355" t="s">
        <v>150</v>
      </c>
      <c r="C1355">
        <v>46</v>
      </c>
      <c r="D1355" t="s">
        <v>14535</v>
      </c>
      <c r="E1355" t="s">
        <v>14536</v>
      </c>
      <c r="F1355" t="s">
        <v>150</v>
      </c>
      <c r="H1355" t="s">
        <v>14537</v>
      </c>
    </row>
    <row r="1356" spans="1:8">
      <c r="A1356" t="s">
        <v>240</v>
      </c>
      <c r="B1356" t="s">
        <v>205</v>
      </c>
      <c r="C1356">
        <v>47</v>
      </c>
      <c r="D1356" t="s">
        <v>8856</v>
      </c>
      <c r="E1356" t="s">
        <v>8857</v>
      </c>
      <c r="F1356" t="s">
        <v>8858</v>
      </c>
    </row>
    <row r="1357" spans="1:8">
      <c r="A1357" t="s">
        <v>241</v>
      </c>
      <c r="B1357" t="s">
        <v>205</v>
      </c>
      <c r="C1357">
        <v>47</v>
      </c>
      <c r="D1357" t="s">
        <v>8859</v>
      </c>
      <c r="E1357" t="s">
        <v>8860</v>
      </c>
      <c r="F1357" t="s">
        <v>205</v>
      </c>
      <c r="G1357" t="s">
        <v>8861</v>
      </c>
      <c r="H1357" t="s">
        <v>8862</v>
      </c>
    </row>
    <row r="1358" spans="1:8">
      <c r="A1358" t="s">
        <v>241</v>
      </c>
      <c r="B1358" t="s">
        <v>205</v>
      </c>
      <c r="C1358">
        <v>47</v>
      </c>
      <c r="D1358" t="s">
        <v>8863</v>
      </c>
      <c r="E1358" t="s">
        <v>8864</v>
      </c>
      <c r="H1358" t="s">
        <v>8865</v>
      </c>
    </row>
    <row r="1359" spans="1:8">
      <c r="A1359" t="s">
        <v>239</v>
      </c>
      <c r="B1359" t="s">
        <v>31</v>
      </c>
      <c r="C1359">
        <v>48</v>
      </c>
      <c r="D1359" t="s">
        <v>10055</v>
      </c>
      <c r="E1359" t="s">
        <v>10056</v>
      </c>
      <c r="H1359" t="s">
        <v>10057</v>
      </c>
    </row>
    <row r="1360" spans="1:8">
      <c r="A1360" t="s">
        <v>241</v>
      </c>
      <c r="B1360" t="s">
        <v>31</v>
      </c>
      <c r="C1360">
        <v>48</v>
      </c>
      <c r="D1360" t="s">
        <v>10058</v>
      </c>
      <c r="E1360" t="s">
        <v>10059</v>
      </c>
      <c r="F1360" t="s">
        <v>31</v>
      </c>
      <c r="G1360" t="s">
        <v>10060</v>
      </c>
      <c r="H1360" t="s">
        <v>10061</v>
      </c>
    </row>
    <row r="1361" spans="1:8">
      <c r="A1361" t="s">
        <v>249</v>
      </c>
      <c r="B1361" t="s">
        <v>31</v>
      </c>
      <c r="C1361">
        <v>48</v>
      </c>
      <c r="D1361" t="s">
        <v>10062</v>
      </c>
      <c r="E1361" t="s">
        <v>10063</v>
      </c>
      <c r="F1361" t="s">
        <v>31</v>
      </c>
      <c r="G1361" t="s">
        <v>10064</v>
      </c>
      <c r="H1361" t="s">
        <v>10065</v>
      </c>
    </row>
    <row r="1362" spans="1:8">
      <c r="A1362" t="s">
        <v>242</v>
      </c>
      <c r="B1362" t="s">
        <v>31</v>
      </c>
      <c r="C1362">
        <v>48</v>
      </c>
      <c r="D1362" t="s">
        <v>10066</v>
      </c>
      <c r="E1362" t="s">
        <v>10067</v>
      </c>
      <c r="F1362" t="s">
        <v>31</v>
      </c>
      <c r="H1362" t="s">
        <v>10068</v>
      </c>
    </row>
    <row r="1363" spans="1:8">
      <c r="A1363" t="s">
        <v>241</v>
      </c>
      <c r="B1363" t="s">
        <v>31</v>
      </c>
      <c r="C1363">
        <v>48</v>
      </c>
      <c r="D1363" t="s">
        <v>10069</v>
      </c>
      <c r="E1363" t="s">
        <v>10070</v>
      </c>
      <c r="F1363" t="s">
        <v>31</v>
      </c>
      <c r="H1363" t="s">
        <v>10071</v>
      </c>
    </row>
    <row r="1364" spans="1:8">
      <c r="A1364" t="s">
        <v>239</v>
      </c>
      <c r="B1364" t="s">
        <v>31</v>
      </c>
      <c r="C1364">
        <v>48</v>
      </c>
      <c r="D1364" t="s">
        <v>10072</v>
      </c>
      <c r="E1364" t="s">
        <v>10073</v>
      </c>
      <c r="H1364" t="s">
        <v>10074</v>
      </c>
    </row>
    <row r="1365" spans="1:8">
      <c r="A1365" t="s">
        <v>239</v>
      </c>
      <c r="B1365" t="s">
        <v>31</v>
      </c>
      <c r="C1365">
        <v>48</v>
      </c>
      <c r="D1365" t="s">
        <v>10075</v>
      </c>
      <c r="E1365" t="s">
        <v>10076</v>
      </c>
      <c r="H1365" t="s">
        <v>10077</v>
      </c>
    </row>
    <row r="1366" spans="1:8">
      <c r="A1366" t="s">
        <v>239</v>
      </c>
      <c r="B1366" t="s">
        <v>31</v>
      </c>
      <c r="C1366">
        <v>48</v>
      </c>
      <c r="D1366" t="s">
        <v>10078</v>
      </c>
      <c r="E1366" t="s">
        <v>10079</v>
      </c>
      <c r="F1366" t="s">
        <v>10080</v>
      </c>
      <c r="H1366" t="s">
        <v>10081</v>
      </c>
    </row>
    <row r="1367" spans="1:8">
      <c r="A1367" t="s">
        <v>241</v>
      </c>
      <c r="B1367" t="s">
        <v>63</v>
      </c>
      <c r="C1367">
        <v>49</v>
      </c>
      <c r="D1367" t="s">
        <v>1413</v>
      </c>
      <c r="E1367" t="s">
        <v>1414</v>
      </c>
      <c r="F1367" t="s">
        <v>1413</v>
      </c>
      <c r="G1367" t="s">
        <v>1415</v>
      </c>
      <c r="H1367" t="s">
        <v>1416</v>
      </c>
    </row>
    <row r="1368" spans="1:8">
      <c r="A1368" t="s">
        <v>239</v>
      </c>
      <c r="B1368" t="s">
        <v>63</v>
      </c>
      <c r="C1368">
        <v>49</v>
      </c>
      <c r="D1368" t="s">
        <v>1417</v>
      </c>
      <c r="E1368" t="s">
        <v>1418</v>
      </c>
      <c r="F1368" t="s">
        <v>63</v>
      </c>
    </row>
    <row r="1369" spans="1:8">
      <c r="A1369" t="s">
        <v>239</v>
      </c>
      <c r="B1369" t="s">
        <v>63</v>
      </c>
      <c r="C1369">
        <v>49</v>
      </c>
      <c r="D1369" t="s">
        <v>1419</v>
      </c>
      <c r="E1369" t="s">
        <v>1420</v>
      </c>
      <c r="F1369" t="s">
        <v>63</v>
      </c>
    </row>
    <row r="1370" spans="1:8">
      <c r="A1370" t="s">
        <v>242</v>
      </c>
      <c r="B1370" t="s">
        <v>63</v>
      </c>
      <c r="C1370">
        <v>49</v>
      </c>
      <c r="D1370" t="s">
        <v>1421</v>
      </c>
      <c r="E1370" t="s">
        <v>1422</v>
      </c>
      <c r="F1370" t="s">
        <v>1423</v>
      </c>
    </row>
    <row r="1371" spans="1:8">
      <c r="A1371" t="s">
        <v>242</v>
      </c>
      <c r="B1371" t="s">
        <v>63</v>
      </c>
      <c r="C1371">
        <v>49</v>
      </c>
      <c r="D1371" t="s">
        <v>1424</v>
      </c>
      <c r="E1371" t="s">
        <v>1425</v>
      </c>
      <c r="F1371" t="s">
        <v>151</v>
      </c>
      <c r="G1371" t="s">
        <v>1426</v>
      </c>
      <c r="H1371" t="s">
        <v>1427</v>
      </c>
    </row>
    <row r="1372" spans="1:8">
      <c r="A1372" t="s">
        <v>242</v>
      </c>
      <c r="B1372" t="s">
        <v>63</v>
      </c>
      <c r="C1372">
        <v>49</v>
      </c>
      <c r="D1372" t="s">
        <v>1428</v>
      </c>
      <c r="E1372" t="s">
        <v>1429</v>
      </c>
      <c r="F1372" t="s">
        <v>1430</v>
      </c>
      <c r="G1372" t="s">
        <v>1431</v>
      </c>
      <c r="H1372" t="s">
        <v>1432</v>
      </c>
    </row>
    <row r="1373" spans="1:8">
      <c r="A1373" t="s">
        <v>239</v>
      </c>
      <c r="B1373" t="s">
        <v>63</v>
      </c>
      <c r="C1373">
        <v>49</v>
      </c>
      <c r="D1373" t="s">
        <v>1433</v>
      </c>
      <c r="E1373" t="s">
        <v>1434</v>
      </c>
      <c r="F1373" t="s">
        <v>1435</v>
      </c>
      <c r="H1373" t="s">
        <v>1436</v>
      </c>
    </row>
    <row r="1374" spans="1:8">
      <c r="A1374" t="s">
        <v>242</v>
      </c>
      <c r="B1374" t="s">
        <v>63</v>
      </c>
      <c r="C1374">
        <v>49</v>
      </c>
      <c r="D1374" t="s">
        <v>1437</v>
      </c>
      <c r="E1374" t="s">
        <v>1438</v>
      </c>
      <c r="F1374" t="s">
        <v>1439</v>
      </c>
      <c r="G1374" t="s">
        <v>1440</v>
      </c>
      <c r="H1374" t="s">
        <v>1441</v>
      </c>
    </row>
    <row r="1375" spans="1:8">
      <c r="A1375" t="s">
        <v>242</v>
      </c>
      <c r="B1375" t="s">
        <v>63</v>
      </c>
      <c r="C1375">
        <v>49</v>
      </c>
      <c r="D1375" t="s">
        <v>1442</v>
      </c>
      <c r="E1375" t="s">
        <v>1443</v>
      </c>
      <c r="F1375" t="s">
        <v>1444</v>
      </c>
      <c r="G1375" t="s">
        <v>1445</v>
      </c>
      <c r="H1375" t="s">
        <v>1446</v>
      </c>
    </row>
    <row r="1376" spans="1:8">
      <c r="A1376" t="s">
        <v>239</v>
      </c>
      <c r="B1376" t="s">
        <v>63</v>
      </c>
      <c r="C1376">
        <v>49</v>
      </c>
      <c r="D1376" t="s">
        <v>1447</v>
      </c>
      <c r="E1376" t="s">
        <v>1448</v>
      </c>
      <c r="F1376" t="s">
        <v>1435</v>
      </c>
      <c r="H1376" t="s">
        <v>1436</v>
      </c>
    </row>
    <row r="1377" spans="1:8">
      <c r="A1377" t="s">
        <v>241</v>
      </c>
      <c r="B1377" t="s">
        <v>63</v>
      </c>
      <c r="C1377">
        <v>49</v>
      </c>
      <c r="D1377" t="s">
        <v>1449</v>
      </c>
      <c r="E1377" t="s">
        <v>1450</v>
      </c>
      <c r="F1377" t="s">
        <v>63</v>
      </c>
      <c r="H1377" t="s">
        <v>1451</v>
      </c>
    </row>
    <row r="1378" spans="1:8">
      <c r="A1378" t="s">
        <v>240</v>
      </c>
      <c r="B1378" t="s">
        <v>63</v>
      </c>
      <c r="C1378">
        <v>49</v>
      </c>
      <c r="D1378" t="s">
        <v>1452</v>
      </c>
      <c r="E1378" t="s">
        <v>1453</v>
      </c>
      <c r="F1378" t="s">
        <v>63</v>
      </c>
      <c r="G1378" t="s">
        <v>1454</v>
      </c>
      <c r="H1378" t="s">
        <v>1455</v>
      </c>
    </row>
    <row r="1379" spans="1:8">
      <c r="A1379" t="s">
        <v>238</v>
      </c>
      <c r="B1379" t="s">
        <v>63</v>
      </c>
      <c r="C1379">
        <v>49</v>
      </c>
      <c r="D1379" t="s">
        <v>1456</v>
      </c>
      <c r="E1379" t="s">
        <v>1457</v>
      </c>
      <c r="F1379" t="s">
        <v>1439</v>
      </c>
      <c r="G1379" t="s">
        <v>1458</v>
      </c>
      <c r="H1379" t="s">
        <v>1459</v>
      </c>
    </row>
    <row r="1380" spans="1:8">
      <c r="A1380" t="s">
        <v>239</v>
      </c>
      <c r="B1380" t="s">
        <v>63</v>
      </c>
      <c r="C1380">
        <v>49</v>
      </c>
      <c r="D1380" t="s">
        <v>1460</v>
      </c>
      <c r="E1380" t="s">
        <v>1461</v>
      </c>
      <c r="F1380" t="s">
        <v>63</v>
      </c>
    </row>
    <row r="1381" spans="1:8">
      <c r="A1381" t="s">
        <v>239</v>
      </c>
      <c r="B1381" t="s">
        <v>63</v>
      </c>
      <c r="C1381">
        <v>49</v>
      </c>
      <c r="D1381" t="s">
        <v>1462</v>
      </c>
      <c r="E1381" t="s">
        <v>1463</v>
      </c>
      <c r="F1381" t="s">
        <v>1464</v>
      </c>
      <c r="H1381" t="s">
        <v>1465</v>
      </c>
    </row>
    <row r="1382" spans="1:8">
      <c r="A1382" t="s">
        <v>239</v>
      </c>
      <c r="B1382" t="s">
        <v>63</v>
      </c>
      <c r="C1382">
        <v>49</v>
      </c>
      <c r="D1382" t="s">
        <v>1466</v>
      </c>
      <c r="E1382" t="s">
        <v>1467</v>
      </c>
      <c r="F1382" t="s">
        <v>1435</v>
      </c>
      <c r="H1382" t="s">
        <v>1468</v>
      </c>
    </row>
    <row r="1383" spans="1:8">
      <c r="A1383" t="s">
        <v>242</v>
      </c>
      <c r="B1383" t="s">
        <v>63</v>
      </c>
      <c r="C1383">
        <v>49</v>
      </c>
      <c r="D1383" t="s">
        <v>1469</v>
      </c>
      <c r="E1383" t="s">
        <v>1470</v>
      </c>
      <c r="F1383" t="s">
        <v>1471</v>
      </c>
      <c r="H1383" t="s">
        <v>1472</v>
      </c>
    </row>
    <row r="1384" spans="1:8">
      <c r="A1384" t="s">
        <v>240</v>
      </c>
      <c r="B1384" t="s">
        <v>63</v>
      </c>
      <c r="C1384">
        <v>49</v>
      </c>
      <c r="D1384" t="s">
        <v>1473</v>
      </c>
      <c r="E1384" t="s">
        <v>1474</v>
      </c>
      <c r="F1384" t="s">
        <v>63</v>
      </c>
      <c r="H1384" t="s">
        <v>1475</v>
      </c>
    </row>
    <row r="1385" spans="1:8">
      <c r="A1385" t="s">
        <v>239</v>
      </c>
      <c r="B1385" t="s">
        <v>63</v>
      </c>
      <c r="C1385">
        <v>49</v>
      </c>
      <c r="D1385" t="s">
        <v>1476</v>
      </c>
      <c r="E1385" t="s">
        <v>1477</v>
      </c>
      <c r="F1385" t="s">
        <v>1478</v>
      </c>
      <c r="H1385" t="s">
        <v>1479</v>
      </c>
    </row>
    <row r="1386" spans="1:8">
      <c r="A1386" t="s">
        <v>239</v>
      </c>
      <c r="B1386" t="s">
        <v>63</v>
      </c>
      <c r="C1386">
        <v>49</v>
      </c>
      <c r="D1386" t="s">
        <v>1480</v>
      </c>
      <c r="E1386" t="s">
        <v>1481</v>
      </c>
      <c r="F1386" t="s">
        <v>63</v>
      </c>
    </row>
    <row r="1387" spans="1:8">
      <c r="A1387" t="s">
        <v>239</v>
      </c>
      <c r="B1387" t="s">
        <v>63</v>
      </c>
      <c r="C1387">
        <v>49</v>
      </c>
      <c r="D1387" t="s">
        <v>1482</v>
      </c>
      <c r="E1387" t="s">
        <v>1483</v>
      </c>
      <c r="F1387" t="s">
        <v>1430</v>
      </c>
      <c r="H1387" t="s">
        <v>1484</v>
      </c>
    </row>
    <row r="1388" spans="1:8">
      <c r="A1388" t="s">
        <v>239</v>
      </c>
      <c r="B1388" t="s">
        <v>63</v>
      </c>
      <c r="C1388">
        <v>49</v>
      </c>
      <c r="D1388" t="s">
        <v>1485</v>
      </c>
      <c r="F1388" t="s">
        <v>1430</v>
      </c>
      <c r="H1388" t="s">
        <v>1486</v>
      </c>
    </row>
    <row r="1389" spans="1:8">
      <c r="A1389" t="s">
        <v>239</v>
      </c>
      <c r="B1389" t="s">
        <v>63</v>
      </c>
      <c r="C1389">
        <v>49</v>
      </c>
      <c r="D1389" t="s">
        <v>1485</v>
      </c>
      <c r="F1389" t="s">
        <v>1430</v>
      </c>
      <c r="H1389" t="s">
        <v>1486</v>
      </c>
    </row>
    <row r="1390" spans="1:8">
      <c r="A1390" t="s">
        <v>241</v>
      </c>
      <c r="B1390" t="s">
        <v>63</v>
      </c>
      <c r="C1390">
        <v>49</v>
      </c>
      <c r="D1390" t="s">
        <v>1487</v>
      </c>
      <c r="E1390" t="s">
        <v>1488</v>
      </c>
      <c r="F1390" t="s">
        <v>1413</v>
      </c>
      <c r="H1390" t="s">
        <v>1489</v>
      </c>
    </row>
    <row r="1391" spans="1:8">
      <c r="A1391" t="s">
        <v>243</v>
      </c>
      <c r="B1391" t="s">
        <v>63</v>
      </c>
      <c r="C1391">
        <v>49</v>
      </c>
      <c r="D1391" t="s">
        <v>1490</v>
      </c>
      <c r="E1391" t="s">
        <v>1491</v>
      </c>
      <c r="F1391" t="s">
        <v>1492</v>
      </c>
      <c r="G1391" t="s">
        <v>1493</v>
      </c>
      <c r="H1391" t="s">
        <v>1494</v>
      </c>
    </row>
    <row r="1392" spans="1:8">
      <c r="A1392" t="s">
        <v>239</v>
      </c>
      <c r="B1392" t="s">
        <v>63</v>
      </c>
      <c r="C1392">
        <v>49</v>
      </c>
      <c r="D1392" t="s">
        <v>1495</v>
      </c>
      <c r="E1392" t="s">
        <v>1496</v>
      </c>
      <c r="F1392" t="s">
        <v>1497</v>
      </c>
    </row>
    <row r="1393" spans="1:8">
      <c r="A1393" t="s">
        <v>240</v>
      </c>
      <c r="B1393" t="s">
        <v>63</v>
      </c>
      <c r="C1393">
        <v>49</v>
      </c>
      <c r="D1393" t="s">
        <v>1498</v>
      </c>
      <c r="E1393" t="s">
        <v>1499</v>
      </c>
      <c r="F1393" t="s">
        <v>63</v>
      </c>
      <c r="G1393" t="s">
        <v>1500</v>
      </c>
      <c r="H1393" t="s">
        <v>1501</v>
      </c>
    </row>
    <row r="1394" spans="1:8">
      <c r="A1394" t="s">
        <v>243</v>
      </c>
      <c r="B1394" t="s">
        <v>63</v>
      </c>
      <c r="C1394">
        <v>49</v>
      </c>
      <c r="D1394" t="s">
        <v>1502</v>
      </c>
      <c r="E1394" t="s">
        <v>1503</v>
      </c>
      <c r="F1394" t="s">
        <v>63</v>
      </c>
      <c r="H1394" t="s">
        <v>1504</v>
      </c>
    </row>
    <row r="1395" spans="1:8">
      <c r="A1395" t="s">
        <v>244</v>
      </c>
      <c r="B1395" t="s">
        <v>63</v>
      </c>
      <c r="C1395">
        <v>49</v>
      </c>
      <c r="D1395" t="s">
        <v>1505</v>
      </c>
      <c r="F1395" t="s">
        <v>63</v>
      </c>
    </row>
    <row r="1396" spans="1:8">
      <c r="A1396" t="s">
        <v>241</v>
      </c>
      <c r="B1396" t="s">
        <v>63</v>
      </c>
      <c r="C1396">
        <v>49</v>
      </c>
      <c r="D1396" t="s">
        <v>1506</v>
      </c>
      <c r="E1396" t="s">
        <v>1507</v>
      </c>
      <c r="F1396" t="s">
        <v>1444</v>
      </c>
    </row>
    <row r="1397" spans="1:8">
      <c r="A1397" t="s">
        <v>242</v>
      </c>
      <c r="B1397" t="s">
        <v>63</v>
      </c>
      <c r="C1397">
        <v>49</v>
      </c>
      <c r="D1397" t="s">
        <v>1508</v>
      </c>
      <c r="E1397" t="s">
        <v>1509</v>
      </c>
      <c r="F1397" t="s">
        <v>1413</v>
      </c>
      <c r="G1397" t="s">
        <v>1510</v>
      </c>
      <c r="H1397" t="s">
        <v>1511</v>
      </c>
    </row>
    <row r="1398" spans="1:8">
      <c r="A1398" t="s">
        <v>241</v>
      </c>
      <c r="B1398" t="s">
        <v>63</v>
      </c>
      <c r="C1398">
        <v>49</v>
      </c>
      <c r="D1398" t="s">
        <v>1512</v>
      </c>
      <c r="E1398" t="s">
        <v>1513</v>
      </c>
      <c r="F1398" t="s">
        <v>63</v>
      </c>
      <c r="H1398" t="s">
        <v>1514</v>
      </c>
    </row>
    <row r="1399" spans="1:8">
      <c r="A1399" t="s">
        <v>242</v>
      </c>
      <c r="B1399" t="s">
        <v>63</v>
      </c>
      <c r="C1399">
        <v>49</v>
      </c>
      <c r="D1399" t="s">
        <v>1515</v>
      </c>
      <c r="E1399" t="s">
        <v>1516</v>
      </c>
      <c r="F1399" t="s">
        <v>1517</v>
      </c>
      <c r="H1399" t="s">
        <v>1518</v>
      </c>
    </row>
    <row r="1400" spans="1:8">
      <c r="A1400" t="s">
        <v>252</v>
      </c>
      <c r="B1400" t="s">
        <v>63</v>
      </c>
      <c r="C1400">
        <v>49</v>
      </c>
      <c r="D1400" t="s">
        <v>1519</v>
      </c>
      <c r="E1400" t="s">
        <v>1520</v>
      </c>
      <c r="F1400" t="s">
        <v>1423</v>
      </c>
      <c r="G1400" t="s">
        <v>1521</v>
      </c>
      <c r="H1400" t="s">
        <v>1522</v>
      </c>
    </row>
    <row r="1401" spans="1:8">
      <c r="A1401" t="s">
        <v>239</v>
      </c>
      <c r="B1401" t="s">
        <v>63</v>
      </c>
      <c r="C1401">
        <v>49</v>
      </c>
      <c r="D1401" t="s">
        <v>1523</v>
      </c>
      <c r="E1401" t="s">
        <v>1524</v>
      </c>
      <c r="F1401" t="s">
        <v>1435</v>
      </c>
      <c r="G1401" t="s">
        <v>1525</v>
      </c>
      <c r="H1401" t="s">
        <v>1526</v>
      </c>
    </row>
    <row r="1402" spans="1:8">
      <c r="A1402" t="s">
        <v>238</v>
      </c>
      <c r="B1402" t="s">
        <v>63</v>
      </c>
      <c r="C1402">
        <v>49</v>
      </c>
      <c r="D1402" t="s">
        <v>1527</v>
      </c>
      <c r="E1402" t="s">
        <v>1528</v>
      </c>
      <c r="F1402" t="s">
        <v>1529</v>
      </c>
      <c r="G1402" t="s">
        <v>1530</v>
      </c>
      <c r="H1402" t="s">
        <v>1531</v>
      </c>
    </row>
    <row r="1403" spans="1:8">
      <c r="A1403" t="s">
        <v>238</v>
      </c>
      <c r="B1403" t="s">
        <v>63</v>
      </c>
      <c r="C1403">
        <v>49</v>
      </c>
      <c r="D1403" t="s">
        <v>1506</v>
      </c>
      <c r="E1403" t="s">
        <v>1507</v>
      </c>
      <c r="F1403" t="s">
        <v>1444</v>
      </c>
      <c r="G1403" t="s">
        <v>1532</v>
      </c>
      <c r="H1403" t="s">
        <v>1533</v>
      </c>
    </row>
    <row r="1404" spans="1:8">
      <c r="A1404" t="s">
        <v>241</v>
      </c>
      <c r="B1404" t="s">
        <v>63</v>
      </c>
      <c r="C1404">
        <v>49</v>
      </c>
      <c r="D1404" t="s">
        <v>1534</v>
      </c>
      <c r="E1404" t="s">
        <v>1535</v>
      </c>
      <c r="F1404" t="s">
        <v>1464</v>
      </c>
      <c r="G1404" t="s">
        <v>1536</v>
      </c>
      <c r="H1404" t="s">
        <v>1465</v>
      </c>
    </row>
    <row r="1405" spans="1:8">
      <c r="A1405" t="s">
        <v>241</v>
      </c>
      <c r="B1405" t="s">
        <v>63</v>
      </c>
      <c r="C1405">
        <v>49</v>
      </c>
      <c r="D1405" t="s">
        <v>1534</v>
      </c>
      <c r="E1405" t="s">
        <v>1535</v>
      </c>
      <c r="F1405" t="s">
        <v>1464</v>
      </c>
      <c r="G1405" t="s">
        <v>1536</v>
      </c>
      <c r="H1405" t="s">
        <v>1465</v>
      </c>
    </row>
    <row r="1406" spans="1:8">
      <c r="A1406" t="s">
        <v>242</v>
      </c>
      <c r="B1406" t="s">
        <v>63</v>
      </c>
      <c r="C1406">
        <v>49</v>
      </c>
      <c r="D1406" t="s">
        <v>1537</v>
      </c>
      <c r="E1406" t="s">
        <v>1538</v>
      </c>
      <c r="F1406" t="s">
        <v>1413</v>
      </c>
      <c r="G1406" t="s">
        <v>1539</v>
      </c>
      <c r="H1406" t="s">
        <v>1540</v>
      </c>
    </row>
    <row r="1407" spans="1:8">
      <c r="A1407" t="s">
        <v>242</v>
      </c>
      <c r="B1407" t="s">
        <v>63</v>
      </c>
      <c r="C1407">
        <v>49</v>
      </c>
      <c r="D1407" t="s">
        <v>1541</v>
      </c>
      <c r="E1407" t="s">
        <v>1542</v>
      </c>
      <c r="F1407" t="s">
        <v>1464</v>
      </c>
      <c r="G1407" t="s">
        <v>1543</v>
      </c>
      <c r="H1407" t="s">
        <v>1544</v>
      </c>
    </row>
    <row r="1408" spans="1:8">
      <c r="A1408" t="s">
        <v>238</v>
      </c>
      <c r="B1408" t="s">
        <v>63</v>
      </c>
      <c r="C1408">
        <v>49</v>
      </c>
      <c r="D1408" t="s">
        <v>1545</v>
      </c>
      <c r="E1408" t="s">
        <v>1546</v>
      </c>
      <c r="F1408" t="s">
        <v>1547</v>
      </c>
      <c r="G1408" t="s">
        <v>1548</v>
      </c>
      <c r="H1408" t="s">
        <v>1549</v>
      </c>
    </row>
    <row r="1409" spans="1:8">
      <c r="A1409" t="s">
        <v>241</v>
      </c>
      <c r="B1409" t="s">
        <v>63</v>
      </c>
      <c r="C1409">
        <v>49</v>
      </c>
      <c r="D1409" t="s">
        <v>1550</v>
      </c>
      <c r="E1409" t="s">
        <v>1551</v>
      </c>
      <c r="F1409" t="s">
        <v>1552</v>
      </c>
      <c r="G1409" t="s">
        <v>1553</v>
      </c>
      <c r="H1409" t="s">
        <v>1554</v>
      </c>
    </row>
    <row r="1410" spans="1:8">
      <c r="A1410" t="s">
        <v>241</v>
      </c>
      <c r="B1410" t="s">
        <v>63</v>
      </c>
      <c r="C1410">
        <v>49</v>
      </c>
      <c r="D1410" t="s">
        <v>1555</v>
      </c>
      <c r="E1410" t="s">
        <v>1556</v>
      </c>
      <c r="F1410" t="s">
        <v>1423</v>
      </c>
      <c r="G1410" t="s">
        <v>1557</v>
      </c>
      <c r="H1410" t="s">
        <v>1558</v>
      </c>
    </row>
    <row r="1411" spans="1:8">
      <c r="A1411" t="s">
        <v>241</v>
      </c>
      <c r="B1411" t="s">
        <v>63</v>
      </c>
      <c r="C1411">
        <v>49</v>
      </c>
      <c r="D1411" t="s">
        <v>1559</v>
      </c>
      <c r="E1411" t="s">
        <v>1560</v>
      </c>
      <c r="F1411" t="s">
        <v>151</v>
      </c>
      <c r="H1411" t="s">
        <v>1561</v>
      </c>
    </row>
    <row r="1412" spans="1:8">
      <c r="A1412" t="s">
        <v>241</v>
      </c>
      <c r="B1412" t="s">
        <v>63</v>
      </c>
      <c r="C1412">
        <v>49</v>
      </c>
      <c r="D1412" t="s">
        <v>1562</v>
      </c>
      <c r="E1412" t="s">
        <v>1563</v>
      </c>
      <c r="F1412" t="s">
        <v>1552</v>
      </c>
      <c r="G1412" t="s">
        <v>1564</v>
      </c>
      <c r="H1412" t="s">
        <v>1565</v>
      </c>
    </row>
    <row r="1413" spans="1:8">
      <c r="A1413" t="s">
        <v>242</v>
      </c>
      <c r="B1413" t="s">
        <v>63</v>
      </c>
      <c r="C1413">
        <v>49</v>
      </c>
      <c r="D1413" t="s">
        <v>1566</v>
      </c>
      <c r="E1413" t="s">
        <v>1567</v>
      </c>
      <c r="F1413" t="s">
        <v>1568</v>
      </c>
      <c r="H1413" t="s">
        <v>1569</v>
      </c>
    </row>
    <row r="1414" spans="1:8">
      <c r="A1414" t="s">
        <v>243</v>
      </c>
      <c r="B1414" t="s">
        <v>63</v>
      </c>
      <c r="C1414">
        <v>49</v>
      </c>
      <c r="D1414" t="s">
        <v>1570</v>
      </c>
      <c r="E1414" t="s">
        <v>1571</v>
      </c>
      <c r="F1414" t="s">
        <v>1572</v>
      </c>
      <c r="G1414" t="s">
        <v>1573</v>
      </c>
      <c r="H1414" t="s">
        <v>1574</v>
      </c>
    </row>
    <row r="1415" spans="1:8">
      <c r="A1415" t="s">
        <v>241</v>
      </c>
      <c r="B1415" t="s">
        <v>63</v>
      </c>
      <c r="C1415">
        <v>49</v>
      </c>
      <c r="D1415" t="s">
        <v>1555</v>
      </c>
      <c r="E1415" t="s">
        <v>1575</v>
      </c>
      <c r="F1415" t="s">
        <v>1423</v>
      </c>
    </row>
    <row r="1416" spans="1:8">
      <c r="A1416" t="s">
        <v>239</v>
      </c>
      <c r="B1416" t="s">
        <v>63</v>
      </c>
      <c r="C1416">
        <v>49</v>
      </c>
      <c r="D1416" t="s">
        <v>1576</v>
      </c>
      <c r="E1416" t="s">
        <v>1577</v>
      </c>
      <c r="F1416" t="s">
        <v>1547</v>
      </c>
      <c r="H1416" t="s">
        <v>1578</v>
      </c>
    </row>
    <row r="1417" spans="1:8">
      <c r="A1417" t="s">
        <v>242</v>
      </c>
      <c r="B1417" t="s">
        <v>63</v>
      </c>
      <c r="C1417">
        <v>49</v>
      </c>
      <c r="D1417" t="s">
        <v>1579</v>
      </c>
      <c r="E1417" t="s">
        <v>1580</v>
      </c>
      <c r="F1417" t="s">
        <v>1492</v>
      </c>
      <c r="G1417" t="s">
        <v>1581</v>
      </c>
      <c r="H1417" t="s">
        <v>1582</v>
      </c>
    </row>
    <row r="1418" spans="1:8">
      <c r="A1418" t="s">
        <v>238</v>
      </c>
      <c r="B1418" t="s">
        <v>63</v>
      </c>
      <c r="C1418">
        <v>49</v>
      </c>
      <c r="D1418" t="s">
        <v>1583</v>
      </c>
      <c r="E1418" t="s">
        <v>1584</v>
      </c>
      <c r="F1418" t="s">
        <v>1439</v>
      </c>
      <c r="G1418" t="s">
        <v>1585</v>
      </c>
      <c r="H1418" t="s">
        <v>1586</v>
      </c>
    </row>
    <row r="1419" spans="1:8">
      <c r="A1419" t="s">
        <v>242</v>
      </c>
      <c r="B1419" t="s">
        <v>63</v>
      </c>
      <c r="C1419">
        <v>49</v>
      </c>
      <c r="D1419" t="s">
        <v>1587</v>
      </c>
      <c r="E1419" t="s">
        <v>1588</v>
      </c>
      <c r="F1419" t="s">
        <v>1478</v>
      </c>
      <c r="G1419" t="s">
        <v>1589</v>
      </c>
      <c r="H1419" t="s">
        <v>1590</v>
      </c>
    </row>
    <row r="1420" spans="1:8">
      <c r="A1420" t="s">
        <v>242</v>
      </c>
      <c r="B1420" t="s">
        <v>63</v>
      </c>
      <c r="C1420">
        <v>49</v>
      </c>
      <c r="D1420" t="s">
        <v>1591</v>
      </c>
      <c r="E1420" t="s">
        <v>1592</v>
      </c>
      <c r="F1420" t="s">
        <v>1517</v>
      </c>
      <c r="G1420" t="s">
        <v>1593</v>
      </c>
      <c r="H1420" t="s">
        <v>1594</v>
      </c>
    </row>
    <row r="1421" spans="1:8">
      <c r="A1421" t="s">
        <v>241</v>
      </c>
      <c r="B1421" t="s">
        <v>63</v>
      </c>
      <c r="C1421">
        <v>49</v>
      </c>
      <c r="D1421" t="s">
        <v>1595</v>
      </c>
      <c r="E1421" t="s">
        <v>1596</v>
      </c>
      <c r="F1421" t="s">
        <v>1430</v>
      </c>
      <c r="H1421" t="s">
        <v>1597</v>
      </c>
    </row>
    <row r="1422" spans="1:8">
      <c r="A1422" t="s">
        <v>242</v>
      </c>
      <c r="B1422" t="s">
        <v>63</v>
      </c>
      <c r="C1422">
        <v>49</v>
      </c>
      <c r="D1422" t="s">
        <v>1519</v>
      </c>
      <c r="E1422" t="s">
        <v>1520</v>
      </c>
      <c r="F1422" t="s">
        <v>1423</v>
      </c>
      <c r="G1422" t="s">
        <v>1521</v>
      </c>
      <c r="H1422" t="s">
        <v>1522</v>
      </c>
    </row>
    <row r="1423" spans="1:8">
      <c r="A1423" t="s">
        <v>242</v>
      </c>
      <c r="B1423" t="s">
        <v>63</v>
      </c>
      <c r="C1423">
        <v>49</v>
      </c>
      <c r="D1423" t="s">
        <v>1598</v>
      </c>
      <c r="E1423" t="s">
        <v>1599</v>
      </c>
      <c r="F1423" t="s">
        <v>1600</v>
      </c>
      <c r="G1423" t="s">
        <v>1601</v>
      </c>
      <c r="H1423" t="s">
        <v>1602</v>
      </c>
    </row>
    <row r="1424" spans="1:8">
      <c r="A1424" t="s">
        <v>241</v>
      </c>
      <c r="B1424" t="s">
        <v>63</v>
      </c>
      <c r="C1424">
        <v>49</v>
      </c>
      <c r="D1424" t="s">
        <v>1603</v>
      </c>
      <c r="E1424" t="s">
        <v>1604</v>
      </c>
      <c r="F1424" t="s">
        <v>1430</v>
      </c>
      <c r="G1424" t="s">
        <v>1605</v>
      </c>
      <c r="H1424" t="s">
        <v>1606</v>
      </c>
    </row>
    <row r="1425" spans="1:8">
      <c r="A1425" t="s">
        <v>238</v>
      </c>
      <c r="B1425" t="s">
        <v>63</v>
      </c>
      <c r="C1425">
        <v>49</v>
      </c>
      <c r="D1425" t="s">
        <v>1607</v>
      </c>
      <c r="E1425" t="s">
        <v>1608</v>
      </c>
      <c r="F1425" t="s">
        <v>1464</v>
      </c>
      <c r="G1425" t="s">
        <v>1609</v>
      </c>
      <c r="H1425" t="s">
        <v>1610</v>
      </c>
    </row>
    <row r="1426" spans="1:8">
      <c r="A1426" t="s">
        <v>242</v>
      </c>
      <c r="B1426" t="s">
        <v>63</v>
      </c>
      <c r="C1426">
        <v>49</v>
      </c>
      <c r="D1426" t="s">
        <v>1611</v>
      </c>
      <c r="E1426" t="s">
        <v>1612</v>
      </c>
      <c r="F1426" t="s">
        <v>1471</v>
      </c>
      <c r="H1426" t="s">
        <v>1613</v>
      </c>
    </row>
    <row r="1427" spans="1:8">
      <c r="A1427" t="s">
        <v>241</v>
      </c>
      <c r="B1427" t="s">
        <v>63</v>
      </c>
      <c r="C1427">
        <v>49</v>
      </c>
      <c r="D1427" t="s">
        <v>683</v>
      </c>
      <c r="E1427" t="s">
        <v>1614</v>
      </c>
      <c r="F1427" t="s">
        <v>1547</v>
      </c>
      <c r="G1427" t="s">
        <v>1615</v>
      </c>
      <c r="H1427" t="s">
        <v>1616</v>
      </c>
    </row>
    <row r="1428" spans="1:8">
      <c r="A1428" t="s">
        <v>239</v>
      </c>
      <c r="B1428" t="s">
        <v>63</v>
      </c>
      <c r="C1428">
        <v>49</v>
      </c>
      <c r="D1428" t="s">
        <v>1617</v>
      </c>
      <c r="E1428" t="s">
        <v>1618</v>
      </c>
      <c r="F1428" t="s">
        <v>1547</v>
      </c>
      <c r="H1428" t="s">
        <v>1619</v>
      </c>
    </row>
    <row r="1429" spans="1:8">
      <c r="A1429" t="s">
        <v>241</v>
      </c>
      <c r="B1429" t="s">
        <v>63</v>
      </c>
      <c r="C1429">
        <v>49</v>
      </c>
      <c r="D1429" t="s">
        <v>1620</v>
      </c>
      <c r="E1429" t="s">
        <v>1621</v>
      </c>
      <c r="F1429" t="s">
        <v>1547</v>
      </c>
      <c r="G1429" t="s">
        <v>1622</v>
      </c>
      <c r="H1429" t="s">
        <v>1623</v>
      </c>
    </row>
    <row r="1430" spans="1:8">
      <c r="A1430" t="s">
        <v>242</v>
      </c>
      <c r="B1430" t="s">
        <v>7</v>
      </c>
      <c r="C1430">
        <v>49</v>
      </c>
      <c r="D1430" t="s">
        <v>2265</v>
      </c>
      <c r="E1430" t="s">
        <v>2266</v>
      </c>
      <c r="H1430" t="s">
        <v>2267</v>
      </c>
    </row>
    <row r="1431" spans="1:8">
      <c r="A1431" t="s">
        <v>239</v>
      </c>
      <c r="B1431" t="s">
        <v>7</v>
      </c>
      <c r="C1431">
        <v>49</v>
      </c>
      <c r="D1431" t="s">
        <v>2268</v>
      </c>
      <c r="E1431" t="s">
        <v>2269</v>
      </c>
      <c r="H1431" t="s">
        <v>2270</v>
      </c>
    </row>
    <row r="1432" spans="1:8">
      <c r="A1432" t="s">
        <v>239</v>
      </c>
      <c r="B1432" t="s">
        <v>7</v>
      </c>
      <c r="C1432">
        <v>49</v>
      </c>
      <c r="D1432" t="s">
        <v>2271</v>
      </c>
      <c r="E1432" t="s">
        <v>2272</v>
      </c>
      <c r="H1432" t="s">
        <v>2273</v>
      </c>
    </row>
    <row r="1433" spans="1:8">
      <c r="A1433" t="s">
        <v>241</v>
      </c>
      <c r="B1433" t="s">
        <v>35</v>
      </c>
      <c r="C1433">
        <v>49</v>
      </c>
      <c r="D1433" t="s">
        <v>10519</v>
      </c>
      <c r="E1433" t="s">
        <v>10520</v>
      </c>
      <c r="F1433" t="s">
        <v>10521</v>
      </c>
      <c r="H1433" t="s">
        <v>10522</v>
      </c>
    </row>
    <row r="1434" spans="1:8">
      <c r="A1434" t="s">
        <v>242</v>
      </c>
      <c r="B1434" t="s">
        <v>35</v>
      </c>
      <c r="C1434">
        <v>49</v>
      </c>
      <c r="D1434" t="s">
        <v>10523</v>
      </c>
      <c r="E1434" t="s">
        <v>10524</v>
      </c>
      <c r="F1434" t="s">
        <v>35</v>
      </c>
      <c r="G1434" t="s">
        <v>10525</v>
      </c>
      <c r="H1434" t="s">
        <v>10526</v>
      </c>
    </row>
    <row r="1435" spans="1:8">
      <c r="A1435" t="s">
        <v>243</v>
      </c>
      <c r="B1435" t="s">
        <v>35</v>
      </c>
      <c r="C1435">
        <v>49</v>
      </c>
      <c r="D1435" t="s">
        <v>10527</v>
      </c>
      <c r="E1435" t="s">
        <v>3042</v>
      </c>
      <c r="F1435" t="s">
        <v>35</v>
      </c>
    </row>
    <row r="1436" spans="1:8">
      <c r="A1436" t="s">
        <v>240</v>
      </c>
      <c r="B1436" t="s">
        <v>35</v>
      </c>
      <c r="C1436">
        <v>49</v>
      </c>
      <c r="D1436" t="s">
        <v>10528</v>
      </c>
      <c r="E1436" t="s">
        <v>10529</v>
      </c>
      <c r="F1436" t="s">
        <v>35</v>
      </c>
      <c r="G1436" t="s">
        <v>10530</v>
      </c>
      <c r="H1436" t="s">
        <v>10531</v>
      </c>
    </row>
    <row r="1437" spans="1:8">
      <c r="A1437" t="s">
        <v>239</v>
      </c>
      <c r="B1437" t="s">
        <v>35</v>
      </c>
      <c r="C1437">
        <v>49</v>
      </c>
      <c r="D1437" t="s">
        <v>10532</v>
      </c>
      <c r="E1437" t="s">
        <v>10533</v>
      </c>
      <c r="G1437" t="s">
        <v>10534</v>
      </c>
      <c r="H1437" t="s">
        <v>10535</v>
      </c>
    </row>
    <row r="1438" spans="1:8">
      <c r="A1438" t="s">
        <v>241</v>
      </c>
      <c r="B1438" t="s">
        <v>35</v>
      </c>
      <c r="C1438">
        <v>49</v>
      </c>
      <c r="D1438" t="s">
        <v>10536</v>
      </c>
      <c r="E1438" t="s">
        <v>10537</v>
      </c>
      <c r="H1438" t="s">
        <v>10538</v>
      </c>
    </row>
    <row r="1439" spans="1:8">
      <c r="A1439" t="s">
        <v>242</v>
      </c>
      <c r="B1439" t="s">
        <v>135</v>
      </c>
      <c r="C1439">
        <v>49</v>
      </c>
      <c r="D1439" t="s">
        <v>10600</v>
      </c>
      <c r="E1439" t="s">
        <v>10601</v>
      </c>
      <c r="F1439" t="s">
        <v>10602</v>
      </c>
      <c r="H1439" t="s">
        <v>10603</v>
      </c>
    </row>
    <row r="1440" spans="1:8">
      <c r="A1440" t="s">
        <v>239</v>
      </c>
      <c r="B1440" t="s">
        <v>135</v>
      </c>
      <c r="C1440">
        <v>49</v>
      </c>
      <c r="D1440" t="s">
        <v>10604</v>
      </c>
      <c r="E1440" t="s">
        <v>10605</v>
      </c>
      <c r="F1440" t="s">
        <v>135</v>
      </c>
      <c r="H1440" t="s">
        <v>10606</v>
      </c>
    </row>
    <row r="1441" spans="1:8">
      <c r="A1441" t="s">
        <v>242</v>
      </c>
      <c r="B1441" t="s">
        <v>135</v>
      </c>
      <c r="C1441">
        <v>49</v>
      </c>
      <c r="D1441" t="s">
        <v>10607</v>
      </c>
      <c r="E1441" t="s">
        <v>10608</v>
      </c>
      <c r="F1441" t="s">
        <v>10602</v>
      </c>
      <c r="H1441" t="s">
        <v>10609</v>
      </c>
    </row>
    <row r="1442" spans="1:8">
      <c r="A1442" t="s">
        <v>241</v>
      </c>
      <c r="B1442" t="s">
        <v>135</v>
      </c>
      <c r="C1442">
        <v>49</v>
      </c>
      <c r="D1442" t="s">
        <v>10610</v>
      </c>
      <c r="E1442" t="s">
        <v>10611</v>
      </c>
      <c r="F1442" t="s">
        <v>135</v>
      </c>
      <c r="G1442" t="s">
        <v>10612</v>
      </c>
      <c r="H1442" t="s">
        <v>10613</v>
      </c>
    </row>
    <row r="1443" spans="1:8">
      <c r="A1443" t="s">
        <v>241</v>
      </c>
      <c r="B1443" t="s">
        <v>135</v>
      </c>
      <c r="C1443">
        <v>49</v>
      </c>
      <c r="D1443" t="s">
        <v>10614</v>
      </c>
      <c r="E1443" t="s">
        <v>10615</v>
      </c>
      <c r="F1443" t="s">
        <v>135</v>
      </c>
      <c r="G1443" t="s">
        <v>10616</v>
      </c>
      <c r="H1443" t="s">
        <v>10617</v>
      </c>
    </row>
    <row r="1444" spans="1:8">
      <c r="A1444" t="s">
        <v>240</v>
      </c>
      <c r="B1444" t="s">
        <v>135</v>
      </c>
      <c r="C1444">
        <v>49</v>
      </c>
      <c r="D1444" t="s">
        <v>10618</v>
      </c>
      <c r="E1444" t="s">
        <v>10619</v>
      </c>
      <c r="F1444" t="s">
        <v>135</v>
      </c>
      <c r="G1444" t="s">
        <v>10620</v>
      </c>
      <c r="H1444" t="s">
        <v>10621</v>
      </c>
    </row>
    <row r="1445" spans="1:8">
      <c r="A1445" t="s">
        <v>244</v>
      </c>
      <c r="B1445" t="s">
        <v>135</v>
      </c>
      <c r="C1445">
        <v>49</v>
      </c>
      <c r="D1445" t="s">
        <v>10622</v>
      </c>
      <c r="F1445" t="s">
        <v>10623</v>
      </c>
    </row>
    <row r="1446" spans="1:8">
      <c r="A1446" t="s">
        <v>241</v>
      </c>
      <c r="B1446" t="s">
        <v>135</v>
      </c>
      <c r="C1446">
        <v>49</v>
      </c>
      <c r="D1446" t="s">
        <v>10624</v>
      </c>
      <c r="E1446" t="s">
        <v>10625</v>
      </c>
      <c r="F1446" t="s">
        <v>10602</v>
      </c>
      <c r="G1446" t="s">
        <v>10626</v>
      </c>
      <c r="H1446" t="s">
        <v>10627</v>
      </c>
    </row>
    <row r="1447" spans="1:8">
      <c r="A1447" t="s">
        <v>242</v>
      </c>
      <c r="B1447" t="s">
        <v>135</v>
      </c>
      <c r="C1447">
        <v>49</v>
      </c>
      <c r="D1447" t="s">
        <v>10628</v>
      </c>
      <c r="E1447" t="s">
        <v>10629</v>
      </c>
      <c r="F1447" t="s">
        <v>135</v>
      </c>
      <c r="H1447" t="s">
        <v>10630</v>
      </c>
    </row>
    <row r="1448" spans="1:8">
      <c r="A1448" t="s">
        <v>241</v>
      </c>
      <c r="B1448" t="s">
        <v>135</v>
      </c>
      <c r="C1448">
        <v>49</v>
      </c>
      <c r="D1448" t="s">
        <v>10631</v>
      </c>
      <c r="E1448" t="s">
        <v>10632</v>
      </c>
      <c r="H1448" t="s">
        <v>10633</v>
      </c>
    </row>
    <row r="1449" spans="1:8">
      <c r="A1449" t="s">
        <v>241</v>
      </c>
      <c r="B1449" t="s">
        <v>135</v>
      </c>
      <c r="C1449">
        <v>49</v>
      </c>
      <c r="D1449" t="s">
        <v>10634</v>
      </c>
      <c r="E1449" t="s">
        <v>10212</v>
      </c>
    </row>
    <row r="1450" spans="1:8">
      <c r="A1450" t="s">
        <v>241</v>
      </c>
      <c r="B1450" t="s">
        <v>135</v>
      </c>
      <c r="C1450">
        <v>49</v>
      </c>
      <c r="D1450" t="s">
        <v>10635</v>
      </c>
      <c r="H1450" t="s">
        <v>10606</v>
      </c>
    </row>
    <row r="1451" spans="1:8">
      <c r="A1451" t="s">
        <v>241</v>
      </c>
      <c r="B1451" t="s">
        <v>135</v>
      </c>
      <c r="C1451">
        <v>49</v>
      </c>
      <c r="D1451" t="s">
        <v>10636</v>
      </c>
      <c r="E1451" t="s">
        <v>10637</v>
      </c>
      <c r="G1451" t="s">
        <v>10638</v>
      </c>
      <c r="H1451" t="s">
        <v>10639</v>
      </c>
    </row>
    <row r="1452" spans="1:8">
      <c r="A1452" t="s">
        <v>242</v>
      </c>
      <c r="B1452" t="s">
        <v>105</v>
      </c>
      <c r="C1452">
        <v>49</v>
      </c>
      <c r="D1452" t="s">
        <v>18224</v>
      </c>
      <c r="E1452" t="s">
        <v>18225</v>
      </c>
      <c r="G1452" t="s">
        <v>18226</v>
      </c>
    </row>
    <row r="1453" spans="1:8">
      <c r="A1453" t="s">
        <v>242</v>
      </c>
      <c r="B1453" t="s">
        <v>105</v>
      </c>
      <c r="C1453">
        <v>49</v>
      </c>
      <c r="D1453" t="s">
        <v>18227</v>
      </c>
      <c r="E1453" t="s">
        <v>18228</v>
      </c>
      <c r="F1453" t="s">
        <v>105</v>
      </c>
    </row>
    <row r="1454" spans="1:8">
      <c r="A1454" t="s">
        <v>248</v>
      </c>
      <c r="B1454" t="s">
        <v>105</v>
      </c>
      <c r="C1454">
        <v>49</v>
      </c>
      <c r="D1454" t="s">
        <v>18229</v>
      </c>
      <c r="E1454" t="s">
        <v>18230</v>
      </c>
      <c r="F1454" t="s">
        <v>18231</v>
      </c>
      <c r="G1454" t="s">
        <v>18232</v>
      </c>
      <c r="H1454" t="s">
        <v>18233</v>
      </c>
    </row>
    <row r="1455" spans="1:8">
      <c r="A1455" t="s">
        <v>241</v>
      </c>
      <c r="B1455" t="s">
        <v>105</v>
      </c>
      <c r="C1455">
        <v>49</v>
      </c>
      <c r="D1455" t="s">
        <v>18234</v>
      </c>
      <c r="E1455" t="s">
        <v>18235</v>
      </c>
      <c r="F1455" t="s">
        <v>105</v>
      </c>
      <c r="G1455" t="s">
        <v>18236</v>
      </c>
      <c r="H1455" t="s">
        <v>18237</v>
      </c>
    </row>
    <row r="1456" spans="1:8">
      <c r="A1456" t="s">
        <v>241</v>
      </c>
      <c r="B1456" t="s">
        <v>105</v>
      </c>
      <c r="C1456">
        <v>49</v>
      </c>
      <c r="D1456" t="s">
        <v>18238</v>
      </c>
      <c r="E1456" t="s">
        <v>18239</v>
      </c>
      <c r="F1456" t="s">
        <v>105</v>
      </c>
      <c r="G1456" t="s">
        <v>18240</v>
      </c>
      <c r="H1456" t="s">
        <v>18241</v>
      </c>
    </row>
    <row r="1457" spans="1:8">
      <c r="A1457" t="s">
        <v>244</v>
      </c>
      <c r="B1457" t="s">
        <v>105</v>
      </c>
      <c r="C1457">
        <v>49</v>
      </c>
      <c r="D1457" t="s">
        <v>1282</v>
      </c>
    </row>
    <row r="1458" spans="1:8">
      <c r="A1458" t="s">
        <v>240</v>
      </c>
      <c r="B1458" t="s">
        <v>105</v>
      </c>
      <c r="C1458">
        <v>49</v>
      </c>
      <c r="D1458" t="s">
        <v>18242</v>
      </c>
      <c r="E1458" t="s">
        <v>18243</v>
      </c>
      <c r="F1458" t="s">
        <v>105</v>
      </c>
      <c r="G1458" t="s">
        <v>18244</v>
      </c>
      <c r="H1458" t="s">
        <v>18245</v>
      </c>
    </row>
    <row r="1459" spans="1:8">
      <c r="A1459" t="s">
        <v>238</v>
      </c>
      <c r="B1459" t="s">
        <v>105</v>
      </c>
      <c r="C1459">
        <v>49</v>
      </c>
      <c r="D1459" t="s">
        <v>18246</v>
      </c>
      <c r="E1459" t="s">
        <v>18247</v>
      </c>
      <c r="F1459" t="s">
        <v>105</v>
      </c>
      <c r="G1459" t="s">
        <v>18248</v>
      </c>
      <c r="H1459" t="s">
        <v>18249</v>
      </c>
    </row>
    <row r="1460" spans="1:8">
      <c r="A1460" t="s">
        <v>240</v>
      </c>
      <c r="B1460" t="s">
        <v>105</v>
      </c>
      <c r="C1460">
        <v>49</v>
      </c>
      <c r="D1460" t="s">
        <v>6310</v>
      </c>
      <c r="E1460" t="s">
        <v>18250</v>
      </c>
      <c r="F1460" t="s">
        <v>105</v>
      </c>
      <c r="G1460" t="s">
        <v>18251</v>
      </c>
      <c r="H1460" t="s">
        <v>18252</v>
      </c>
    </row>
    <row r="1461" spans="1:8">
      <c r="A1461" t="s">
        <v>241</v>
      </c>
      <c r="B1461" t="s">
        <v>108</v>
      </c>
      <c r="C1461">
        <v>50</v>
      </c>
      <c r="D1461" t="s">
        <v>1377</v>
      </c>
      <c r="E1461" t="s">
        <v>1378</v>
      </c>
      <c r="F1461" t="s">
        <v>108</v>
      </c>
      <c r="H1461" t="s">
        <v>1379</v>
      </c>
    </row>
    <row r="1462" spans="1:8">
      <c r="A1462" t="s">
        <v>242</v>
      </c>
      <c r="B1462" t="s">
        <v>108</v>
      </c>
      <c r="C1462">
        <v>50</v>
      </c>
      <c r="D1462" t="s">
        <v>1380</v>
      </c>
      <c r="E1462" t="s">
        <v>1381</v>
      </c>
      <c r="F1462" t="s">
        <v>108</v>
      </c>
      <c r="G1462" t="s">
        <v>1382</v>
      </c>
      <c r="H1462" t="s">
        <v>1383</v>
      </c>
    </row>
    <row r="1463" spans="1:8">
      <c r="A1463" t="s">
        <v>244</v>
      </c>
      <c r="B1463" t="s">
        <v>108</v>
      </c>
      <c r="C1463">
        <v>50</v>
      </c>
      <c r="D1463" t="s">
        <v>1282</v>
      </c>
    </row>
    <row r="1464" spans="1:8">
      <c r="A1464" t="s">
        <v>238</v>
      </c>
      <c r="B1464" t="s">
        <v>108</v>
      </c>
      <c r="C1464">
        <v>50</v>
      </c>
      <c r="D1464" t="s">
        <v>1384</v>
      </c>
      <c r="E1464" t="s">
        <v>1385</v>
      </c>
      <c r="G1464" t="s">
        <v>1386</v>
      </c>
      <c r="H1464" t="s">
        <v>1387</v>
      </c>
    </row>
    <row r="1465" spans="1:8">
      <c r="A1465" t="s">
        <v>238</v>
      </c>
      <c r="B1465" t="s">
        <v>108</v>
      </c>
      <c r="C1465">
        <v>50</v>
      </c>
      <c r="D1465" t="s">
        <v>1388</v>
      </c>
      <c r="E1465" t="s">
        <v>1389</v>
      </c>
      <c r="F1465" t="s">
        <v>108</v>
      </c>
      <c r="G1465" t="s">
        <v>1390</v>
      </c>
      <c r="H1465" t="s">
        <v>1391</v>
      </c>
    </row>
    <row r="1466" spans="1:8">
      <c r="A1466" t="s">
        <v>238</v>
      </c>
      <c r="B1466" t="s">
        <v>108</v>
      </c>
      <c r="C1466">
        <v>50</v>
      </c>
      <c r="D1466" t="s">
        <v>1392</v>
      </c>
      <c r="E1466" t="s">
        <v>1393</v>
      </c>
      <c r="F1466" t="s">
        <v>108</v>
      </c>
      <c r="G1466" t="s">
        <v>1394</v>
      </c>
      <c r="H1466" t="s">
        <v>1395</v>
      </c>
    </row>
    <row r="1467" spans="1:8">
      <c r="A1467" t="s">
        <v>240</v>
      </c>
      <c r="B1467" t="s">
        <v>108</v>
      </c>
      <c r="C1467">
        <v>50</v>
      </c>
      <c r="D1467" t="s">
        <v>1396</v>
      </c>
      <c r="E1467" t="s">
        <v>1397</v>
      </c>
      <c r="F1467" t="s">
        <v>108</v>
      </c>
      <c r="G1467" t="s">
        <v>1398</v>
      </c>
      <c r="H1467" t="s">
        <v>1399</v>
      </c>
    </row>
    <row r="1468" spans="1:8">
      <c r="A1468" t="s">
        <v>241</v>
      </c>
      <c r="B1468" t="s">
        <v>104</v>
      </c>
      <c r="C1468">
        <v>50</v>
      </c>
      <c r="D1468" t="s">
        <v>10971</v>
      </c>
      <c r="E1468" t="s">
        <v>17882</v>
      </c>
      <c r="H1468" t="s">
        <v>17883</v>
      </c>
    </row>
    <row r="1469" spans="1:8">
      <c r="A1469" t="s">
        <v>243</v>
      </c>
      <c r="B1469" t="s">
        <v>104</v>
      </c>
      <c r="C1469">
        <v>50</v>
      </c>
      <c r="D1469" t="s">
        <v>17884</v>
      </c>
      <c r="E1469" t="s">
        <v>17885</v>
      </c>
      <c r="H1469" t="s">
        <v>17886</v>
      </c>
    </row>
    <row r="1470" spans="1:8">
      <c r="A1470" t="s">
        <v>238</v>
      </c>
      <c r="B1470" t="s">
        <v>104</v>
      </c>
      <c r="C1470">
        <v>50</v>
      </c>
      <c r="D1470" t="s">
        <v>17887</v>
      </c>
      <c r="E1470" t="s">
        <v>17888</v>
      </c>
      <c r="G1470" t="s">
        <v>17889</v>
      </c>
      <c r="H1470" t="s">
        <v>17890</v>
      </c>
    </row>
    <row r="1471" spans="1:8">
      <c r="A1471" t="s">
        <v>238</v>
      </c>
      <c r="B1471" t="s">
        <v>104</v>
      </c>
      <c r="C1471">
        <v>50</v>
      </c>
      <c r="D1471" t="s">
        <v>17891</v>
      </c>
      <c r="E1471" t="s">
        <v>17892</v>
      </c>
      <c r="G1471" t="s">
        <v>17893</v>
      </c>
      <c r="H1471" t="s">
        <v>17894</v>
      </c>
    </row>
    <row r="1472" spans="1:8">
      <c r="A1472" t="s">
        <v>243</v>
      </c>
      <c r="B1472" t="s">
        <v>104</v>
      </c>
      <c r="C1472">
        <v>50</v>
      </c>
      <c r="D1472" t="s">
        <v>17895</v>
      </c>
      <c r="E1472" t="s">
        <v>17896</v>
      </c>
      <c r="G1472" t="s">
        <v>17897</v>
      </c>
      <c r="H1472" t="s">
        <v>17898</v>
      </c>
    </row>
    <row r="1473" spans="1:8">
      <c r="A1473" t="s">
        <v>243</v>
      </c>
      <c r="B1473" t="s">
        <v>104</v>
      </c>
      <c r="C1473">
        <v>50</v>
      </c>
      <c r="D1473" t="s">
        <v>17899</v>
      </c>
      <c r="E1473" t="s">
        <v>17900</v>
      </c>
      <c r="G1473" t="s">
        <v>11096</v>
      </c>
      <c r="H1473" t="s">
        <v>17901</v>
      </c>
    </row>
    <row r="1474" spans="1:8">
      <c r="A1474" t="s">
        <v>252</v>
      </c>
      <c r="B1474" t="s">
        <v>104</v>
      </c>
      <c r="C1474">
        <v>50</v>
      </c>
      <c r="D1474" t="s">
        <v>17902</v>
      </c>
      <c r="E1474" t="s">
        <v>17903</v>
      </c>
      <c r="F1474" t="s">
        <v>104</v>
      </c>
      <c r="G1474" t="s">
        <v>17904</v>
      </c>
      <c r="H1474" t="s">
        <v>17905</v>
      </c>
    </row>
    <row r="1475" spans="1:8">
      <c r="A1475" t="s">
        <v>241</v>
      </c>
      <c r="B1475" t="s">
        <v>104</v>
      </c>
      <c r="C1475">
        <v>50</v>
      </c>
      <c r="D1475" t="s">
        <v>17906</v>
      </c>
      <c r="E1475" t="s">
        <v>17907</v>
      </c>
      <c r="F1475" t="s">
        <v>104</v>
      </c>
      <c r="H1475" t="s">
        <v>17908</v>
      </c>
    </row>
    <row r="1476" spans="1:8">
      <c r="A1476" t="s">
        <v>241</v>
      </c>
      <c r="B1476" t="s">
        <v>104</v>
      </c>
      <c r="C1476">
        <v>50</v>
      </c>
      <c r="D1476" t="s">
        <v>17909</v>
      </c>
      <c r="E1476" t="s">
        <v>17910</v>
      </c>
      <c r="F1476" t="s">
        <v>104</v>
      </c>
      <c r="H1476" t="s">
        <v>17911</v>
      </c>
    </row>
    <row r="1477" spans="1:8">
      <c r="A1477" t="s">
        <v>243</v>
      </c>
      <c r="B1477" t="s">
        <v>104</v>
      </c>
      <c r="C1477">
        <v>50</v>
      </c>
      <c r="D1477" t="s">
        <v>17912</v>
      </c>
      <c r="E1477" t="s">
        <v>17913</v>
      </c>
      <c r="F1477" t="s">
        <v>104</v>
      </c>
      <c r="H1477" t="s">
        <v>11468</v>
      </c>
    </row>
    <row r="1478" spans="1:8">
      <c r="A1478" t="s">
        <v>239</v>
      </c>
      <c r="B1478" t="s">
        <v>104</v>
      </c>
      <c r="C1478">
        <v>50</v>
      </c>
      <c r="D1478" t="s">
        <v>17914</v>
      </c>
      <c r="E1478" t="s">
        <v>17915</v>
      </c>
      <c r="H1478" t="s">
        <v>17916</v>
      </c>
    </row>
    <row r="1479" spans="1:8">
      <c r="A1479" t="s">
        <v>241</v>
      </c>
      <c r="B1479" t="s">
        <v>104</v>
      </c>
      <c r="C1479">
        <v>50</v>
      </c>
      <c r="D1479" t="s">
        <v>17917</v>
      </c>
      <c r="E1479" t="s">
        <v>17918</v>
      </c>
      <c r="F1479" t="s">
        <v>104</v>
      </c>
      <c r="G1479" t="s">
        <v>17919</v>
      </c>
      <c r="H1479" t="s">
        <v>17920</v>
      </c>
    </row>
    <row r="1480" spans="1:8">
      <c r="A1480" t="s">
        <v>241</v>
      </c>
      <c r="B1480" t="s">
        <v>104</v>
      </c>
      <c r="C1480">
        <v>50</v>
      </c>
      <c r="D1480" t="s">
        <v>17921</v>
      </c>
      <c r="E1480" t="s">
        <v>17922</v>
      </c>
      <c r="G1480" t="s">
        <v>17923</v>
      </c>
      <c r="H1480" t="s">
        <v>17924</v>
      </c>
    </row>
    <row r="1481" spans="1:8">
      <c r="A1481" t="s">
        <v>241</v>
      </c>
      <c r="B1481" t="s">
        <v>104</v>
      </c>
      <c r="C1481">
        <v>50</v>
      </c>
      <c r="D1481" t="s">
        <v>17925</v>
      </c>
      <c r="E1481" t="s">
        <v>17926</v>
      </c>
      <c r="F1481" t="s">
        <v>104</v>
      </c>
      <c r="G1481" t="s">
        <v>17927</v>
      </c>
      <c r="H1481" t="s">
        <v>17928</v>
      </c>
    </row>
    <row r="1482" spans="1:8">
      <c r="A1482" t="s">
        <v>241</v>
      </c>
      <c r="B1482" t="s">
        <v>104</v>
      </c>
      <c r="C1482">
        <v>50</v>
      </c>
      <c r="D1482" t="s">
        <v>17929</v>
      </c>
      <c r="E1482" t="s">
        <v>17930</v>
      </c>
      <c r="F1482" t="s">
        <v>104</v>
      </c>
      <c r="H1482" t="s">
        <v>17931</v>
      </c>
    </row>
    <row r="1483" spans="1:8">
      <c r="A1483" t="s">
        <v>242</v>
      </c>
      <c r="B1483" t="s">
        <v>104</v>
      </c>
      <c r="C1483">
        <v>50</v>
      </c>
      <c r="D1483" t="s">
        <v>17932</v>
      </c>
      <c r="E1483" t="s">
        <v>17933</v>
      </c>
      <c r="F1483" t="s">
        <v>104</v>
      </c>
      <c r="H1483" t="s">
        <v>17934</v>
      </c>
    </row>
    <row r="1484" spans="1:8">
      <c r="A1484" t="s">
        <v>241</v>
      </c>
      <c r="B1484" t="s">
        <v>104</v>
      </c>
      <c r="C1484">
        <v>50</v>
      </c>
      <c r="D1484" t="s">
        <v>313</v>
      </c>
      <c r="E1484" t="s">
        <v>17935</v>
      </c>
      <c r="G1484" t="s">
        <v>17936</v>
      </c>
      <c r="H1484" t="s">
        <v>17937</v>
      </c>
    </row>
    <row r="1485" spans="1:8">
      <c r="A1485" t="s">
        <v>241</v>
      </c>
      <c r="B1485" t="s">
        <v>104</v>
      </c>
      <c r="C1485">
        <v>50</v>
      </c>
      <c r="D1485" t="s">
        <v>3850</v>
      </c>
      <c r="E1485" t="s">
        <v>17938</v>
      </c>
      <c r="F1485" t="s">
        <v>104</v>
      </c>
      <c r="H1485" t="s">
        <v>17939</v>
      </c>
    </row>
    <row r="1486" spans="1:8">
      <c r="A1486" t="s">
        <v>243</v>
      </c>
      <c r="B1486" t="s">
        <v>104</v>
      </c>
      <c r="C1486">
        <v>50</v>
      </c>
      <c r="D1486" t="s">
        <v>17940</v>
      </c>
      <c r="E1486" t="s">
        <v>17941</v>
      </c>
      <c r="F1486" t="s">
        <v>104</v>
      </c>
      <c r="H1486" t="s">
        <v>17942</v>
      </c>
    </row>
    <row r="1487" spans="1:8">
      <c r="A1487" t="s">
        <v>241</v>
      </c>
      <c r="B1487" t="s">
        <v>104</v>
      </c>
      <c r="C1487">
        <v>50</v>
      </c>
      <c r="D1487" t="s">
        <v>17943</v>
      </c>
      <c r="E1487" t="s">
        <v>17944</v>
      </c>
      <c r="F1487" t="s">
        <v>104</v>
      </c>
      <c r="G1487" t="s">
        <v>17945</v>
      </c>
      <c r="H1487" t="s">
        <v>17946</v>
      </c>
    </row>
    <row r="1488" spans="1:8">
      <c r="A1488" t="s">
        <v>241</v>
      </c>
      <c r="B1488" t="s">
        <v>104</v>
      </c>
      <c r="C1488">
        <v>50</v>
      </c>
      <c r="D1488" t="s">
        <v>17947</v>
      </c>
      <c r="E1488" t="s">
        <v>17948</v>
      </c>
      <c r="H1488" t="s">
        <v>17949</v>
      </c>
    </row>
    <row r="1489" spans="1:8">
      <c r="A1489" t="s">
        <v>240</v>
      </c>
      <c r="B1489" t="s">
        <v>104</v>
      </c>
      <c r="C1489">
        <v>50</v>
      </c>
      <c r="D1489" t="s">
        <v>17950</v>
      </c>
      <c r="E1489" t="s">
        <v>17951</v>
      </c>
      <c r="G1489" t="s">
        <v>17952</v>
      </c>
      <c r="H1489" t="s">
        <v>17953</v>
      </c>
    </row>
    <row r="1490" spans="1:8">
      <c r="A1490" t="s">
        <v>241</v>
      </c>
      <c r="B1490" t="s">
        <v>104</v>
      </c>
      <c r="C1490">
        <v>50</v>
      </c>
      <c r="D1490" t="s">
        <v>17954</v>
      </c>
      <c r="E1490" t="s">
        <v>17955</v>
      </c>
      <c r="F1490" t="s">
        <v>104</v>
      </c>
      <c r="H1490" t="s">
        <v>17956</v>
      </c>
    </row>
    <row r="1491" spans="1:8">
      <c r="A1491" t="s">
        <v>243</v>
      </c>
      <c r="B1491" t="s">
        <v>104</v>
      </c>
      <c r="C1491">
        <v>50</v>
      </c>
      <c r="D1491" t="s">
        <v>17957</v>
      </c>
      <c r="E1491" t="s">
        <v>17958</v>
      </c>
      <c r="H1491" t="s">
        <v>17959</v>
      </c>
    </row>
    <row r="1492" spans="1:8">
      <c r="A1492" t="s">
        <v>241</v>
      </c>
      <c r="B1492" t="s">
        <v>104</v>
      </c>
      <c r="C1492">
        <v>50</v>
      </c>
      <c r="D1492" t="s">
        <v>17960</v>
      </c>
      <c r="E1492" t="s">
        <v>17961</v>
      </c>
      <c r="F1492" t="s">
        <v>104</v>
      </c>
      <c r="H1492" t="s">
        <v>17949</v>
      </c>
    </row>
    <row r="1493" spans="1:8">
      <c r="A1493" t="s">
        <v>241</v>
      </c>
      <c r="B1493" t="s">
        <v>104</v>
      </c>
      <c r="C1493">
        <v>50</v>
      </c>
      <c r="D1493" t="s">
        <v>17962</v>
      </c>
      <c r="E1493" t="s">
        <v>17963</v>
      </c>
      <c r="G1493" t="s">
        <v>17964</v>
      </c>
      <c r="H1493" t="s">
        <v>17965</v>
      </c>
    </row>
    <row r="1494" spans="1:8">
      <c r="A1494" t="s">
        <v>243</v>
      </c>
      <c r="B1494" t="s">
        <v>104</v>
      </c>
      <c r="C1494">
        <v>50</v>
      </c>
      <c r="D1494" t="s">
        <v>17966</v>
      </c>
      <c r="E1494" t="s">
        <v>17967</v>
      </c>
      <c r="F1494" t="s">
        <v>104</v>
      </c>
      <c r="G1494" t="s">
        <v>17968</v>
      </c>
      <c r="H1494" t="s">
        <v>17969</v>
      </c>
    </row>
    <row r="1495" spans="1:8">
      <c r="A1495" t="s">
        <v>241</v>
      </c>
      <c r="B1495" t="s">
        <v>104</v>
      </c>
      <c r="C1495">
        <v>50</v>
      </c>
      <c r="D1495" t="s">
        <v>17970</v>
      </c>
      <c r="E1495" t="s">
        <v>17971</v>
      </c>
      <c r="F1495" t="s">
        <v>104</v>
      </c>
      <c r="G1495" t="s">
        <v>17972</v>
      </c>
      <c r="H1495" t="s">
        <v>17973</v>
      </c>
    </row>
    <row r="1496" spans="1:8">
      <c r="A1496" t="s">
        <v>249</v>
      </c>
      <c r="B1496" t="s">
        <v>104</v>
      </c>
      <c r="C1496">
        <v>50</v>
      </c>
      <c r="D1496" t="s">
        <v>17974</v>
      </c>
      <c r="E1496" t="s">
        <v>17975</v>
      </c>
      <c r="F1496" t="s">
        <v>104</v>
      </c>
      <c r="G1496" t="s">
        <v>17976</v>
      </c>
      <c r="H1496" t="s">
        <v>17977</v>
      </c>
    </row>
    <row r="1497" spans="1:8">
      <c r="A1497" t="s">
        <v>243</v>
      </c>
      <c r="B1497" t="s">
        <v>104</v>
      </c>
      <c r="C1497">
        <v>50</v>
      </c>
      <c r="D1497" t="s">
        <v>17978</v>
      </c>
      <c r="E1497" t="s">
        <v>17979</v>
      </c>
      <c r="F1497" t="s">
        <v>104</v>
      </c>
      <c r="G1497" t="s">
        <v>17980</v>
      </c>
      <c r="H1497" t="s">
        <v>17981</v>
      </c>
    </row>
    <row r="1498" spans="1:8">
      <c r="A1498" t="s">
        <v>243</v>
      </c>
      <c r="B1498" t="s">
        <v>104</v>
      </c>
      <c r="C1498">
        <v>50</v>
      </c>
      <c r="D1498" t="s">
        <v>17982</v>
      </c>
      <c r="E1498" t="s">
        <v>17983</v>
      </c>
      <c r="F1498" t="s">
        <v>104</v>
      </c>
      <c r="G1498" t="s">
        <v>17984</v>
      </c>
      <c r="H1498" t="s">
        <v>17985</v>
      </c>
    </row>
    <row r="1499" spans="1:8">
      <c r="A1499" t="s">
        <v>249</v>
      </c>
      <c r="B1499" t="s">
        <v>104</v>
      </c>
      <c r="C1499">
        <v>50</v>
      </c>
      <c r="D1499" t="s">
        <v>17986</v>
      </c>
      <c r="E1499" t="s">
        <v>17987</v>
      </c>
      <c r="F1499" t="s">
        <v>104</v>
      </c>
      <c r="H1499" t="s">
        <v>17981</v>
      </c>
    </row>
    <row r="1500" spans="1:8">
      <c r="A1500" t="s">
        <v>243</v>
      </c>
      <c r="B1500" t="s">
        <v>104</v>
      </c>
      <c r="C1500">
        <v>50</v>
      </c>
      <c r="D1500" t="s">
        <v>17988</v>
      </c>
      <c r="E1500" t="s">
        <v>17989</v>
      </c>
      <c r="F1500" t="s">
        <v>104</v>
      </c>
      <c r="H1500" t="s">
        <v>17990</v>
      </c>
    </row>
    <row r="1501" spans="1:8">
      <c r="A1501" t="s">
        <v>243</v>
      </c>
      <c r="B1501" t="s">
        <v>104</v>
      </c>
      <c r="C1501">
        <v>50</v>
      </c>
      <c r="D1501" t="s">
        <v>17991</v>
      </c>
      <c r="E1501" t="s">
        <v>17992</v>
      </c>
      <c r="F1501" t="s">
        <v>104</v>
      </c>
      <c r="G1501" t="s">
        <v>17993</v>
      </c>
      <c r="H1501" t="s">
        <v>17994</v>
      </c>
    </row>
    <row r="1502" spans="1:8">
      <c r="A1502" t="s">
        <v>243</v>
      </c>
      <c r="B1502" t="s">
        <v>104</v>
      </c>
      <c r="C1502">
        <v>50</v>
      </c>
      <c r="D1502" t="s">
        <v>17995</v>
      </c>
      <c r="E1502" t="s">
        <v>17996</v>
      </c>
      <c r="F1502" t="s">
        <v>104</v>
      </c>
      <c r="H1502" t="s">
        <v>17981</v>
      </c>
    </row>
    <row r="1503" spans="1:8">
      <c r="A1503" t="s">
        <v>242</v>
      </c>
      <c r="B1503" t="s">
        <v>104</v>
      </c>
      <c r="C1503">
        <v>50</v>
      </c>
      <c r="D1503" t="s">
        <v>17997</v>
      </c>
      <c r="E1503" t="s">
        <v>17998</v>
      </c>
      <c r="F1503" t="s">
        <v>17999</v>
      </c>
      <c r="H1503" t="s">
        <v>18000</v>
      </c>
    </row>
    <row r="1504" spans="1:8">
      <c r="A1504" t="s">
        <v>242</v>
      </c>
      <c r="B1504" t="s">
        <v>104</v>
      </c>
      <c r="C1504">
        <v>50</v>
      </c>
      <c r="D1504" t="s">
        <v>18001</v>
      </c>
      <c r="E1504" t="s">
        <v>18002</v>
      </c>
      <c r="F1504" t="s">
        <v>104</v>
      </c>
      <c r="G1504" t="s">
        <v>18003</v>
      </c>
      <c r="H1504" t="s">
        <v>18004</v>
      </c>
    </row>
    <row r="1505" spans="1:8">
      <c r="A1505" t="s">
        <v>240</v>
      </c>
      <c r="B1505" t="s">
        <v>104</v>
      </c>
      <c r="C1505">
        <v>50</v>
      </c>
      <c r="D1505" t="s">
        <v>18005</v>
      </c>
      <c r="E1505" t="s">
        <v>18006</v>
      </c>
      <c r="F1505" t="s">
        <v>104</v>
      </c>
      <c r="G1505" t="s">
        <v>18007</v>
      </c>
      <c r="H1505" t="s">
        <v>18008</v>
      </c>
    </row>
    <row r="1506" spans="1:8">
      <c r="A1506" t="s">
        <v>240</v>
      </c>
      <c r="B1506" t="s">
        <v>104</v>
      </c>
      <c r="C1506">
        <v>50</v>
      </c>
      <c r="D1506" t="s">
        <v>18009</v>
      </c>
      <c r="E1506" t="s">
        <v>18010</v>
      </c>
      <c r="F1506" t="s">
        <v>104</v>
      </c>
      <c r="G1506" t="s">
        <v>18011</v>
      </c>
      <c r="H1506" t="s">
        <v>18012</v>
      </c>
    </row>
    <row r="1507" spans="1:8">
      <c r="A1507" t="s">
        <v>240</v>
      </c>
      <c r="B1507" t="s">
        <v>104</v>
      </c>
      <c r="C1507">
        <v>50</v>
      </c>
      <c r="D1507" t="s">
        <v>18013</v>
      </c>
      <c r="E1507" t="s">
        <v>18014</v>
      </c>
      <c r="F1507" t="s">
        <v>104</v>
      </c>
      <c r="G1507" t="s">
        <v>18015</v>
      </c>
      <c r="H1507" t="s">
        <v>18016</v>
      </c>
    </row>
    <row r="1508" spans="1:8">
      <c r="A1508" t="s">
        <v>240</v>
      </c>
      <c r="B1508" t="s">
        <v>104</v>
      </c>
      <c r="C1508">
        <v>50</v>
      </c>
      <c r="D1508" t="s">
        <v>18017</v>
      </c>
      <c r="E1508" t="s">
        <v>18018</v>
      </c>
      <c r="F1508" t="s">
        <v>104</v>
      </c>
      <c r="G1508" t="s">
        <v>18019</v>
      </c>
      <c r="H1508" t="s">
        <v>18020</v>
      </c>
    </row>
    <row r="1509" spans="1:8">
      <c r="A1509" t="s">
        <v>240</v>
      </c>
      <c r="B1509" t="s">
        <v>104</v>
      </c>
      <c r="C1509">
        <v>50</v>
      </c>
      <c r="D1509" t="s">
        <v>18021</v>
      </c>
      <c r="E1509" t="s">
        <v>18022</v>
      </c>
      <c r="F1509" t="s">
        <v>104</v>
      </c>
      <c r="G1509" t="s">
        <v>18023</v>
      </c>
      <c r="H1509" t="s">
        <v>18024</v>
      </c>
    </row>
    <row r="1510" spans="1:8">
      <c r="A1510" t="s">
        <v>240</v>
      </c>
      <c r="B1510" t="s">
        <v>104</v>
      </c>
      <c r="C1510">
        <v>50</v>
      </c>
      <c r="D1510" t="s">
        <v>18025</v>
      </c>
      <c r="E1510" t="s">
        <v>18026</v>
      </c>
      <c r="F1510" t="s">
        <v>104</v>
      </c>
      <c r="G1510" t="s">
        <v>18027</v>
      </c>
      <c r="H1510" t="s">
        <v>18028</v>
      </c>
    </row>
    <row r="1511" spans="1:8">
      <c r="A1511" t="s">
        <v>240</v>
      </c>
      <c r="B1511" t="s">
        <v>104</v>
      </c>
      <c r="C1511">
        <v>50</v>
      </c>
      <c r="D1511" t="s">
        <v>18029</v>
      </c>
      <c r="E1511" t="s">
        <v>18030</v>
      </c>
      <c r="F1511" t="s">
        <v>104</v>
      </c>
      <c r="G1511" t="s">
        <v>18031</v>
      </c>
      <c r="H1511" t="s">
        <v>18032</v>
      </c>
    </row>
    <row r="1512" spans="1:8">
      <c r="A1512" t="s">
        <v>240</v>
      </c>
      <c r="B1512" t="s">
        <v>104</v>
      </c>
      <c r="C1512">
        <v>50</v>
      </c>
      <c r="D1512" t="s">
        <v>18033</v>
      </c>
      <c r="E1512" t="s">
        <v>18034</v>
      </c>
      <c r="F1512" t="s">
        <v>104</v>
      </c>
      <c r="G1512" t="s">
        <v>18035</v>
      </c>
      <c r="H1512" t="s">
        <v>18036</v>
      </c>
    </row>
    <row r="1513" spans="1:8">
      <c r="A1513" t="s">
        <v>241</v>
      </c>
      <c r="B1513" t="s">
        <v>104</v>
      </c>
      <c r="C1513">
        <v>50</v>
      </c>
      <c r="D1513" t="s">
        <v>18037</v>
      </c>
      <c r="E1513" t="s">
        <v>18038</v>
      </c>
      <c r="F1513" t="s">
        <v>62</v>
      </c>
      <c r="H1513" t="s">
        <v>18039</v>
      </c>
    </row>
    <row r="1514" spans="1:8">
      <c r="A1514" t="s">
        <v>240</v>
      </c>
      <c r="B1514" t="s">
        <v>104</v>
      </c>
      <c r="C1514">
        <v>50</v>
      </c>
      <c r="D1514" t="s">
        <v>18040</v>
      </c>
      <c r="E1514" t="s">
        <v>18041</v>
      </c>
      <c r="F1514" t="s">
        <v>104</v>
      </c>
      <c r="H1514" t="s">
        <v>18042</v>
      </c>
    </row>
    <row r="1515" spans="1:8">
      <c r="A1515" t="s">
        <v>250</v>
      </c>
      <c r="B1515" t="s">
        <v>104</v>
      </c>
      <c r="C1515">
        <v>50</v>
      </c>
      <c r="D1515" t="s">
        <v>18025</v>
      </c>
      <c r="E1515" t="s">
        <v>18043</v>
      </c>
      <c r="F1515" t="s">
        <v>18044</v>
      </c>
      <c r="G1515" t="s">
        <v>18028</v>
      </c>
      <c r="H1515" t="s">
        <v>18027</v>
      </c>
    </row>
    <row r="1516" spans="1:8">
      <c r="A1516" t="s">
        <v>250</v>
      </c>
      <c r="B1516" t="s">
        <v>104</v>
      </c>
      <c r="C1516">
        <v>50</v>
      </c>
      <c r="D1516" t="s">
        <v>18045</v>
      </c>
      <c r="E1516" t="s">
        <v>18046</v>
      </c>
      <c r="F1516" t="s">
        <v>104</v>
      </c>
    </row>
    <row r="1517" spans="1:8">
      <c r="A1517" t="s">
        <v>250</v>
      </c>
      <c r="B1517" t="s">
        <v>104</v>
      </c>
      <c r="C1517">
        <v>50</v>
      </c>
      <c r="D1517" t="s">
        <v>18047</v>
      </c>
      <c r="E1517" t="s">
        <v>18048</v>
      </c>
      <c r="F1517" t="s">
        <v>104</v>
      </c>
    </row>
    <row r="1518" spans="1:8">
      <c r="A1518" t="s">
        <v>250</v>
      </c>
      <c r="B1518" t="s">
        <v>104</v>
      </c>
      <c r="C1518">
        <v>50</v>
      </c>
      <c r="D1518" t="s">
        <v>6868</v>
      </c>
      <c r="H1518" t="s">
        <v>18049</v>
      </c>
    </row>
    <row r="1519" spans="1:8">
      <c r="A1519" t="s">
        <v>250</v>
      </c>
      <c r="B1519" t="s">
        <v>104</v>
      </c>
      <c r="C1519">
        <v>50</v>
      </c>
      <c r="D1519" t="s">
        <v>18050</v>
      </c>
    </row>
    <row r="1520" spans="1:8">
      <c r="A1520" t="s">
        <v>250</v>
      </c>
      <c r="B1520" t="s">
        <v>104</v>
      </c>
      <c r="C1520">
        <v>50</v>
      </c>
      <c r="D1520" t="s">
        <v>18051</v>
      </c>
      <c r="E1520" t="s">
        <v>18052</v>
      </c>
      <c r="F1520" t="s">
        <v>18053</v>
      </c>
      <c r="G1520" t="s">
        <v>18054</v>
      </c>
      <c r="H1520" t="s">
        <v>18055</v>
      </c>
    </row>
    <row r="1521" spans="1:8">
      <c r="A1521" t="s">
        <v>243</v>
      </c>
      <c r="B1521" t="s">
        <v>104</v>
      </c>
      <c r="C1521">
        <v>50</v>
      </c>
      <c r="D1521" t="s">
        <v>18056</v>
      </c>
      <c r="E1521" t="s">
        <v>18057</v>
      </c>
      <c r="F1521" t="s">
        <v>104</v>
      </c>
    </row>
    <row r="1522" spans="1:8">
      <c r="A1522" t="s">
        <v>241</v>
      </c>
      <c r="B1522" t="s">
        <v>104</v>
      </c>
      <c r="C1522">
        <v>50</v>
      </c>
      <c r="D1522" t="s">
        <v>18058</v>
      </c>
      <c r="E1522" t="s">
        <v>18059</v>
      </c>
      <c r="F1522" t="s">
        <v>104</v>
      </c>
      <c r="G1522" t="s">
        <v>18060</v>
      </c>
      <c r="H1522" t="s">
        <v>18061</v>
      </c>
    </row>
    <row r="1523" spans="1:8">
      <c r="A1523" t="s">
        <v>238</v>
      </c>
      <c r="B1523" t="s">
        <v>104</v>
      </c>
      <c r="C1523">
        <v>50</v>
      </c>
      <c r="D1523" t="s">
        <v>18062</v>
      </c>
      <c r="E1523" t="s">
        <v>18063</v>
      </c>
      <c r="F1523" t="s">
        <v>104</v>
      </c>
      <c r="H1523" t="s">
        <v>18064</v>
      </c>
    </row>
    <row r="1524" spans="1:8">
      <c r="A1524" t="s">
        <v>243</v>
      </c>
      <c r="B1524" t="s">
        <v>104</v>
      </c>
      <c r="C1524">
        <v>50</v>
      </c>
      <c r="D1524" t="s">
        <v>18065</v>
      </c>
      <c r="E1524" t="s">
        <v>18066</v>
      </c>
      <c r="F1524" t="s">
        <v>104</v>
      </c>
      <c r="G1524" t="s">
        <v>18023</v>
      </c>
      <c r="H1524" t="s">
        <v>18024</v>
      </c>
    </row>
    <row r="1525" spans="1:8">
      <c r="A1525" t="s">
        <v>240</v>
      </c>
      <c r="B1525" t="s">
        <v>104</v>
      </c>
      <c r="C1525">
        <v>50</v>
      </c>
      <c r="D1525" t="s">
        <v>18067</v>
      </c>
      <c r="E1525" t="s">
        <v>18068</v>
      </c>
      <c r="G1525" t="s">
        <v>17984</v>
      </c>
      <c r="H1525" t="s">
        <v>17985</v>
      </c>
    </row>
    <row r="1526" spans="1:8">
      <c r="A1526" t="s">
        <v>243</v>
      </c>
      <c r="B1526" t="s">
        <v>104</v>
      </c>
      <c r="C1526">
        <v>50</v>
      </c>
      <c r="D1526" t="s">
        <v>18069</v>
      </c>
      <c r="E1526" t="s">
        <v>18070</v>
      </c>
      <c r="F1526" t="s">
        <v>104</v>
      </c>
      <c r="G1526" t="s">
        <v>18071</v>
      </c>
      <c r="H1526" t="s">
        <v>18072</v>
      </c>
    </row>
    <row r="1527" spans="1:8">
      <c r="A1527" t="s">
        <v>241</v>
      </c>
      <c r="B1527" t="s">
        <v>104</v>
      </c>
      <c r="C1527">
        <v>50</v>
      </c>
      <c r="D1527" t="s">
        <v>18073</v>
      </c>
      <c r="E1527" t="s">
        <v>18074</v>
      </c>
      <c r="F1527" t="s">
        <v>5003</v>
      </c>
      <c r="G1527" t="s">
        <v>18075</v>
      </c>
      <c r="H1527" t="s">
        <v>18076</v>
      </c>
    </row>
    <row r="1528" spans="1:8">
      <c r="A1528" t="s">
        <v>243</v>
      </c>
      <c r="B1528" t="s">
        <v>104</v>
      </c>
      <c r="C1528">
        <v>50</v>
      </c>
      <c r="D1528" t="s">
        <v>18077</v>
      </c>
      <c r="E1528" t="s">
        <v>18078</v>
      </c>
      <c r="F1528" t="s">
        <v>104</v>
      </c>
      <c r="H1528" t="s">
        <v>18079</v>
      </c>
    </row>
    <row r="1529" spans="1:8">
      <c r="A1529" t="s">
        <v>240</v>
      </c>
      <c r="B1529" t="s">
        <v>104</v>
      </c>
      <c r="C1529">
        <v>50</v>
      </c>
      <c r="D1529" t="s">
        <v>18080</v>
      </c>
      <c r="E1529" t="s">
        <v>18081</v>
      </c>
      <c r="H1529" t="s">
        <v>18082</v>
      </c>
    </row>
    <row r="1530" spans="1:8">
      <c r="A1530" t="s">
        <v>243</v>
      </c>
      <c r="B1530" t="s">
        <v>104</v>
      </c>
      <c r="C1530">
        <v>50</v>
      </c>
      <c r="D1530" t="s">
        <v>18083</v>
      </c>
      <c r="E1530" t="s">
        <v>18084</v>
      </c>
      <c r="F1530" t="s">
        <v>104</v>
      </c>
      <c r="H1530" t="s">
        <v>18085</v>
      </c>
    </row>
    <row r="1531" spans="1:8">
      <c r="A1531" t="s">
        <v>243</v>
      </c>
      <c r="B1531" t="s">
        <v>104</v>
      </c>
      <c r="C1531">
        <v>50</v>
      </c>
      <c r="D1531" t="s">
        <v>18086</v>
      </c>
      <c r="E1531" t="s">
        <v>15927</v>
      </c>
      <c r="H1531" t="s">
        <v>18087</v>
      </c>
    </row>
    <row r="1532" spans="1:8">
      <c r="A1532" t="s">
        <v>240</v>
      </c>
      <c r="B1532" t="s">
        <v>104</v>
      </c>
      <c r="C1532">
        <v>50</v>
      </c>
      <c r="D1532" t="s">
        <v>18088</v>
      </c>
      <c r="E1532" t="s">
        <v>18089</v>
      </c>
      <c r="F1532" t="s">
        <v>104</v>
      </c>
      <c r="G1532" t="s">
        <v>18090</v>
      </c>
      <c r="H1532" t="s">
        <v>18091</v>
      </c>
    </row>
    <row r="1533" spans="1:8">
      <c r="A1533" t="s">
        <v>243</v>
      </c>
      <c r="B1533" t="s">
        <v>104</v>
      </c>
      <c r="C1533">
        <v>50</v>
      </c>
      <c r="D1533" t="s">
        <v>18092</v>
      </c>
      <c r="E1533" t="s">
        <v>18081</v>
      </c>
      <c r="H1533" t="s">
        <v>17994</v>
      </c>
    </row>
    <row r="1534" spans="1:8">
      <c r="A1534" t="s">
        <v>243</v>
      </c>
      <c r="B1534" t="s">
        <v>104</v>
      </c>
      <c r="C1534">
        <v>50</v>
      </c>
      <c r="D1534" t="s">
        <v>18093</v>
      </c>
      <c r="E1534" t="s">
        <v>18094</v>
      </c>
      <c r="G1534" t="s">
        <v>18095</v>
      </c>
      <c r="H1534" t="s">
        <v>18096</v>
      </c>
    </row>
    <row r="1535" spans="1:8">
      <c r="A1535" t="s">
        <v>249</v>
      </c>
      <c r="B1535" t="s">
        <v>104</v>
      </c>
      <c r="C1535">
        <v>50</v>
      </c>
      <c r="D1535" t="s">
        <v>18097</v>
      </c>
      <c r="E1535" t="s">
        <v>18098</v>
      </c>
      <c r="H1535" t="s">
        <v>18099</v>
      </c>
    </row>
    <row r="1536" spans="1:8">
      <c r="A1536" t="s">
        <v>241</v>
      </c>
      <c r="B1536" t="s">
        <v>104</v>
      </c>
      <c r="C1536">
        <v>50</v>
      </c>
      <c r="D1536" t="s">
        <v>18100</v>
      </c>
      <c r="E1536" t="s">
        <v>18101</v>
      </c>
      <c r="F1536" t="s">
        <v>18102</v>
      </c>
      <c r="G1536" t="s">
        <v>18103</v>
      </c>
      <c r="H1536" t="s">
        <v>18104</v>
      </c>
    </row>
    <row r="1537" spans="1:8">
      <c r="A1537" t="s">
        <v>238</v>
      </c>
      <c r="B1537" t="s">
        <v>104</v>
      </c>
      <c r="C1537">
        <v>50</v>
      </c>
      <c r="D1537" t="s">
        <v>18105</v>
      </c>
      <c r="E1537" t="s">
        <v>18106</v>
      </c>
      <c r="F1537" t="s">
        <v>104</v>
      </c>
      <c r="G1537" t="s">
        <v>18107</v>
      </c>
      <c r="H1537" t="s">
        <v>18108</v>
      </c>
    </row>
    <row r="1538" spans="1:8">
      <c r="A1538" t="s">
        <v>238</v>
      </c>
      <c r="B1538" t="s">
        <v>104</v>
      </c>
      <c r="C1538">
        <v>50</v>
      </c>
      <c r="D1538" t="s">
        <v>18109</v>
      </c>
      <c r="E1538" t="s">
        <v>18110</v>
      </c>
      <c r="F1538" t="s">
        <v>104</v>
      </c>
      <c r="G1538" t="s">
        <v>18111</v>
      </c>
      <c r="H1538" t="s">
        <v>18112</v>
      </c>
    </row>
    <row r="1539" spans="1:8">
      <c r="A1539" t="s">
        <v>243</v>
      </c>
      <c r="B1539" t="s">
        <v>104</v>
      </c>
      <c r="C1539">
        <v>50</v>
      </c>
      <c r="D1539" t="s">
        <v>18113</v>
      </c>
      <c r="E1539" t="s">
        <v>18114</v>
      </c>
      <c r="H1539" t="s">
        <v>18115</v>
      </c>
    </row>
    <row r="1540" spans="1:8">
      <c r="A1540" t="s">
        <v>241</v>
      </c>
      <c r="B1540" t="s">
        <v>104</v>
      </c>
      <c r="C1540">
        <v>50</v>
      </c>
      <c r="D1540" t="s">
        <v>18116</v>
      </c>
      <c r="E1540" t="s">
        <v>18117</v>
      </c>
      <c r="F1540" t="s">
        <v>104</v>
      </c>
      <c r="G1540" t="s">
        <v>18118</v>
      </c>
      <c r="H1540" t="s">
        <v>18119</v>
      </c>
    </row>
    <row r="1541" spans="1:8">
      <c r="A1541" t="s">
        <v>243</v>
      </c>
      <c r="B1541" t="s">
        <v>104</v>
      </c>
      <c r="C1541">
        <v>50</v>
      </c>
      <c r="D1541" t="s">
        <v>18120</v>
      </c>
      <c r="E1541" t="s">
        <v>18121</v>
      </c>
      <c r="F1541" t="s">
        <v>104</v>
      </c>
      <c r="G1541" t="s">
        <v>18035</v>
      </c>
      <c r="H1541" t="s">
        <v>18036</v>
      </c>
    </row>
    <row r="1542" spans="1:8">
      <c r="A1542" t="s">
        <v>241</v>
      </c>
      <c r="B1542" t="s">
        <v>104</v>
      </c>
      <c r="C1542">
        <v>50</v>
      </c>
      <c r="D1542" t="s">
        <v>4145</v>
      </c>
      <c r="E1542" t="s">
        <v>18122</v>
      </c>
      <c r="F1542" t="s">
        <v>104</v>
      </c>
      <c r="G1542" t="s">
        <v>18123</v>
      </c>
      <c r="H1542" t="s">
        <v>18124</v>
      </c>
    </row>
    <row r="1543" spans="1:8">
      <c r="A1543" t="s">
        <v>241</v>
      </c>
      <c r="B1543" t="s">
        <v>104</v>
      </c>
      <c r="C1543">
        <v>50</v>
      </c>
      <c r="D1543" t="s">
        <v>18125</v>
      </c>
      <c r="E1543" t="s">
        <v>18126</v>
      </c>
      <c r="F1543" t="s">
        <v>104</v>
      </c>
      <c r="H1543" t="s">
        <v>18127</v>
      </c>
    </row>
    <row r="1544" spans="1:8">
      <c r="A1544" t="s">
        <v>241</v>
      </c>
      <c r="B1544" t="s">
        <v>104</v>
      </c>
      <c r="C1544">
        <v>50</v>
      </c>
      <c r="D1544" t="s">
        <v>18128</v>
      </c>
      <c r="E1544" t="s">
        <v>18129</v>
      </c>
      <c r="F1544" t="s">
        <v>18130</v>
      </c>
      <c r="G1544" t="s">
        <v>18131</v>
      </c>
      <c r="H1544" t="s">
        <v>18132</v>
      </c>
    </row>
    <row r="1545" spans="1:8">
      <c r="A1545" t="s">
        <v>242</v>
      </c>
      <c r="B1545" t="s">
        <v>104</v>
      </c>
      <c r="C1545">
        <v>50</v>
      </c>
      <c r="D1545" t="s">
        <v>18133</v>
      </c>
      <c r="E1545" t="s">
        <v>18134</v>
      </c>
      <c r="H1545" t="s">
        <v>18135</v>
      </c>
    </row>
    <row r="1546" spans="1:8">
      <c r="A1546" t="s">
        <v>241</v>
      </c>
      <c r="B1546" t="s">
        <v>104</v>
      </c>
      <c r="C1546">
        <v>50</v>
      </c>
      <c r="D1546" t="s">
        <v>18136</v>
      </c>
      <c r="E1546" t="s">
        <v>18137</v>
      </c>
      <c r="F1546" t="s">
        <v>5003</v>
      </c>
      <c r="G1546" t="s">
        <v>18138</v>
      </c>
      <c r="H1546" t="s">
        <v>18139</v>
      </c>
    </row>
    <row r="1547" spans="1:8">
      <c r="A1547" t="s">
        <v>241</v>
      </c>
      <c r="B1547" t="s">
        <v>104</v>
      </c>
      <c r="C1547">
        <v>50</v>
      </c>
      <c r="D1547" t="s">
        <v>18140</v>
      </c>
      <c r="E1547" t="s">
        <v>18141</v>
      </c>
      <c r="F1547" t="s">
        <v>1738</v>
      </c>
      <c r="G1547" t="s">
        <v>18142</v>
      </c>
      <c r="H1547" t="s">
        <v>18143</v>
      </c>
    </row>
    <row r="1548" spans="1:8">
      <c r="A1548" t="s">
        <v>242</v>
      </c>
      <c r="B1548" t="s">
        <v>104</v>
      </c>
      <c r="C1548">
        <v>50</v>
      </c>
      <c r="D1548" t="s">
        <v>3206</v>
      </c>
      <c r="E1548" t="s">
        <v>18144</v>
      </c>
      <c r="G1548" t="s">
        <v>3208</v>
      </c>
      <c r="H1548" t="s">
        <v>3209</v>
      </c>
    </row>
    <row r="1549" spans="1:8">
      <c r="A1549" t="s">
        <v>241</v>
      </c>
      <c r="B1549" t="s">
        <v>104</v>
      </c>
      <c r="C1549">
        <v>50</v>
      </c>
      <c r="D1549" t="s">
        <v>18145</v>
      </c>
      <c r="E1549" t="s">
        <v>17963</v>
      </c>
      <c r="G1549" t="s">
        <v>18146</v>
      </c>
      <c r="H1549" t="s">
        <v>11468</v>
      </c>
    </row>
    <row r="1550" spans="1:8">
      <c r="A1550" t="s">
        <v>241</v>
      </c>
      <c r="B1550" t="s">
        <v>104</v>
      </c>
      <c r="C1550">
        <v>50</v>
      </c>
      <c r="D1550" t="s">
        <v>18147</v>
      </c>
      <c r="E1550" t="s">
        <v>18148</v>
      </c>
      <c r="G1550" t="s">
        <v>18149</v>
      </c>
      <c r="H1550" t="s">
        <v>18150</v>
      </c>
    </row>
    <row r="1551" spans="1:8">
      <c r="A1551" t="s">
        <v>241</v>
      </c>
      <c r="B1551" t="s">
        <v>104</v>
      </c>
      <c r="C1551">
        <v>50</v>
      </c>
      <c r="D1551" t="s">
        <v>18151</v>
      </c>
      <c r="E1551" t="s">
        <v>18152</v>
      </c>
      <c r="F1551" t="s">
        <v>104</v>
      </c>
      <c r="H1551" t="s">
        <v>18153</v>
      </c>
    </row>
    <row r="1552" spans="1:8">
      <c r="A1552" t="s">
        <v>243</v>
      </c>
      <c r="B1552" t="s">
        <v>104</v>
      </c>
      <c r="C1552">
        <v>50</v>
      </c>
      <c r="D1552" t="s">
        <v>18154</v>
      </c>
      <c r="E1552" t="s">
        <v>18155</v>
      </c>
      <c r="G1552" t="s">
        <v>18156</v>
      </c>
      <c r="H1552" t="s">
        <v>18157</v>
      </c>
    </row>
    <row r="1553" spans="1:8">
      <c r="A1553" t="s">
        <v>242</v>
      </c>
      <c r="B1553" t="s">
        <v>235</v>
      </c>
      <c r="C1553">
        <v>50</v>
      </c>
      <c r="D1553" t="s">
        <v>18468</v>
      </c>
      <c r="E1553" t="s">
        <v>18469</v>
      </c>
      <c r="F1553" t="s">
        <v>235</v>
      </c>
      <c r="G1553" t="s">
        <v>18470</v>
      </c>
      <c r="H1553" t="s">
        <v>18471</v>
      </c>
    </row>
    <row r="1554" spans="1:8">
      <c r="A1554" t="s">
        <v>242</v>
      </c>
      <c r="B1554" t="s">
        <v>235</v>
      </c>
      <c r="C1554">
        <v>50</v>
      </c>
      <c r="D1554" t="s">
        <v>18472</v>
      </c>
      <c r="E1554" t="s">
        <v>14634</v>
      </c>
      <c r="G1554" t="s">
        <v>18473</v>
      </c>
      <c r="H1554" t="s">
        <v>18474</v>
      </c>
    </row>
    <row r="1555" spans="1:8">
      <c r="A1555" t="s">
        <v>241</v>
      </c>
      <c r="B1555" t="s">
        <v>235</v>
      </c>
      <c r="C1555">
        <v>50</v>
      </c>
      <c r="D1555" t="s">
        <v>18475</v>
      </c>
      <c r="E1555" t="s">
        <v>18476</v>
      </c>
      <c r="F1555" t="s">
        <v>235</v>
      </c>
      <c r="H1555" t="s">
        <v>18477</v>
      </c>
    </row>
    <row r="1556" spans="1:8">
      <c r="A1556" t="s">
        <v>241</v>
      </c>
      <c r="B1556" t="s">
        <v>203</v>
      </c>
      <c r="C1556">
        <v>51</v>
      </c>
      <c r="D1556" t="s">
        <v>8072</v>
      </c>
      <c r="E1556" t="s">
        <v>8073</v>
      </c>
      <c r="G1556" t="s">
        <v>8074</v>
      </c>
      <c r="H1556" t="s">
        <v>8075</v>
      </c>
    </row>
    <row r="1557" spans="1:8">
      <c r="A1557" t="s">
        <v>242</v>
      </c>
      <c r="B1557" t="s">
        <v>203</v>
      </c>
      <c r="C1557">
        <v>51</v>
      </c>
      <c r="D1557" t="s">
        <v>8076</v>
      </c>
      <c r="E1557" t="s">
        <v>8077</v>
      </c>
      <c r="F1557" t="s">
        <v>203</v>
      </c>
      <c r="G1557" t="s">
        <v>8078</v>
      </c>
      <c r="H1557" t="s">
        <v>8079</v>
      </c>
    </row>
    <row r="1558" spans="1:8">
      <c r="A1558" t="s">
        <v>238</v>
      </c>
      <c r="B1558" t="s">
        <v>203</v>
      </c>
      <c r="C1558">
        <v>51</v>
      </c>
      <c r="D1558" t="s">
        <v>8080</v>
      </c>
      <c r="E1558" t="s">
        <v>8081</v>
      </c>
      <c r="G1558" t="s">
        <v>8082</v>
      </c>
      <c r="H1558" t="s">
        <v>8083</v>
      </c>
    </row>
    <row r="1559" spans="1:8">
      <c r="A1559" t="s">
        <v>241</v>
      </c>
      <c r="B1559" t="s">
        <v>203</v>
      </c>
      <c r="C1559">
        <v>51</v>
      </c>
      <c r="D1559" t="s">
        <v>8084</v>
      </c>
      <c r="E1559" t="s">
        <v>8085</v>
      </c>
      <c r="F1559" t="s">
        <v>203</v>
      </c>
      <c r="G1559" t="s">
        <v>8086</v>
      </c>
      <c r="H1559" t="s">
        <v>8087</v>
      </c>
    </row>
    <row r="1560" spans="1:8">
      <c r="A1560" t="s">
        <v>240</v>
      </c>
      <c r="B1560" t="s">
        <v>32</v>
      </c>
      <c r="C1560">
        <v>51</v>
      </c>
      <c r="D1560" t="s">
        <v>10082</v>
      </c>
      <c r="E1560" t="s">
        <v>10083</v>
      </c>
      <c r="F1560" t="s">
        <v>32</v>
      </c>
      <c r="G1560" t="s">
        <v>10084</v>
      </c>
      <c r="H1560" t="s">
        <v>10085</v>
      </c>
    </row>
    <row r="1561" spans="1:8">
      <c r="A1561" t="s">
        <v>240</v>
      </c>
      <c r="B1561" t="s">
        <v>32</v>
      </c>
      <c r="C1561">
        <v>51</v>
      </c>
      <c r="D1561" t="s">
        <v>10086</v>
      </c>
      <c r="E1561" t="s">
        <v>10087</v>
      </c>
      <c r="F1561" t="s">
        <v>32</v>
      </c>
      <c r="G1561" t="s">
        <v>10088</v>
      </c>
      <c r="H1561" t="s">
        <v>10089</v>
      </c>
    </row>
    <row r="1562" spans="1:8">
      <c r="A1562" t="s">
        <v>241</v>
      </c>
      <c r="B1562" t="s">
        <v>32</v>
      </c>
      <c r="C1562">
        <v>51</v>
      </c>
      <c r="D1562" t="s">
        <v>10090</v>
      </c>
      <c r="E1562" t="s">
        <v>10091</v>
      </c>
      <c r="H1562" t="s">
        <v>10092</v>
      </c>
    </row>
    <row r="1563" spans="1:8">
      <c r="A1563" t="s">
        <v>241</v>
      </c>
      <c r="B1563" t="s">
        <v>32</v>
      </c>
      <c r="C1563">
        <v>51</v>
      </c>
      <c r="D1563" t="s">
        <v>10093</v>
      </c>
      <c r="E1563" t="s">
        <v>10094</v>
      </c>
      <c r="H1563" t="s">
        <v>10095</v>
      </c>
    </row>
    <row r="1564" spans="1:8">
      <c r="A1564" t="s">
        <v>240</v>
      </c>
      <c r="B1564" t="s">
        <v>32</v>
      </c>
      <c r="C1564">
        <v>51</v>
      </c>
      <c r="D1564" t="s">
        <v>10096</v>
      </c>
      <c r="E1564" t="s">
        <v>10097</v>
      </c>
      <c r="F1564" t="s">
        <v>32</v>
      </c>
      <c r="G1564" t="s">
        <v>10098</v>
      </c>
      <c r="H1564" t="s">
        <v>10099</v>
      </c>
    </row>
    <row r="1565" spans="1:8">
      <c r="A1565" t="s">
        <v>241</v>
      </c>
      <c r="B1565" t="s">
        <v>32</v>
      </c>
      <c r="C1565">
        <v>51</v>
      </c>
      <c r="D1565" t="s">
        <v>9748</v>
      </c>
      <c r="E1565" t="s">
        <v>10100</v>
      </c>
      <c r="F1565" t="s">
        <v>10101</v>
      </c>
      <c r="H1565" t="s">
        <v>10102</v>
      </c>
    </row>
    <row r="1566" spans="1:8">
      <c r="A1566" t="s">
        <v>241</v>
      </c>
      <c r="B1566" t="s">
        <v>32</v>
      </c>
      <c r="C1566">
        <v>51</v>
      </c>
      <c r="D1566" t="s">
        <v>829</v>
      </c>
      <c r="E1566" t="s">
        <v>10103</v>
      </c>
      <c r="F1566" t="s">
        <v>10104</v>
      </c>
      <c r="H1566" t="s">
        <v>10105</v>
      </c>
    </row>
    <row r="1567" spans="1:8">
      <c r="A1567" t="s">
        <v>240</v>
      </c>
      <c r="B1567" t="s">
        <v>32</v>
      </c>
      <c r="C1567">
        <v>51</v>
      </c>
      <c r="D1567" t="s">
        <v>10106</v>
      </c>
      <c r="E1567" t="s">
        <v>10097</v>
      </c>
      <c r="F1567" t="s">
        <v>32</v>
      </c>
      <c r="G1567" t="s">
        <v>10098</v>
      </c>
      <c r="H1567" t="s">
        <v>10099</v>
      </c>
    </row>
    <row r="1568" spans="1:8">
      <c r="A1568" t="s">
        <v>240</v>
      </c>
      <c r="B1568" t="s">
        <v>32</v>
      </c>
      <c r="C1568">
        <v>51</v>
      </c>
      <c r="D1568" t="s">
        <v>10107</v>
      </c>
      <c r="E1568" t="s">
        <v>10108</v>
      </c>
      <c r="F1568" t="s">
        <v>32</v>
      </c>
      <c r="G1568" t="s">
        <v>10109</v>
      </c>
      <c r="H1568" t="s">
        <v>10110</v>
      </c>
    </row>
    <row r="1569" spans="1:8">
      <c r="A1569" t="s">
        <v>247</v>
      </c>
      <c r="B1569" t="s">
        <v>32</v>
      </c>
      <c r="C1569">
        <v>51</v>
      </c>
      <c r="D1569" t="s">
        <v>10111</v>
      </c>
      <c r="E1569" t="s">
        <v>10112</v>
      </c>
      <c r="F1569" t="s">
        <v>32</v>
      </c>
      <c r="G1569" t="s">
        <v>3008</v>
      </c>
      <c r="H1569" t="s">
        <v>3009</v>
      </c>
    </row>
    <row r="1570" spans="1:8">
      <c r="A1570" t="s">
        <v>241</v>
      </c>
      <c r="B1570" t="s">
        <v>103</v>
      </c>
      <c r="C1570">
        <v>51</v>
      </c>
      <c r="D1570" t="s">
        <v>17650</v>
      </c>
      <c r="E1570" t="s">
        <v>17651</v>
      </c>
      <c r="G1570" t="s">
        <v>17652</v>
      </c>
      <c r="H1570" t="s">
        <v>17653</v>
      </c>
    </row>
    <row r="1571" spans="1:8">
      <c r="A1571" t="s">
        <v>241</v>
      </c>
      <c r="B1571" t="s">
        <v>103</v>
      </c>
      <c r="C1571">
        <v>51</v>
      </c>
      <c r="D1571" t="s">
        <v>17654</v>
      </c>
      <c r="E1571" t="s">
        <v>17655</v>
      </c>
      <c r="G1571" t="s">
        <v>17656</v>
      </c>
      <c r="H1571" t="s">
        <v>17657</v>
      </c>
    </row>
    <row r="1572" spans="1:8">
      <c r="A1572" t="s">
        <v>242</v>
      </c>
      <c r="B1572" t="s">
        <v>103</v>
      </c>
      <c r="C1572">
        <v>51</v>
      </c>
      <c r="D1572" t="s">
        <v>17658</v>
      </c>
      <c r="E1572" t="s">
        <v>17659</v>
      </c>
      <c r="H1572" t="s">
        <v>17660</v>
      </c>
    </row>
    <row r="1573" spans="1:8">
      <c r="A1573" t="s">
        <v>243</v>
      </c>
      <c r="B1573" t="s">
        <v>103</v>
      </c>
      <c r="C1573">
        <v>51</v>
      </c>
      <c r="D1573" t="s">
        <v>17661</v>
      </c>
      <c r="E1573" t="s">
        <v>17662</v>
      </c>
      <c r="G1573" t="s">
        <v>17663</v>
      </c>
      <c r="H1573" t="s">
        <v>17664</v>
      </c>
    </row>
    <row r="1574" spans="1:8">
      <c r="A1574" t="s">
        <v>242</v>
      </c>
      <c r="B1574" t="s">
        <v>103</v>
      </c>
      <c r="C1574">
        <v>51</v>
      </c>
      <c r="D1574" t="s">
        <v>17665</v>
      </c>
      <c r="E1574" t="s">
        <v>17666</v>
      </c>
      <c r="F1574" t="s">
        <v>103</v>
      </c>
      <c r="H1574" t="s">
        <v>17667</v>
      </c>
    </row>
    <row r="1575" spans="1:8">
      <c r="A1575" t="s">
        <v>242</v>
      </c>
      <c r="B1575" t="s">
        <v>103</v>
      </c>
      <c r="C1575">
        <v>51</v>
      </c>
      <c r="D1575" t="s">
        <v>17668</v>
      </c>
      <c r="E1575" t="s">
        <v>17669</v>
      </c>
      <c r="F1575" t="s">
        <v>103</v>
      </c>
      <c r="G1575" t="s">
        <v>17670</v>
      </c>
      <c r="H1575" t="s">
        <v>17671</v>
      </c>
    </row>
    <row r="1576" spans="1:8">
      <c r="A1576" t="s">
        <v>242</v>
      </c>
      <c r="B1576" t="s">
        <v>103</v>
      </c>
      <c r="C1576">
        <v>51</v>
      </c>
      <c r="D1576" t="s">
        <v>17672</v>
      </c>
      <c r="E1576" t="s">
        <v>17673</v>
      </c>
      <c r="F1576" t="s">
        <v>17674</v>
      </c>
      <c r="G1576" t="s">
        <v>17675</v>
      </c>
      <c r="H1576" t="s">
        <v>17676</v>
      </c>
    </row>
    <row r="1577" spans="1:8">
      <c r="A1577" t="s">
        <v>245</v>
      </c>
      <c r="B1577" t="s">
        <v>103</v>
      </c>
      <c r="C1577">
        <v>51</v>
      </c>
      <c r="D1577" t="s">
        <v>17677</v>
      </c>
      <c r="E1577" t="s">
        <v>16181</v>
      </c>
      <c r="F1577" t="s">
        <v>103</v>
      </c>
      <c r="G1577" t="s">
        <v>17678</v>
      </c>
    </row>
    <row r="1578" spans="1:8">
      <c r="A1578" t="s">
        <v>241</v>
      </c>
      <c r="B1578" t="s">
        <v>103</v>
      </c>
      <c r="C1578">
        <v>51</v>
      </c>
      <c r="D1578" t="s">
        <v>17679</v>
      </c>
      <c r="E1578" t="s">
        <v>17680</v>
      </c>
      <c r="G1578" t="s">
        <v>17681</v>
      </c>
      <c r="H1578" t="s">
        <v>17682</v>
      </c>
    </row>
    <row r="1579" spans="1:8">
      <c r="A1579" t="s">
        <v>242</v>
      </c>
      <c r="B1579" t="s">
        <v>103</v>
      </c>
      <c r="C1579">
        <v>51</v>
      </c>
      <c r="D1579" t="s">
        <v>17683</v>
      </c>
      <c r="E1579" t="s">
        <v>17684</v>
      </c>
      <c r="F1579" t="s">
        <v>103</v>
      </c>
      <c r="G1579" t="s">
        <v>17685</v>
      </c>
      <c r="H1579" t="s">
        <v>17686</v>
      </c>
    </row>
    <row r="1580" spans="1:8">
      <c r="A1580" t="s">
        <v>242</v>
      </c>
      <c r="B1580" t="s">
        <v>103</v>
      </c>
      <c r="C1580">
        <v>51</v>
      </c>
      <c r="D1580" t="s">
        <v>4476</v>
      </c>
      <c r="E1580" t="s">
        <v>17687</v>
      </c>
      <c r="F1580" t="s">
        <v>103</v>
      </c>
      <c r="G1580" t="s">
        <v>17688</v>
      </c>
      <c r="H1580" t="s">
        <v>17689</v>
      </c>
    </row>
    <row r="1581" spans="1:8">
      <c r="A1581" t="s">
        <v>242</v>
      </c>
      <c r="B1581" t="s">
        <v>103</v>
      </c>
      <c r="C1581">
        <v>51</v>
      </c>
      <c r="D1581" t="s">
        <v>17690</v>
      </c>
      <c r="E1581" t="s">
        <v>17691</v>
      </c>
      <c r="F1581" t="s">
        <v>103</v>
      </c>
      <c r="H1581" t="s">
        <v>17692</v>
      </c>
    </row>
    <row r="1582" spans="1:8">
      <c r="A1582" t="s">
        <v>241</v>
      </c>
      <c r="B1582" t="s">
        <v>103</v>
      </c>
      <c r="C1582">
        <v>51</v>
      </c>
      <c r="D1582" t="s">
        <v>17693</v>
      </c>
      <c r="E1582" t="s">
        <v>17694</v>
      </c>
      <c r="F1582" t="s">
        <v>103</v>
      </c>
      <c r="H1582" t="s">
        <v>17695</v>
      </c>
    </row>
    <row r="1583" spans="1:8">
      <c r="A1583" t="s">
        <v>241</v>
      </c>
      <c r="B1583" t="s">
        <v>103</v>
      </c>
      <c r="C1583">
        <v>51</v>
      </c>
      <c r="D1583" t="s">
        <v>17696</v>
      </c>
      <c r="E1583" t="s">
        <v>17697</v>
      </c>
      <c r="F1583" t="s">
        <v>103</v>
      </c>
      <c r="G1583" t="s">
        <v>17698</v>
      </c>
      <c r="H1583" t="s">
        <v>17699</v>
      </c>
    </row>
    <row r="1584" spans="1:8">
      <c r="A1584" t="s">
        <v>241</v>
      </c>
      <c r="B1584" t="s">
        <v>103</v>
      </c>
      <c r="C1584">
        <v>51</v>
      </c>
      <c r="D1584" t="s">
        <v>17700</v>
      </c>
      <c r="E1584" t="s">
        <v>17701</v>
      </c>
      <c r="F1584" t="s">
        <v>103</v>
      </c>
      <c r="G1584" t="s">
        <v>17702</v>
      </c>
      <c r="H1584" t="s">
        <v>17703</v>
      </c>
    </row>
    <row r="1585" spans="1:8">
      <c r="A1585" t="s">
        <v>242</v>
      </c>
      <c r="B1585" t="s">
        <v>103</v>
      </c>
      <c r="C1585">
        <v>51</v>
      </c>
      <c r="D1585" t="s">
        <v>17704</v>
      </c>
      <c r="E1585" t="s">
        <v>17705</v>
      </c>
      <c r="F1585" t="s">
        <v>103</v>
      </c>
      <c r="G1585" t="s">
        <v>17706</v>
      </c>
      <c r="H1585" t="s">
        <v>17707</v>
      </c>
    </row>
    <row r="1586" spans="1:8">
      <c r="A1586" t="s">
        <v>246</v>
      </c>
      <c r="B1586" t="s">
        <v>103</v>
      </c>
      <c r="C1586">
        <v>51</v>
      </c>
      <c r="D1586" t="s">
        <v>17708</v>
      </c>
      <c r="E1586" t="s">
        <v>11740</v>
      </c>
      <c r="F1586" t="s">
        <v>103</v>
      </c>
      <c r="G1586" t="s">
        <v>17709</v>
      </c>
      <c r="H1586" t="s">
        <v>17710</v>
      </c>
    </row>
    <row r="1587" spans="1:8">
      <c r="A1587" t="s">
        <v>241</v>
      </c>
      <c r="B1587" t="s">
        <v>103</v>
      </c>
      <c r="C1587">
        <v>51</v>
      </c>
      <c r="D1587" t="s">
        <v>17711</v>
      </c>
      <c r="E1587" t="s">
        <v>17712</v>
      </c>
      <c r="F1587" t="s">
        <v>103</v>
      </c>
    </row>
    <row r="1588" spans="1:8">
      <c r="A1588" t="s">
        <v>244</v>
      </c>
      <c r="B1588" t="s">
        <v>103</v>
      </c>
      <c r="C1588">
        <v>51</v>
      </c>
      <c r="D1588" t="s">
        <v>1282</v>
      </c>
      <c r="F1588" t="s">
        <v>17713</v>
      </c>
    </row>
    <row r="1589" spans="1:8">
      <c r="A1589" t="s">
        <v>242</v>
      </c>
      <c r="B1589" t="s">
        <v>103</v>
      </c>
      <c r="C1589">
        <v>51</v>
      </c>
      <c r="D1589" t="s">
        <v>17714</v>
      </c>
      <c r="E1589" t="s">
        <v>17715</v>
      </c>
      <c r="F1589" t="s">
        <v>17716</v>
      </c>
      <c r="G1589" t="s">
        <v>17717</v>
      </c>
      <c r="H1589" t="s">
        <v>17718</v>
      </c>
    </row>
    <row r="1590" spans="1:8">
      <c r="A1590" t="s">
        <v>239</v>
      </c>
      <c r="B1590" t="s">
        <v>103</v>
      </c>
      <c r="C1590">
        <v>51</v>
      </c>
      <c r="D1590" t="s">
        <v>17719</v>
      </c>
      <c r="E1590" t="s">
        <v>17720</v>
      </c>
      <c r="F1590" t="s">
        <v>103</v>
      </c>
      <c r="H1590" t="s">
        <v>17721</v>
      </c>
    </row>
    <row r="1591" spans="1:8">
      <c r="A1591" t="s">
        <v>241</v>
      </c>
      <c r="B1591" t="s">
        <v>103</v>
      </c>
      <c r="C1591">
        <v>51</v>
      </c>
      <c r="D1591" t="s">
        <v>17722</v>
      </c>
      <c r="E1591" t="s">
        <v>17723</v>
      </c>
      <c r="H1591" t="s">
        <v>17721</v>
      </c>
    </row>
    <row r="1592" spans="1:8">
      <c r="A1592" t="s">
        <v>238</v>
      </c>
      <c r="B1592" t="s">
        <v>103</v>
      </c>
      <c r="C1592">
        <v>51</v>
      </c>
      <c r="D1592" t="s">
        <v>17724</v>
      </c>
      <c r="E1592" t="s">
        <v>17725</v>
      </c>
      <c r="G1592" t="s">
        <v>17726</v>
      </c>
      <c r="H1592" t="s">
        <v>17727</v>
      </c>
    </row>
    <row r="1593" spans="1:8">
      <c r="A1593" t="s">
        <v>241</v>
      </c>
      <c r="B1593" t="s">
        <v>103</v>
      </c>
      <c r="C1593">
        <v>51</v>
      </c>
      <c r="D1593" t="s">
        <v>17728</v>
      </c>
      <c r="E1593" t="s">
        <v>17729</v>
      </c>
      <c r="F1593" t="s">
        <v>17730</v>
      </c>
      <c r="H1593" t="s">
        <v>17731</v>
      </c>
    </row>
    <row r="1594" spans="1:8">
      <c r="A1594" t="s">
        <v>241</v>
      </c>
      <c r="B1594" t="s">
        <v>103</v>
      </c>
      <c r="C1594">
        <v>51</v>
      </c>
      <c r="D1594" t="s">
        <v>17732</v>
      </c>
      <c r="E1594" t="s">
        <v>4295</v>
      </c>
      <c r="G1594" t="s">
        <v>17733</v>
      </c>
      <c r="H1594" t="s">
        <v>17734</v>
      </c>
    </row>
    <row r="1595" spans="1:8">
      <c r="A1595" t="s">
        <v>241</v>
      </c>
      <c r="B1595" t="s">
        <v>64</v>
      </c>
      <c r="C1595">
        <v>52</v>
      </c>
      <c r="D1595" t="s">
        <v>2322</v>
      </c>
      <c r="E1595" t="s">
        <v>2323</v>
      </c>
      <c r="H1595" t="s">
        <v>2324</v>
      </c>
    </row>
    <row r="1596" spans="1:8">
      <c r="A1596" t="s">
        <v>241</v>
      </c>
      <c r="B1596" t="s">
        <v>64</v>
      </c>
      <c r="C1596">
        <v>52</v>
      </c>
      <c r="D1596" t="s">
        <v>2325</v>
      </c>
      <c r="E1596" t="s">
        <v>2326</v>
      </c>
      <c r="F1596" t="s">
        <v>64</v>
      </c>
      <c r="G1596" t="s">
        <v>2327</v>
      </c>
      <c r="H1596" t="s">
        <v>2328</v>
      </c>
    </row>
    <row r="1597" spans="1:8">
      <c r="A1597" t="s">
        <v>241</v>
      </c>
      <c r="B1597" t="s">
        <v>64</v>
      </c>
      <c r="C1597">
        <v>52</v>
      </c>
      <c r="D1597" t="s">
        <v>2329</v>
      </c>
      <c r="E1597" t="s">
        <v>2330</v>
      </c>
      <c r="G1597" t="s">
        <v>2331</v>
      </c>
      <c r="H1597" t="s">
        <v>2332</v>
      </c>
    </row>
    <row r="1598" spans="1:8">
      <c r="A1598" t="s">
        <v>241</v>
      </c>
      <c r="B1598" t="s">
        <v>64</v>
      </c>
      <c r="C1598">
        <v>52</v>
      </c>
      <c r="D1598" t="s">
        <v>2333</v>
      </c>
      <c r="E1598" t="s">
        <v>2334</v>
      </c>
      <c r="H1598" t="s">
        <v>2335</v>
      </c>
    </row>
    <row r="1599" spans="1:8">
      <c r="A1599" t="s">
        <v>242</v>
      </c>
      <c r="B1599" t="s">
        <v>64</v>
      </c>
      <c r="C1599">
        <v>52</v>
      </c>
      <c r="D1599" t="s">
        <v>2336</v>
      </c>
      <c r="E1599" t="s">
        <v>2337</v>
      </c>
      <c r="G1599" t="s">
        <v>2338</v>
      </c>
      <c r="H1599" t="s">
        <v>2339</v>
      </c>
    </row>
    <row r="1600" spans="1:8">
      <c r="A1600" t="s">
        <v>241</v>
      </c>
      <c r="B1600" t="s">
        <v>64</v>
      </c>
      <c r="C1600">
        <v>52</v>
      </c>
      <c r="D1600" t="s">
        <v>2340</v>
      </c>
      <c r="E1600" t="s">
        <v>2341</v>
      </c>
      <c r="G1600" t="s">
        <v>2342</v>
      </c>
      <c r="H1600" t="s">
        <v>2343</v>
      </c>
    </row>
    <row r="1601" spans="1:8">
      <c r="A1601" t="s">
        <v>239</v>
      </c>
      <c r="B1601" t="s">
        <v>64</v>
      </c>
      <c r="C1601">
        <v>52</v>
      </c>
      <c r="D1601" t="s">
        <v>2344</v>
      </c>
      <c r="E1601" t="s">
        <v>2341</v>
      </c>
      <c r="G1601" t="s">
        <v>2342</v>
      </c>
      <c r="H1601" t="s">
        <v>2343</v>
      </c>
    </row>
    <row r="1602" spans="1:8">
      <c r="A1602" t="s">
        <v>238</v>
      </c>
      <c r="B1602" t="s">
        <v>64</v>
      </c>
      <c r="C1602">
        <v>52</v>
      </c>
      <c r="D1602" t="s">
        <v>2345</v>
      </c>
      <c r="E1602" t="s">
        <v>2346</v>
      </c>
      <c r="F1602" t="s">
        <v>64</v>
      </c>
      <c r="G1602" t="s">
        <v>2347</v>
      </c>
      <c r="H1602" t="s">
        <v>2348</v>
      </c>
    </row>
    <row r="1603" spans="1:8">
      <c r="A1603" t="s">
        <v>243</v>
      </c>
      <c r="B1603" t="s">
        <v>72</v>
      </c>
      <c r="C1603">
        <v>52</v>
      </c>
      <c r="D1603" t="s">
        <v>3528</v>
      </c>
      <c r="E1603" t="s">
        <v>3529</v>
      </c>
      <c r="G1603" t="s">
        <v>3530</v>
      </c>
      <c r="H1603" t="s">
        <v>3531</v>
      </c>
    </row>
    <row r="1604" spans="1:8">
      <c r="A1604" t="s">
        <v>241</v>
      </c>
      <c r="B1604" t="s">
        <v>72</v>
      </c>
      <c r="C1604">
        <v>52</v>
      </c>
      <c r="D1604" t="s">
        <v>3532</v>
      </c>
      <c r="E1604" t="s">
        <v>3533</v>
      </c>
      <c r="G1604" t="s">
        <v>3530</v>
      </c>
      <c r="H1604" t="s">
        <v>3531</v>
      </c>
    </row>
    <row r="1605" spans="1:8">
      <c r="A1605" t="s">
        <v>240</v>
      </c>
      <c r="B1605" t="s">
        <v>72</v>
      </c>
      <c r="C1605">
        <v>52</v>
      </c>
      <c r="D1605" t="s">
        <v>3534</v>
      </c>
      <c r="E1605" t="s">
        <v>3535</v>
      </c>
      <c r="F1605" t="s">
        <v>72</v>
      </c>
      <c r="G1605" t="s">
        <v>3536</v>
      </c>
      <c r="H1605" t="s">
        <v>3537</v>
      </c>
    </row>
    <row r="1606" spans="1:8">
      <c r="A1606" t="s">
        <v>238</v>
      </c>
      <c r="B1606" t="s">
        <v>72</v>
      </c>
      <c r="C1606">
        <v>52</v>
      </c>
      <c r="D1606" t="s">
        <v>3538</v>
      </c>
      <c r="E1606" t="s">
        <v>3539</v>
      </c>
      <c r="G1606" t="s">
        <v>3540</v>
      </c>
      <c r="H1606" t="s">
        <v>3541</v>
      </c>
    </row>
    <row r="1607" spans="1:8">
      <c r="A1607" t="s">
        <v>243</v>
      </c>
      <c r="B1607" t="s">
        <v>72</v>
      </c>
      <c r="C1607">
        <v>52</v>
      </c>
      <c r="D1607" t="s">
        <v>3542</v>
      </c>
      <c r="E1607" t="s">
        <v>3529</v>
      </c>
      <c r="G1607" t="s">
        <v>3530</v>
      </c>
      <c r="H1607" t="s">
        <v>3531</v>
      </c>
    </row>
    <row r="1608" spans="1:8">
      <c r="A1608" t="s">
        <v>243</v>
      </c>
      <c r="B1608" t="s">
        <v>17</v>
      </c>
      <c r="C1608">
        <v>52</v>
      </c>
      <c r="D1608" t="s">
        <v>6922</v>
      </c>
      <c r="F1608" t="s">
        <v>6923</v>
      </c>
    </row>
    <row r="1609" spans="1:8">
      <c r="A1609" t="s">
        <v>241</v>
      </c>
      <c r="B1609" t="s">
        <v>17</v>
      </c>
      <c r="C1609">
        <v>52</v>
      </c>
      <c r="D1609" t="s">
        <v>6924</v>
      </c>
      <c r="E1609" t="s">
        <v>6925</v>
      </c>
      <c r="F1609" t="s">
        <v>17</v>
      </c>
      <c r="G1609" t="s">
        <v>6926</v>
      </c>
      <c r="H1609" t="s">
        <v>6927</v>
      </c>
    </row>
    <row r="1610" spans="1:8">
      <c r="A1610" t="s">
        <v>240</v>
      </c>
      <c r="B1610" t="s">
        <v>17</v>
      </c>
      <c r="C1610">
        <v>52</v>
      </c>
      <c r="D1610" t="s">
        <v>6928</v>
      </c>
      <c r="E1610" t="s">
        <v>6929</v>
      </c>
      <c r="F1610" t="s">
        <v>17</v>
      </c>
      <c r="G1610" t="s">
        <v>6930</v>
      </c>
      <c r="H1610" t="s">
        <v>6931</v>
      </c>
    </row>
    <row r="1611" spans="1:8">
      <c r="A1611" t="s">
        <v>242</v>
      </c>
      <c r="B1611" t="s">
        <v>17</v>
      </c>
      <c r="C1611">
        <v>52</v>
      </c>
      <c r="D1611" t="s">
        <v>6932</v>
      </c>
      <c r="E1611" t="s">
        <v>6933</v>
      </c>
      <c r="F1611" t="s">
        <v>17</v>
      </c>
      <c r="G1611" t="s">
        <v>6934</v>
      </c>
      <c r="H1611" t="s">
        <v>6935</v>
      </c>
    </row>
    <row r="1612" spans="1:8">
      <c r="A1612" t="s">
        <v>239</v>
      </c>
      <c r="B1612" t="s">
        <v>17</v>
      </c>
      <c r="C1612">
        <v>52</v>
      </c>
      <c r="D1612" t="s">
        <v>6936</v>
      </c>
      <c r="E1612" t="s">
        <v>6937</v>
      </c>
    </row>
    <row r="1613" spans="1:8">
      <c r="A1613" t="s">
        <v>242</v>
      </c>
      <c r="B1613" t="s">
        <v>17</v>
      </c>
      <c r="C1613">
        <v>52</v>
      </c>
      <c r="D1613" t="s">
        <v>6938</v>
      </c>
      <c r="E1613" t="s">
        <v>6939</v>
      </c>
      <c r="H1613" t="s">
        <v>6940</v>
      </c>
    </row>
    <row r="1614" spans="1:8">
      <c r="A1614" t="s">
        <v>246</v>
      </c>
      <c r="B1614" t="s">
        <v>17</v>
      </c>
      <c r="C1614">
        <v>52</v>
      </c>
      <c r="D1614" t="s">
        <v>6941</v>
      </c>
      <c r="E1614" t="s">
        <v>6929</v>
      </c>
      <c r="F1614" t="s">
        <v>17</v>
      </c>
      <c r="H1614" t="s">
        <v>3009</v>
      </c>
    </row>
    <row r="1615" spans="1:8">
      <c r="A1615" t="s">
        <v>242</v>
      </c>
      <c r="B1615" t="s">
        <v>17</v>
      </c>
      <c r="C1615">
        <v>52</v>
      </c>
      <c r="D1615" t="s">
        <v>6942</v>
      </c>
      <c r="E1615" t="s">
        <v>6943</v>
      </c>
      <c r="F1615" t="s">
        <v>6944</v>
      </c>
      <c r="G1615" t="s">
        <v>6945</v>
      </c>
      <c r="H1615" t="s">
        <v>6946</v>
      </c>
    </row>
    <row r="1616" spans="1:8">
      <c r="A1616" t="s">
        <v>238</v>
      </c>
      <c r="B1616" t="s">
        <v>17</v>
      </c>
      <c r="C1616">
        <v>52</v>
      </c>
      <c r="D1616" t="s">
        <v>6947</v>
      </c>
      <c r="E1616" t="s">
        <v>6948</v>
      </c>
      <c r="F1616" t="s">
        <v>6949</v>
      </c>
      <c r="G1616" t="s">
        <v>6950</v>
      </c>
      <c r="H1616" t="s">
        <v>6951</v>
      </c>
    </row>
    <row r="1617" spans="1:8">
      <c r="A1617" t="s">
        <v>238</v>
      </c>
      <c r="B1617" t="s">
        <v>17</v>
      </c>
      <c r="C1617">
        <v>52</v>
      </c>
      <c r="D1617" t="s">
        <v>4476</v>
      </c>
      <c r="E1617" t="s">
        <v>6952</v>
      </c>
      <c r="F1617" t="s">
        <v>6953</v>
      </c>
      <c r="G1617" t="s">
        <v>6954</v>
      </c>
      <c r="H1617" t="s">
        <v>6955</v>
      </c>
    </row>
    <row r="1618" spans="1:8">
      <c r="A1618" t="s">
        <v>249</v>
      </c>
      <c r="B1618" t="s">
        <v>17</v>
      </c>
      <c r="C1618">
        <v>52</v>
      </c>
      <c r="D1618" t="s">
        <v>6923</v>
      </c>
      <c r="F1618" t="s">
        <v>17</v>
      </c>
      <c r="G1618" t="s">
        <v>6956</v>
      </c>
      <c r="H1618" t="s">
        <v>6957</v>
      </c>
    </row>
    <row r="1619" spans="1:8">
      <c r="A1619" t="s">
        <v>243</v>
      </c>
      <c r="B1619" t="s">
        <v>17</v>
      </c>
      <c r="C1619">
        <v>52</v>
      </c>
      <c r="D1619" t="s">
        <v>6958</v>
      </c>
      <c r="F1619" t="s">
        <v>6959</v>
      </c>
    </row>
    <row r="1620" spans="1:8">
      <c r="A1620" t="s">
        <v>241</v>
      </c>
      <c r="B1620" t="s">
        <v>17</v>
      </c>
      <c r="C1620">
        <v>52</v>
      </c>
      <c r="D1620" t="s">
        <v>6960</v>
      </c>
      <c r="E1620" t="s">
        <v>6961</v>
      </c>
      <c r="F1620" t="s">
        <v>17</v>
      </c>
      <c r="G1620" t="s">
        <v>6962</v>
      </c>
    </row>
    <row r="1621" spans="1:8">
      <c r="A1621" t="s">
        <v>241</v>
      </c>
      <c r="B1621" t="s">
        <v>17</v>
      </c>
      <c r="C1621">
        <v>52</v>
      </c>
      <c r="D1621" t="s">
        <v>6963</v>
      </c>
      <c r="E1621" t="s">
        <v>6964</v>
      </c>
      <c r="F1621" t="s">
        <v>17</v>
      </c>
      <c r="H1621" t="s">
        <v>6965</v>
      </c>
    </row>
    <row r="1622" spans="1:8">
      <c r="A1622" t="s">
        <v>238</v>
      </c>
      <c r="B1622" t="s">
        <v>17</v>
      </c>
      <c r="C1622">
        <v>52</v>
      </c>
      <c r="D1622" t="s">
        <v>6966</v>
      </c>
      <c r="F1622" t="s">
        <v>17</v>
      </c>
      <c r="H1622" t="s">
        <v>6967</v>
      </c>
    </row>
    <row r="1623" spans="1:8">
      <c r="A1623" t="s">
        <v>239</v>
      </c>
      <c r="B1623" t="s">
        <v>17</v>
      </c>
      <c r="C1623">
        <v>52</v>
      </c>
      <c r="D1623" t="s">
        <v>6968</v>
      </c>
      <c r="E1623" t="s">
        <v>6969</v>
      </c>
      <c r="F1623" t="s">
        <v>17</v>
      </c>
    </row>
    <row r="1624" spans="1:8">
      <c r="A1624" t="s">
        <v>243</v>
      </c>
      <c r="B1624" t="s">
        <v>187</v>
      </c>
      <c r="C1624">
        <v>52</v>
      </c>
      <c r="D1624" t="s">
        <v>10849</v>
      </c>
      <c r="E1624" t="s">
        <v>10850</v>
      </c>
      <c r="G1624" t="s">
        <v>10851</v>
      </c>
      <c r="H1624" t="s">
        <v>10852</v>
      </c>
    </row>
    <row r="1625" spans="1:8">
      <c r="A1625" t="s">
        <v>242</v>
      </c>
      <c r="B1625" t="s">
        <v>187</v>
      </c>
      <c r="C1625">
        <v>52</v>
      </c>
      <c r="D1625" t="s">
        <v>10853</v>
      </c>
      <c r="E1625" t="s">
        <v>10854</v>
      </c>
      <c r="F1625" t="s">
        <v>187</v>
      </c>
      <c r="G1625" t="s">
        <v>10855</v>
      </c>
      <c r="H1625" t="s">
        <v>10856</v>
      </c>
    </row>
    <row r="1626" spans="1:8">
      <c r="A1626" t="s">
        <v>240</v>
      </c>
      <c r="B1626" t="s">
        <v>187</v>
      </c>
      <c r="C1626">
        <v>52</v>
      </c>
      <c r="D1626" t="s">
        <v>10857</v>
      </c>
      <c r="E1626" t="s">
        <v>10858</v>
      </c>
      <c r="G1626" t="s">
        <v>10859</v>
      </c>
      <c r="H1626" t="s">
        <v>10860</v>
      </c>
    </row>
    <row r="1627" spans="1:8">
      <c r="A1627" t="s">
        <v>240</v>
      </c>
      <c r="B1627" t="s">
        <v>187</v>
      </c>
      <c r="C1627">
        <v>52</v>
      </c>
      <c r="D1627" t="s">
        <v>10861</v>
      </c>
      <c r="E1627" t="s">
        <v>10862</v>
      </c>
      <c r="F1627" t="s">
        <v>187</v>
      </c>
      <c r="H1627" t="s">
        <v>10863</v>
      </c>
    </row>
    <row r="1628" spans="1:8">
      <c r="A1628" t="s">
        <v>241</v>
      </c>
      <c r="B1628" t="s">
        <v>187</v>
      </c>
      <c r="C1628">
        <v>52</v>
      </c>
      <c r="D1628" t="s">
        <v>10864</v>
      </c>
      <c r="E1628" t="s">
        <v>10865</v>
      </c>
      <c r="G1628" t="s">
        <v>10866</v>
      </c>
      <c r="H1628" t="s">
        <v>10867</v>
      </c>
    </row>
    <row r="1629" spans="1:8">
      <c r="A1629" t="s">
        <v>241</v>
      </c>
      <c r="B1629" t="s">
        <v>187</v>
      </c>
      <c r="C1629">
        <v>52</v>
      </c>
      <c r="D1629" t="s">
        <v>4127</v>
      </c>
      <c r="E1629" t="s">
        <v>10868</v>
      </c>
      <c r="F1629" t="s">
        <v>187</v>
      </c>
      <c r="H1629" t="s">
        <v>10869</v>
      </c>
    </row>
    <row r="1630" spans="1:8">
      <c r="A1630" t="s">
        <v>241</v>
      </c>
      <c r="B1630" t="s">
        <v>187</v>
      </c>
      <c r="C1630">
        <v>52</v>
      </c>
      <c r="D1630" t="s">
        <v>10870</v>
      </c>
      <c r="E1630" t="s">
        <v>10871</v>
      </c>
      <c r="F1630" t="s">
        <v>187</v>
      </c>
      <c r="G1630" t="s">
        <v>10872</v>
      </c>
      <c r="H1630" t="s">
        <v>10873</v>
      </c>
    </row>
    <row r="1631" spans="1:8">
      <c r="A1631" t="s">
        <v>241</v>
      </c>
      <c r="B1631" t="s">
        <v>187</v>
      </c>
      <c r="C1631">
        <v>52</v>
      </c>
      <c r="D1631" t="s">
        <v>10874</v>
      </c>
      <c r="E1631" t="s">
        <v>10871</v>
      </c>
      <c r="F1631" t="s">
        <v>187</v>
      </c>
      <c r="H1631" t="s">
        <v>10875</v>
      </c>
    </row>
    <row r="1632" spans="1:8">
      <c r="A1632" t="s">
        <v>241</v>
      </c>
      <c r="B1632" t="s">
        <v>187</v>
      </c>
      <c r="C1632">
        <v>52</v>
      </c>
      <c r="D1632" t="s">
        <v>10876</v>
      </c>
      <c r="E1632" t="s">
        <v>10877</v>
      </c>
      <c r="F1632" t="s">
        <v>187</v>
      </c>
      <c r="G1632" t="s">
        <v>10878</v>
      </c>
      <c r="H1632" t="s">
        <v>10879</v>
      </c>
    </row>
    <row r="1633" spans="1:8">
      <c r="A1633" t="s">
        <v>241</v>
      </c>
      <c r="B1633" t="s">
        <v>187</v>
      </c>
      <c r="C1633">
        <v>52</v>
      </c>
      <c r="D1633" t="s">
        <v>10880</v>
      </c>
      <c r="E1633" t="s">
        <v>10881</v>
      </c>
      <c r="F1633" t="s">
        <v>187</v>
      </c>
      <c r="G1633" t="s">
        <v>10882</v>
      </c>
      <c r="H1633" t="s">
        <v>10883</v>
      </c>
    </row>
    <row r="1634" spans="1:8">
      <c r="A1634" t="s">
        <v>241</v>
      </c>
      <c r="B1634" t="s">
        <v>187</v>
      </c>
      <c r="C1634">
        <v>52</v>
      </c>
      <c r="D1634" t="s">
        <v>10884</v>
      </c>
      <c r="E1634" t="s">
        <v>10885</v>
      </c>
      <c r="F1634" t="s">
        <v>187</v>
      </c>
      <c r="H1634" t="s">
        <v>10886</v>
      </c>
    </row>
    <row r="1635" spans="1:8">
      <c r="A1635" t="s">
        <v>240</v>
      </c>
      <c r="B1635" t="s">
        <v>187</v>
      </c>
      <c r="C1635">
        <v>52</v>
      </c>
      <c r="D1635" t="s">
        <v>10887</v>
      </c>
      <c r="E1635" t="s">
        <v>10888</v>
      </c>
      <c r="F1635" t="s">
        <v>187</v>
      </c>
      <c r="G1635" t="s">
        <v>10889</v>
      </c>
      <c r="H1635" t="s">
        <v>10890</v>
      </c>
    </row>
    <row r="1636" spans="1:8">
      <c r="A1636" t="s">
        <v>243</v>
      </c>
      <c r="B1636" t="s">
        <v>128</v>
      </c>
      <c r="C1636">
        <v>53</v>
      </c>
      <c r="D1636" t="s">
        <v>8661</v>
      </c>
      <c r="E1636" t="s">
        <v>8662</v>
      </c>
      <c r="F1636" t="s">
        <v>128</v>
      </c>
      <c r="H1636" t="s">
        <v>8663</v>
      </c>
    </row>
    <row r="1637" spans="1:8">
      <c r="A1637" t="s">
        <v>241</v>
      </c>
      <c r="B1637" t="s">
        <v>128</v>
      </c>
      <c r="C1637">
        <v>53</v>
      </c>
      <c r="D1637" t="s">
        <v>8664</v>
      </c>
      <c r="E1637" t="s">
        <v>8665</v>
      </c>
      <c r="F1637" t="s">
        <v>128</v>
      </c>
      <c r="H1637" t="s">
        <v>8666</v>
      </c>
    </row>
    <row r="1638" spans="1:8">
      <c r="A1638" t="s">
        <v>241</v>
      </c>
      <c r="B1638" t="s">
        <v>128</v>
      </c>
      <c r="C1638">
        <v>53</v>
      </c>
      <c r="D1638" t="s">
        <v>8667</v>
      </c>
      <c r="E1638" t="s">
        <v>8668</v>
      </c>
      <c r="H1638" t="s">
        <v>8669</v>
      </c>
    </row>
    <row r="1639" spans="1:8">
      <c r="A1639" t="s">
        <v>241</v>
      </c>
      <c r="B1639" t="s">
        <v>128</v>
      </c>
      <c r="C1639">
        <v>53</v>
      </c>
      <c r="D1639" t="s">
        <v>8670</v>
      </c>
      <c r="F1639" t="s">
        <v>8671</v>
      </c>
      <c r="H1639" t="s">
        <v>8672</v>
      </c>
    </row>
    <row r="1640" spans="1:8">
      <c r="A1640" t="s">
        <v>241</v>
      </c>
      <c r="B1640" t="s">
        <v>128</v>
      </c>
      <c r="C1640">
        <v>53</v>
      </c>
      <c r="D1640" t="s">
        <v>8673</v>
      </c>
      <c r="E1640" t="s">
        <v>8674</v>
      </c>
      <c r="F1640" t="s">
        <v>128</v>
      </c>
      <c r="H1640" t="s">
        <v>8675</v>
      </c>
    </row>
    <row r="1641" spans="1:8">
      <c r="A1641" t="s">
        <v>242</v>
      </c>
      <c r="B1641" t="s">
        <v>128</v>
      </c>
      <c r="C1641">
        <v>53</v>
      </c>
      <c r="D1641" t="s">
        <v>8676</v>
      </c>
      <c r="E1641" t="s">
        <v>8677</v>
      </c>
      <c r="F1641" t="s">
        <v>128</v>
      </c>
      <c r="H1641" t="s">
        <v>8678</v>
      </c>
    </row>
    <row r="1642" spans="1:8">
      <c r="A1642" t="s">
        <v>241</v>
      </c>
      <c r="B1642" t="s">
        <v>128</v>
      </c>
      <c r="C1642">
        <v>53</v>
      </c>
      <c r="D1642" t="s">
        <v>8679</v>
      </c>
      <c r="E1642" t="s">
        <v>8680</v>
      </c>
      <c r="F1642" t="s">
        <v>128</v>
      </c>
      <c r="G1642" t="s">
        <v>8681</v>
      </c>
      <c r="H1642" t="s">
        <v>8682</v>
      </c>
    </row>
    <row r="1643" spans="1:8">
      <c r="A1643" t="s">
        <v>241</v>
      </c>
      <c r="B1643" t="s">
        <v>128</v>
      </c>
      <c r="C1643">
        <v>53</v>
      </c>
      <c r="D1643" t="s">
        <v>8683</v>
      </c>
      <c r="E1643" t="s">
        <v>8684</v>
      </c>
      <c r="F1643" t="s">
        <v>128</v>
      </c>
      <c r="H1643" t="s">
        <v>8685</v>
      </c>
    </row>
    <row r="1644" spans="1:8">
      <c r="A1644" t="s">
        <v>246</v>
      </c>
      <c r="B1644" t="s">
        <v>128</v>
      </c>
      <c r="C1644">
        <v>53</v>
      </c>
      <c r="D1644" t="s">
        <v>8686</v>
      </c>
      <c r="E1644" t="s">
        <v>8687</v>
      </c>
      <c r="F1644" t="s">
        <v>128</v>
      </c>
      <c r="G1644" t="s">
        <v>8688</v>
      </c>
      <c r="H1644" t="s">
        <v>8689</v>
      </c>
    </row>
    <row r="1645" spans="1:8">
      <c r="A1645" t="s">
        <v>241</v>
      </c>
      <c r="B1645" t="s">
        <v>128</v>
      </c>
      <c r="C1645">
        <v>53</v>
      </c>
      <c r="D1645" t="s">
        <v>8690</v>
      </c>
      <c r="E1645" t="s">
        <v>8691</v>
      </c>
      <c r="F1645" t="s">
        <v>128</v>
      </c>
      <c r="H1645" t="s">
        <v>8692</v>
      </c>
    </row>
    <row r="1646" spans="1:8">
      <c r="A1646" t="s">
        <v>245</v>
      </c>
      <c r="B1646" t="s">
        <v>128</v>
      </c>
      <c r="C1646">
        <v>53</v>
      </c>
      <c r="D1646" t="s">
        <v>8693</v>
      </c>
      <c r="E1646" t="s">
        <v>8694</v>
      </c>
      <c r="F1646" t="s">
        <v>128</v>
      </c>
      <c r="G1646" t="s">
        <v>8695</v>
      </c>
      <c r="H1646" t="s">
        <v>8696</v>
      </c>
    </row>
    <row r="1647" spans="1:8">
      <c r="A1647" t="s">
        <v>242</v>
      </c>
      <c r="B1647" t="s">
        <v>128</v>
      </c>
      <c r="C1647">
        <v>53</v>
      </c>
      <c r="D1647" t="s">
        <v>8697</v>
      </c>
      <c r="F1647" t="s">
        <v>128</v>
      </c>
      <c r="G1647" t="s">
        <v>1382</v>
      </c>
      <c r="H1647" t="s">
        <v>1383</v>
      </c>
    </row>
    <row r="1648" spans="1:8">
      <c r="A1648" t="s">
        <v>242</v>
      </c>
      <c r="B1648" t="s">
        <v>128</v>
      </c>
      <c r="C1648">
        <v>53</v>
      </c>
      <c r="D1648" t="s">
        <v>8698</v>
      </c>
      <c r="E1648" t="s">
        <v>8699</v>
      </c>
      <c r="F1648" t="s">
        <v>128</v>
      </c>
      <c r="G1648" t="s">
        <v>1382</v>
      </c>
      <c r="H1648" t="s">
        <v>1383</v>
      </c>
    </row>
    <row r="1649" spans="1:8">
      <c r="A1649" t="s">
        <v>241</v>
      </c>
      <c r="B1649" t="s">
        <v>128</v>
      </c>
      <c r="C1649">
        <v>53</v>
      </c>
      <c r="D1649" t="s">
        <v>8700</v>
      </c>
      <c r="E1649" t="s">
        <v>8701</v>
      </c>
      <c r="F1649" t="s">
        <v>128</v>
      </c>
      <c r="H1649" t="s">
        <v>8702</v>
      </c>
    </row>
    <row r="1650" spans="1:8">
      <c r="A1650" t="s">
        <v>238</v>
      </c>
      <c r="B1650" t="s">
        <v>128</v>
      </c>
      <c r="C1650">
        <v>53</v>
      </c>
      <c r="D1650" t="s">
        <v>8703</v>
      </c>
      <c r="E1650" t="s">
        <v>8704</v>
      </c>
      <c r="F1650" t="s">
        <v>8705</v>
      </c>
      <c r="G1650" t="s">
        <v>8706</v>
      </c>
      <c r="H1650" t="s">
        <v>8707</v>
      </c>
    </row>
    <row r="1651" spans="1:8">
      <c r="A1651" t="s">
        <v>243</v>
      </c>
      <c r="B1651" t="s">
        <v>128</v>
      </c>
      <c r="C1651">
        <v>53</v>
      </c>
      <c r="D1651" t="s">
        <v>8708</v>
      </c>
      <c r="E1651" t="s">
        <v>8709</v>
      </c>
      <c r="F1651" t="s">
        <v>128</v>
      </c>
      <c r="G1651" t="s">
        <v>8710</v>
      </c>
      <c r="H1651" t="s">
        <v>8711</v>
      </c>
    </row>
    <row r="1652" spans="1:8">
      <c r="A1652" t="s">
        <v>241</v>
      </c>
      <c r="B1652" t="s">
        <v>128</v>
      </c>
      <c r="C1652">
        <v>53</v>
      </c>
      <c r="D1652" t="s">
        <v>8712</v>
      </c>
      <c r="E1652" t="s">
        <v>8713</v>
      </c>
      <c r="F1652" t="s">
        <v>128</v>
      </c>
      <c r="G1652" t="s">
        <v>8714</v>
      </c>
      <c r="H1652" t="s">
        <v>8715</v>
      </c>
    </row>
    <row r="1653" spans="1:8">
      <c r="A1653" t="s">
        <v>241</v>
      </c>
      <c r="B1653" t="s">
        <v>128</v>
      </c>
      <c r="C1653">
        <v>53</v>
      </c>
      <c r="D1653" t="s">
        <v>8716</v>
      </c>
      <c r="E1653" t="s">
        <v>8717</v>
      </c>
      <c r="H1653" t="s">
        <v>8718</v>
      </c>
    </row>
    <row r="1654" spans="1:8">
      <c r="A1654" t="s">
        <v>241</v>
      </c>
      <c r="B1654" t="s">
        <v>128</v>
      </c>
      <c r="C1654">
        <v>53</v>
      </c>
      <c r="D1654" t="s">
        <v>8719</v>
      </c>
      <c r="E1654" t="s">
        <v>8720</v>
      </c>
      <c r="H1654" t="s">
        <v>8721</v>
      </c>
    </row>
    <row r="1655" spans="1:8">
      <c r="A1655" t="s">
        <v>240</v>
      </c>
      <c r="B1655" t="s">
        <v>128</v>
      </c>
      <c r="C1655">
        <v>53</v>
      </c>
      <c r="D1655" t="s">
        <v>8722</v>
      </c>
      <c r="E1655" t="s">
        <v>8723</v>
      </c>
      <c r="F1655" t="s">
        <v>128</v>
      </c>
      <c r="G1655" t="s">
        <v>8724</v>
      </c>
      <c r="H1655" t="s">
        <v>8725</v>
      </c>
    </row>
    <row r="1656" spans="1:8">
      <c r="A1656" t="s">
        <v>243</v>
      </c>
      <c r="B1656" t="s">
        <v>128</v>
      </c>
      <c r="C1656">
        <v>53</v>
      </c>
      <c r="D1656" t="s">
        <v>8726</v>
      </c>
      <c r="E1656" t="s">
        <v>8727</v>
      </c>
      <c r="F1656" t="s">
        <v>128</v>
      </c>
      <c r="G1656" t="s">
        <v>8728</v>
      </c>
      <c r="H1656" t="s">
        <v>8729</v>
      </c>
    </row>
    <row r="1657" spans="1:8">
      <c r="A1657" t="s">
        <v>246</v>
      </c>
      <c r="B1657" t="s">
        <v>128</v>
      </c>
      <c r="C1657">
        <v>53</v>
      </c>
      <c r="D1657" t="s">
        <v>8730</v>
      </c>
      <c r="E1657" t="s">
        <v>8731</v>
      </c>
      <c r="F1657" t="s">
        <v>128</v>
      </c>
      <c r="H1657" t="s">
        <v>8732</v>
      </c>
    </row>
    <row r="1658" spans="1:8">
      <c r="A1658" t="s">
        <v>241</v>
      </c>
      <c r="B1658" t="s">
        <v>128</v>
      </c>
      <c r="C1658">
        <v>53</v>
      </c>
      <c r="D1658" t="s">
        <v>8733</v>
      </c>
      <c r="E1658" t="s">
        <v>8734</v>
      </c>
      <c r="G1658" t="s">
        <v>8735</v>
      </c>
      <c r="H1658" t="s">
        <v>8736</v>
      </c>
    </row>
    <row r="1659" spans="1:8">
      <c r="A1659" t="s">
        <v>241</v>
      </c>
      <c r="B1659" t="s">
        <v>128</v>
      </c>
      <c r="C1659">
        <v>53</v>
      </c>
      <c r="D1659" t="s">
        <v>8737</v>
      </c>
      <c r="E1659" t="s">
        <v>8738</v>
      </c>
      <c r="F1659" t="s">
        <v>128</v>
      </c>
      <c r="G1659" t="s">
        <v>8739</v>
      </c>
      <c r="H1659" t="s">
        <v>8740</v>
      </c>
    </row>
    <row r="1660" spans="1:8">
      <c r="A1660" t="s">
        <v>241</v>
      </c>
      <c r="B1660" t="s">
        <v>128</v>
      </c>
      <c r="C1660">
        <v>53</v>
      </c>
      <c r="D1660" t="s">
        <v>8741</v>
      </c>
      <c r="E1660" t="s">
        <v>8742</v>
      </c>
      <c r="F1660" t="s">
        <v>128</v>
      </c>
      <c r="G1660" t="s">
        <v>8743</v>
      </c>
      <c r="H1660" t="s">
        <v>8744</v>
      </c>
    </row>
    <row r="1661" spans="1:8">
      <c r="A1661" t="s">
        <v>241</v>
      </c>
      <c r="B1661" t="s">
        <v>128</v>
      </c>
      <c r="C1661">
        <v>53</v>
      </c>
      <c r="D1661" t="s">
        <v>8745</v>
      </c>
      <c r="E1661" t="s">
        <v>8746</v>
      </c>
      <c r="H1661" t="s">
        <v>8711</v>
      </c>
    </row>
    <row r="1662" spans="1:8">
      <c r="A1662" t="s">
        <v>241</v>
      </c>
      <c r="B1662" t="s">
        <v>128</v>
      </c>
      <c r="C1662">
        <v>53</v>
      </c>
      <c r="D1662" t="s">
        <v>8747</v>
      </c>
      <c r="E1662" t="s">
        <v>8748</v>
      </c>
      <c r="G1662" t="s">
        <v>8749</v>
      </c>
      <c r="H1662" t="s">
        <v>8750</v>
      </c>
    </row>
    <row r="1663" spans="1:8">
      <c r="A1663" t="s">
        <v>241</v>
      </c>
      <c r="B1663" t="s">
        <v>128</v>
      </c>
      <c r="C1663">
        <v>53</v>
      </c>
      <c r="D1663" t="s">
        <v>4390</v>
      </c>
      <c r="E1663" t="s">
        <v>8751</v>
      </c>
      <c r="G1663" t="s">
        <v>8752</v>
      </c>
      <c r="H1663" t="s">
        <v>8753</v>
      </c>
    </row>
    <row r="1664" spans="1:8">
      <c r="A1664" t="s">
        <v>241</v>
      </c>
      <c r="B1664" t="s">
        <v>128</v>
      </c>
      <c r="C1664">
        <v>53</v>
      </c>
      <c r="D1664" t="s">
        <v>8754</v>
      </c>
      <c r="E1664" t="s">
        <v>8755</v>
      </c>
      <c r="F1664" t="s">
        <v>128</v>
      </c>
      <c r="H1664" t="s">
        <v>8756</v>
      </c>
    </row>
    <row r="1665" spans="1:8">
      <c r="A1665" t="s">
        <v>241</v>
      </c>
      <c r="B1665" t="s">
        <v>128</v>
      </c>
      <c r="C1665">
        <v>53</v>
      </c>
      <c r="D1665" t="s">
        <v>8757</v>
      </c>
      <c r="E1665" t="s">
        <v>8758</v>
      </c>
      <c r="F1665" t="s">
        <v>128</v>
      </c>
      <c r="H1665" t="s">
        <v>8759</v>
      </c>
    </row>
    <row r="1666" spans="1:8">
      <c r="A1666" t="s">
        <v>241</v>
      </c>
      <c r="B1666" t="s">
        <v>128</v>
      </c>
      <c r="C1666">
        <v>53</v>
      </c>
      <c r="D1666" t="s">
        <v>8760</v>
      </c>
      <c r="E1666" t="s">
        <v>8761</v>
      </c>
      <c r="F1666" t="s">
        <v>128</v>
      </c>
      <c r="G1666" t="s">
        <v>8762</v>
      </c>
      <c r="H1666" t="s">
        <v>8763</v>
      </c>
    </row>
    <row r="1667" spans="1:8">
      <c r="A1667" t="s">
        <v>241</v>
      </c>
      <c r="B1667" t="s">
        <v>128</v>
      </c>
      <c r="C1667">
        <v>53</v>
      </c>
      <c r="D1667" t="s">
        <v>8764</v>
      </c>
      <c r="E1667" t="s">
        <v>8765</v>
      </c>
      <c r="F1667" t="s">
        <v>128</v>
      </c>
      <c r="H1667" t="s">
        <v>8766</v>
      </c>
    </row>
    <row r="1668" spans="1:8">
      <c r="A1668" t="s">
        <v>241</v>
      </c>
      <c r="B1668" t="s">
        <v>128</v>
      </c>
      <c r="C1668">
        <v>53</v>
      </c>
      <c r="D1668" t="s">
        <v>8767</v>
      </c>
      <c r="E1668" t="s">
        <v>8768</v>
      </c>
      <c r="F1668" t="s">
        <v>128</v>
      </c>
      <c r="H1668" t="s">
        <v>8769</v>
      </c>
    </row>
    <row r="1669" spans="1:8">
      <c r="A1669" t="s">
        <v>241</v>
      </c>
      <c r="B1669" t="s">
        <v>128</v>
      </c>
      <c r="C1669">
        <v>53</v>
      </c>
      <c r="D1669" t="s">
        <v>8770</v>
      </c>
      <c r="E1669" t="s">
        <v>8771</v>
      </c>
      <c r="F1669" t="s">
        <v>128</v>
      </c>
      <c r="H1669" t="s">
        <v>8772</v>
      </c>
    </row>
    <row r="1670" spans="1:8">
      <c r="A1670" t="s">
        <v>242</v>
      </c>
      <c r="B1670" t="s">
        <v>128</v>
      </c>
      <c r="C1670">
        <v>53</v>
      </c>
      <c r="D1670" t="s">
        <v>8773</v>
      </c>
      <c r="E1670" t="s">
        <v>8774</v>
      </c>
    </row>
    <row r="1671" spans="1:8">
      <c r="A1671" t="s">
        <v>238</v>
      </c>
      <c r="B1671" t="s">
        <v>128</v>
      </c>
      <c r="C1671">
        <v>53</v>
      </c>
      <c r="D1671" t="s">
        <v>8775</v>
      </c>
      <c r="E1671" t="s">
        <v>8776</v>
      </c>
      <c r="F1671" t="s">
        <v>128</v>
      </c>
      <c r="G1671" t="s">
        <v>8777</v>
      </c>
      <c r="H1671" t="s">
        <v>8778</v>
      </c>
    </row>
    <row r="1672" spans="1:8">
      <c r="A1672" t="s">
        <v>238</v>
      </c>
      <c r="B1672" t="s">
        <v>128</v>
      </c>
      <c r="C1672">
        <v>53</v>
      </c>
      <c r="D1672" t="s">
        <v>8779</v>
      </c>
      <c r="E1672" t="s">
        <v>8780</v>
      </c>
      <c r="F1672" t="s">
        <v>128</v>
      </c>
      <c r="G1672" t="s">
        <v>8781</v>
      </c>
      <c r="H1672" t="s">
        <v>8782</v>
      </c>
    </row>
    <row r="1673" spans="1:8">
      <c r="A1673" t="s">
        <v>240</v>
      </c>
      <c r="B1673" t="s">
        <v>128</v>
      </c>
      <c r="C1673">
        <v>53</v>
      </c>
      <c r="D1673" t="s">
        <v>8783</v>
      </c>
      <c r="E1673" t="s">
        <v>8784</v>
      </c>
      <c r="F1673" t="s">
        <v>128</v>
      </c>
    </row>
    <row r="1674" spans="1:8">
      <c r="A1674" t="s">
        <v>240</v>
      </c>
      <c r="B1674" t="s">
        <v>128</v>
      </c>
      <c r="C1674">
        <v>53</v>
      </c>
      <c r="D1674" t="s">
        <v>8785</v>
      </c>
      <c r="E1674" t="s">
        <v>8786</v>
      </c>
      <c r="F1674" t="s">
        <v>128</v>
      </c>
      <c r="G1674" t="s">
        <v>8787</v>
      </c>
      <c r="H1674" t="s">
        <v>8788</v>
      </c>
    </row>
    <row r="1675" spans="1:8">
      <c r="A1675" t="s">
        <v>240</v>
      </c>
      <c r="B1675" t="s">
        <v>128</v>
      </c>
      <c r="C1675">
        <v>53</v>
      </c>
      <c r="D1675" t="s">
        <v>8789</v>
      </c>
      <c r="E1675" t="s">
        <v>8790</v>
      </c>
      <c r="F1675" t="s">
        <v>128</v>
      </c>
      <c r="G1675" t="s">
        <v>8791</v>
      </c>
      <c r="H1675" t="s">
        <v>8792</v>
      </c>
    </row>
    <row r="1676" spans="1:8">
      <c r="A1676" t="s">
        <v>240</v>
      </c>
      <c r="B1676" t="s">
        <v>128</v>
      </c>
      <c r="C1676">
        <v>53</v>
      </c>
      <c r="D1676" t="s">
        <v>8793</v>
      </c>
      <c r="E1676" t="s">
        <v>8794</v>
      </c>
      <c r="F1676" t="s">
        <v>128</v>
      </c>
      <c r="G1676" t="s">
        <v>8795</v>
      </c>
      <c r="H1676" t="s">
        <v>8796</v>
      </c>
    </row>
    <row r="1677" spans="1:8">
      <c r="A1677" t="s">
        <v>240</v>
      </c>
      <c r="B1677" t="s">
        <v>128</v>
      </c>
      <c r="C1677">
        <v>53</v>
      </c>
      <c r="D1677" t="s">
        <v>8797</v>
      </c>
      <c r="E1677" t="s">
        <v>8798</v>
      </c>
      <c r="F1677" t="s">
        <v>128</v>
      </c>
    </row>
    <row r="1678" spans="1:8">
      <c r="A1678" t="s">
        <v>245</v>
      </c>
      <c r="B1678" t="s">
        <v>128</v>
      </c>
      <c r="C1678">
        <v>53</v>
      </c>
      <c r="D1678" t="s">
        <v>8799</v>
      </c>
      <c r="E1678" t="s">
        <v>8800</v>
      </c>
      <c r="F1678" t="s">
        <v>128</v>
      </c>
      <c r="G1678" t="s">
        <v>8801</v>
      </c>
      <c r="H1678" t="s">
        <v>8802</v>
      </c>
    </row>
    <row r="1679" spans="1:8">
      <c r="A1679" t="s">
        <v>242</v>
      </c>
      <c r="B1679" t="s">
        <v>128</v>
      </c>
      <c r="C1679">
        <v>53</v>
      </c>
      <c r="D1679" t="s">
        <v>8803</v>
      </c>
      <c r="E1679" t="s">
        <v>8804</v>
      </c>
      <c r="F1679" t="s">
        <v>128</v>
      </c>
      <c r="H1679" t="s">
        <v>8805</v>
      </c>
    </row>
    <row r="1680" spans="1:8">
      <c r="A1680" t="s">
        <v>242</v>
      </c>
      <c r="B1680" t="s">
        <v>128</v>
      </c>
      <c r="C1680">
        <v>53</v>
      </c>
      <c r="D1680" t="s">
        <v>8806</v>
      </c>
      <c r="E1680" t="s">
        <v>8807</v>
      </c>
      <c r="F1680" t="s">
        <v>128</v>
      </c>
      <c r="G1680" t="s">
        <v>8739</v>
      </c>
      <c r="H1680" t="s">
        <v>8740</v>
      </c>
    </row>
    <row r="1681" spans="1:8">
      <c r="A1681" t="s">
        <v>241</v>
      </c>
      <c r="B1681" t="s">
        <v>128</v>
      </c>
      <c r="C1681">
        <v>53</v>
      </c>
      <c r="D1681" t="s">
        <v>8808</v>
      </c>
      <c r="E1681" t="s">
        <v>8809</v>
      </c>
      <c r="F1681" t="s">
        <v>128</v>
      </c>
      <c r="H1681" t="s">
        <v>8810</v>
      </c>
    </row>
    <row r="1682" spans="1:8">
      <c r="A1682" t="s">
        <v>241</v>
      </c>
      <c r="B1682" t="s">
        <v>128</v>
      </c>
      <c r="C1682">
        <v>53</v>
      </c>
      <c r="D1682" t="s">
        <v>8811</v>
      </c>
      <c r="E1682" t="s">
        <v>8812</v>
      </c>
      <c r="F1682" t="s">
        <v>128</v>
      </c>
      <c r="H1682" t="s">
        <v>8813</v>
      </c>
    </row>
    <row r="1683" spans="1:8">
      <c r="A1683" t="s">
        <v>241</v>
      </c>
      <c r="B1683" t="s">
        <v>128</v>
      </c>
      <c r="C1683">
        <v>53</v>
      </c>
      <c r="D1683" t="s">
        <v>8814</v>
      </c>
      <c r="E1683" t="s">
        <v>8815</v>
      </c>
      <c r="H1683" t="s">
        <v>8816</v>
      </c>
    </row>
    <row r="1684" spans="1:8">
      <c r="A1684" t="s">
        <v>240</v>
      </c>
      <c r="B1684" t="s">
        <v>128</v>
      </c>
      <c r="C1684">
        <v>53</v>
      </c>
      <c r="D1684" t="s">
        <v>8817</v>
      </c>
      <c r="E1684" t="s">
        <v>8818</v>
      </c>
      <c r="F1684" t="s">
        <v>128</v>
      </c>
      <c r="G1684" t="s">
        <v>8819</v>
      </c>
      <c r="H1684" t="s">
        <v>8820</v>
      </c>
    </row>
    <row r="1685" spans="1:8">
      <c r="A1685" t="s">
        <v>238</v>
      </c>
      <c r="B1685" t="s">
        <v>224</v>
      </c>
      <c r="C1685">
        <v>53</v>
      </c>
      <c r="D1685" t="s">
        <v>11796</v>
      </c>
      <c r="E1685" t="s">
        <v>11797</v>
      </c>
      <c r="F1685" t="s">
        <v>224</v>
      </c>
      <c r="G1685" t="s">
        <v>11798</v>
      </c>
      <c r="H1685" t="s">
        <v>11799</v>
      </c>
    </row>
    <row r="1686" spans="1:8">
      <c r="A1686" t="s">
        <v>241</v>
      </c>
      <c r="B1686" t="s">
        <v>224</v>
      </c>
      <c r="C1686">
        <v>53</v>
      </c>
      <c r="D1686" t="s">
        <v>11800</v>
      </c>
      <c r="E1686" t="s">
        <v>11801</v>
      </c>
      <c r="H1686" t="s">
        <v>11802</v>
      </c>
    </row>
    <row r="1687" spans="1:8">
      <c r="A1687" t="s">
        <v>241</v>
      </c>
      <c r="B1687" t="s">
        <v>224</v>
      </c>
      <c r="C1687">
        <v>53</v>
      </c>
      <c r="D1687" t="s">
        <v>11803</v>
      </c>
      <c r="E1687" t="s">
        <v>11804</v>
      </c>
      <c r="H1687" t="s">
        <v>11805</v>
      </c>
    </row>
    <row r="1688" spans="1:8">
      <c r="A1688" t="s">
        <v>242</v>
      </c>
      <c r="B1688" t="s">
        <v>224</v>
      </c>
      <c r="C1688">
        <v>53</v>
      </c>
      <c r="D1688" t="s">
        <v>11806</v>
      </c>
      <c r="E1688" t="s">
        <v>11807</v>
      </c>
      <c r="F1688" t="s">
        <v>11808</v>
      </c>
      <c r="H1688" t="s">
        <v>11809</v>
      </c>
    </row>
    <row r="1689" spans="1:8">
      <c r="A1689" t="s">
        <v>242</v>
      </c>
      <c r="B1689" t="s">
        <v>224</v>
      </c>
      <c r="C1689">
        <v>53</v>
      </c>
      <c r="D1689" t="s">
        <v>11810</v>
      </c>
      <c r="E1689" t="s">
        <v>11811</v>
      </c>
      <c r="F1689" t="s">
        <v>224</v>
      </c>
      <c r="G1689" t="s">
        <v>11812</v>
      </c>
      <c r="H1689" t="s">
        <v>11809</v>
      </c>
    </row>
    <row r="1690" spans="1:8">
      <c r="A1690" t="s">
        <v>243</v>
      </c>
      <c r="B1690" t="s">
        <v>224</v>
      </c>
      <c r="C1690">
        <v>53</v>
      </c>
      <c r="D1690" t="s">
        <v>11813</v>
      </c>
      <c r="E1690" t="s">
        <v>11814</v>
      </c>
      <c r="F1690" t="s">
        <v>224</v>
      </c>
      <c r="G1690" t="s">
        <v>11815</v>
      </c>
      <c r="H1690" t="s">
        <v>11816</v>
      </c>
    </row>
    <row r="1691" spans="1:8">
      <c r="A1691" t="s">
        <v>242</v>
      </c>
      <c r="B1691" t="s">
        <v>224</v>
      </c>
      <c r="C1691">
        <v>53</v>
      </c>
      <c r="D1691" t="s">
        <v>11817</v>
      </c>
      <c r="E1691" t="s">
        <v>11818</v>
      </c>
      <c r="F1691" t="s">
        <v>224</v>
      </c>
      <c r="G1691" t="s">
        <v>11819</v>
      </c>
      <c r="H1691" t="s">
        <v>11820</v>
      </c>
    </row>
    <row r="1692" spans="1:8">
      <c r="A1692" t="s">
        <v>242</v>
      </c>
      <c r="B1692" t="s">
        <v>224</v>
      </c>
      <c r="C1692">
        <v>53</v>
      </c>
      <c r="D1692" t="s">
        <v>11821</v>
      </c>
      <c r="E1692" t="s">
        <v>11822</v>
      </c>
      <c r="F1692" t="s">
        <v>224</v>
      </c>
      <c r="G1692" t="s">
        <v>11823</v>
      </c>
      <c r="H1692" t="s">
        <v>11824</v>
      </c>
    </row>
    <row r="1693" spans="1:8">
      <c r="A1693" t="s">
        <v>241</v>
      </c>
      <c r="B1693" t="s">
        <v>224</v>
      </c>
      <c r="C1693">
        <v>53</v>
      </c>
      <c r="D1693" t="s">
        <v>11825</v>
      </c>
      <c r="E1693" t="s">
        <v>11826</v>
      </c>
      <c r="H1693" t="s">
        <v>11827</v>
      </c>
    </row>
    <row r="1694" spans="1:8">
      <c r="A1694" t="s">
        <v>242</v>
      </c>
      <c r="B1694" t="s">
        <v>224</v>
      </c>
      <c r="C1694">
        <v>53</v>
      </c>
      <c r="D1694" t="s">
        <v>11828</v>
      </c>
      <c r="E1694" t="s">
        <v>11829</v>
      </c>
      <c r="H1694" t="s">
        <v>11830</v>
      </c>
    </row>
    <row r="1695" spans="1:8">
      <c r="A1695" t="s">
        <v>242</v>
      </c>
      <c r="B1695" t="s">
        <v>143</v>
      </c>
      <c r="C1695">
        <v>53</v>
      </c>
      <c r="D1695" t="s">
        <v>13102</v>
      </c>
      <c r="E1695" t="s">
        <v>13103</v>
      </c>
      <c r="F1695" t="s">
        <v>143</v>
      </c>
      <c r="H1695" t="s">
        <v>13104</v>
      </c>
    </row>
    <row r="1696" spans="1:8">
      <c r="A1696" t="s">
        <v>242</v>
      </c>
      <c r="B1696" t="s">
        <v>143</v>
      </c>
      <c r="C1696">
        <v>53</v>
      </c>
      <c r="D1696" t="s">
        <v>13105</v>
      </c>
      <c r="E1696" t="s">
        <v>13106</v>
      </c>
      <c r="F1696" t="s">
        <v>143</v>
      </c>
      <c r="G1696" t="s">
        <v>13107</v>
      </c>
      <c r="H1696" t="s">
        <v>13108</v>
      </c>
    </row>
    <row r="1697" spans="1:8">
      <c r="A1697" t="s">
        <v>241</v>
      </c>
      <c r="B1697" t="s">
        <v>143</v>
      </c>
      <c r="C1697">
        <v>53</v>
      </c>
      <c r="D1697" t="s">
        <v>13109</v>
      </c>
      <c r="E1697" t="s">
        <v>13110</v>
      </c>
      <c r="F1697" t="s">
        <v>143</v>
      </c>
    </row>
    <row r="1698" spans="1:8">
      <c r="A1698" t="s">
        <v>241</v>
      </c>
      <c r="B1698" t="s">
        <v>143</v>
      </c>
      <c r="C1698">
        <v>53</v>
      </c>
      <c r="D1698" t="s">
        <v>13111</v>
      </c>
      <c r="E1698" t="s">
        <v>13112</v>
      </c>
      <c r="F1698" t="s">
        <v>143</v>
      </c>
      <c r="G1698" t="s">
        <v>13113</v>
      </c>
      <c r="H1698" t="s">
        <v>13114</v>
      </c>
    </row>
    <row r="1699" spans="1:8">
      <c r="A1699" t="s">
        <v>242</v>
      </c>
      <c r="B1699" t="s">
        <v>143</v>
      </c>
      <c r="C1699">
        <v>53</v>
      </c>
      <c r="D1699" t="s">
        <v>13115</v>
      </c>
      <c r="E1699" t="s">
        <v>13116</v>
      </c>
      <c r="F1699" t="s">
        <v>143</v>
      </c>
    </row>
    <row r="1700" spans="1:8">
      <c r="A1700" t="s">
        <v>241</v>
      </c>
      <c r="B1700" t="s">
        <v>143</v>
      </c>
      <c r="C1700">
        <v>53</v>
      </c>
      <c r="D1700" t="s">
        <v>13117</v>
      </c>
      <c r="E1700" t="s">
        <v>13118</v>
      </c>
      <c r="F1700" t="s">
        <v>13119</v>
      </c>
    </row>
    <row r="1701" spans="1:8">
      <c r="A1701" t="s">
        <v>242</v>
      </c>
      <c r="B1701" t="s">
        <v>188</v>
      </c>
      <c r="C1701">
        <v>54</v>
      </c>
      <c r="D1701" t="s">
        <v>11633</v>
      </c>
    </row>
    <row r="1702" spans="1:8">
      <c r="A1702" t="s">
        <v>241</v>
      </c>
      <c r="B1702" t="s">
        <v>188</v>
      </c>
      <c r="C1702">
        <v>54</v>
      </c>
      <c r="D1702" t="s">
        <v>11634</v>
      </c>
      <c r="E1702" t="s">
        <v>11635</v>
      </c>
      <c r="F1702" t="s">
        <v>188</v>
      </c>
      <c r="G1702" t="s">
        <v>11636</v>
      </c>
      <c r="H1702" t="s">
        <v>11637</v>
      </c>
    </row>
    <row r="1703" spans="1:8">
      <c r="A1703" t="s">
        <v>242</v>
      </c>
      <c r="B1703" t="s">
        <v>188</v>
      </c>
      <c r="C1703">
        <v>54</v>
      </c>
      <c r="D1703" t="s">
        <v>11638</v>
      </c>
      <c r="E1703" t="s">
        <v>11639</v>
      </c>
      <c r="F1703" t="s">
        <v>11640</v>
      </c>
      <c r="H1703" t="s">
        <v>11641</v>
      </c>
    </row>
    <row r="1704" spans="1:8">
      <c r="A1704" t="s">
        <v>241</v>
      </c>
      <c r="B1704" t="s">
        <v>188</v>
      </c>
      <c r="C1704">
        <v>54</v>
      </c>
      <c r="D1704" t="s">
        <v>11642</v>
      </c>
      <c r="E1704" t="s">
        <v>11643</v>
      </c>
      <c r="G1704" t="s">
        <v>11644</v>
      </c>
      <c r="H1704" t="s">
        <v>11645</v>
      </c>
    </row>
    <row r="1705" spans="1:8">
      <c r="A1705" t="s">
        <v>239</v>
      </c>
      <c r="B1705" t="s">
        <v>188</v>
      </c>
      <c r="C1705">
        <v>54</v>
      </c>
      <c r="D1705" t="s">
        <v>11646</v>
      </c>
      <c r="E1705" t="s">
        <v>11647</v>
      </c>
      <c r="H1705" t="s">
        <v>11648</v>
      </c>
    </row>
    <row r="1706" spans="1:8">
      <c r="A1706" t="s">
        <v>239</v>
      </c>
      <c r="B1706" t="s">
        <v>188</v>
      </c>
      <c r="C1706">
        <v>54</v>
      </c>
      <c r="D1706" t="s">
        <v>11649</v>
      </c>
      <c r="E1706" t="s">
        <v>11650</v>
      </c>
      <c r="H1706" t="s">
        <v>11651</v>
      </c>
    </row>
    <row r="1707" spans="1:8">
      <c r="A1707" t="s">
        <v>241</v>
      </c>
      <c r="B1707" t="s">
        <v>188</v>
      </c>
      <c r="C1707">
        <v>54</v>
      </c>
      <c r="D1707" t="s">
        <v>11652</v>
      </c>
      <c r="E1707" t="s">
        <v>11653</v>
      </c>
      <c r="G1707" t="s">
        <v>11654</v>
      </c>
      <c r="H1707" t="s">
        <v>11655</v>
      </c>
    </row>
    <row r="1708" spans="1:8">
      <c r="A1708" t="s">
        <v>243</v>
      </c>
      <c r="B1708" t="s">
        <v>188</v>
      </c>
      <c r="C1708">
        <v>54</v>
      </c>
      <c r="D1708" t="s">
        <v>11656</v>
      </c>
      <c r="F1708" t="s">
        <v>11657</v>
      </c>
      <c r="H1708" t="s">
        <v>11658</v>
      </c>
    </row>
    <row r="1709" spans="1:8">
      <c r="A1709" t="s">
        <v>239</v>
      </c>
      <c r="B1709" t="s">
        <v>188</v>
      </c>
      <c r="C1709">
        <v>54</v>
      </c>
      <c r="D1709" t="s">
        <v>11659</v>
      </c>
      <c r="E1709" t="s">
        <v>11660</v>
      </c>
      <c r="H1709" t="s">
        <v>11661</v>
      </c>
    </row>
    <row r="1710" spans="1:8">
      <c r="A1710" t="s">
        <v>241</v>
      </c>
      <c r="B1710" t="s">
        <v>188</v>
      </c>
      <c r="C1710">
        <v>54</v>
      </c>
      <c r="D1710" t="s">
        <v>11662</v>
      </c>
      <c r="E1710" t="s">
        <v>11663</v>
      </c>
      <c r="F1710" t="s">
        <v>11664</v>
      </c>
      <c r="H1710" t="s">
        <v>11665</v>
      </c>
    </row>
    <row r="1711" spans="1:8">
      <c r="A1711" t="s">
        <v>242</v>
      </c>
      <c r="B1711" t="s">
        <v>188</v>
      </c>
      <c r="C1711">
        <v>54</v>
      </c>
      <c r="D1711" t="s">
        <v>7387</v>
      </c>
      <c r="E1711" t="s">
        <v>11666</v>
      </c>
      <c r="F1711" t="s">
        <v>188</v>
      </c>
      <c r="G1711" t="s">
        <v>11667</v>
      </c>
      <c r="H1711" t="s">
        <v>11668</v>
      </c>
    </row>
    <row r="1712" spans="1:8">
      <c r="A1712" t="s">
        <v>242</v>
      </c>
      <c r="B1712" t="s">
        <v>188</v>
      </c>
      <c r="C1712">
        <v>54</v>
      </c>
      <c r="D1712" t="s">
        <v>7913</v>
      </c>
      <c r="E1712" t="s">
        <v>11669</v>
      </c>
      <c r="F1712" t="s">
        <v>188</v>
      </c>
    </row>
    <row r="1713" spans="1:8">
      <c r="A1713" t="s">
        <v>242</v>
      </c>
      <c r="B1713" t="s">
        <v>188</v>
      </c>
      <c r="C1713">
        <v>54</v>
      </c>
      <c r="D1713" t="s">
        <v>11670</v>
      </c>
      <c r="E1713" t="s">
        <v>11671</v>
      </c>
      <c r="F1713" t="s">
        <v>188</v>
      </c>
      <c r="G1713" t="s">
        <v>11672</v>
      </c>
      <c r="H1713" t="s">
        <v>11673</v>
      </c>
    </row>
    <row r="1714" spans="1:8">
      <c r="A1714" t="s">
        <v>240</v>
      </c>
      <c r="B1714" t="s">
        <v>188</v>
      </c>
      <c r="C1714">
        <v>54</v>
      </c>
      <c r="D1714" t="s">
        <v>11674</v>
      </c>
      <c r="E1714" t="s">
        <v>11675</v>
      </c>
      <c r="F1714" t="s">
        <v>188</v>
      </c>
      <c r="G1714" t="s">
        <v>11676</v>
      </c>
      <c r="H1714" t="s">
        <v>11677</v>
      </c>
    </row>
    <row r="1715" spans="1:8">
      <c r="A1715" t="s">
        <v>240</v>
      </c>
      <c r="B1715" t="s">
        <v>188</v>
      </c>
      <c r="C1715">
        <v>54</v>
      </c>
      <c r="D1715" t="s">
        <v>11678</v>
      </c>
      <c r="E1715" t="s">
        <v>11679</v>
      </c>
      <c r="F1715" t="s">
        <v>188</v>
      </c>
      <c r="G1715" t="s">
        <v>11680</v>
      </c>
      <c r="H1715" t="s">
        <v>11681</v>
      </c>
    </row>
    <row r="1716" spans="1:8">
      <c r="A1716" t="s">
        <v>240</v>
      </c>
      <c r="B1716" t="s">
        <v>188</v>
      </c>
      <c r="C1716">
        <v>54</v>
      </c>
      <c r="D1716" t="s">
        <v>11682</v>
      </c>
      <c r="E1716" t="s">
        <v>11683</v>
      </c>
      <c r="F1716" t="s">
        <v>188</v>
      </c>
      <c r="G1716" t="s">
        <v>11684</v>
      </c>
      <c r="H1716" t="s">
        <v>11685</v>
      </c>
    </row>
    <row r="1717" spans="1:8">
      <c r="A1717" t="s">
        <v>243</v>
      </c>
      <c r="B1717" t="s">
        <v>188</v>
      </c>
      <c r="C1717">
        <v>54</v>
      </c>
      <c r="D1717" t="s">
        <v>11686</v>
      </c>
      <c r="E1717" t="s">
        <v>11687</v>
      </c>
      <c r="H1717" t="s">
        <v>11688</v>
      </c>
    </row>
    <row r="1718" spans="1:8">
      <c r="A1718" t="s">
        <v>243</v>
      </c>
      <c r="B1718" t="s">
        <v>188</v>
      </c>
      <c r="C1718">
        <v>54</v>
      </c>
      <c r="D1718" t="s">
        <v>11689</v>
      </c>
      <c r="E1718" t="s">
        <v>11690</v>
      </c>
      <c r="G1718" t="s">
        <v>11691</v>
      </c>
      <c r="H1718" t="s">
        <v>11692</v>
      </c>
    </row>
    <row r="1719" spans="1:8">
      <c r="A1719" t="s">
        <v>241</v>
      </c>
      <c r="B1719" t="s">
        <v>188</v>
      </c>
      <c r="C1719">
        <v>54</v>
      </c>
      <c r="D1719" t="s">
        <v>11693</v>
      </c>
      <c r="E1719" t="s">
        <v>11694</v>
      </c>
      <c r="G1719" t="s">
        <v>11695</v>
      </c>
      <c r="H1719" t="s">
        <v>11696</v>
      </c>
    </row>
    <row r="1720" spans="1:8">
      <c r="A1720" t="s">
        <v>241</v>
      </c>
      <c r="B1720" t="s">
        <v>188</v>
      </c>
      <c r="C1720">
        <v>54</v>
      </c>
      <c r="D1720" t="s">
        <v>4370</v>
      </c>
      <c r="E1720" t="s">
        <v>11697</v>
      </c>
      <c r="G1720" t="s">
        <v>11698</v>
      </c>
      <c r="H1720" t="s">
        <v>11699</v>
      </c>
    </row>
    <row r="1721" spans="1:8">
      <c r="A1721" t="s">
        <v>241</v>
      </c>
      <c r="B1721" t="s">
        <v>188</v>
      </c>
      <c r="C1721">
        <v>54</v>
      </c>
      <c r="D1721" t="s">
        <v>11700</v>
      </c>
      <c r="E1721" t="s">
        <v>11701</v>
      </c>
      <c r="F1721" t="s">
        <v>188</v>
      </c>
      <c r="H1721" t="s">
        <v>11702</v>
      </c>
    </row>
    <row r="1722" spans="1:8">
      <c r="A1722" t="s">
        <v>241</v>
      </c>
      <c r="B1722" t="s">
        <v>188</v>
      </c>
      <c r="C1722">
        <v>54</v>
      </c>
      <c r="D1722" t="s">
        <v>11703</v>
      </c>
      <c r="E1722" t="s">
        <v>11704</v>
      </c>
      <c r="G1722" t="s">
        <v>11705</v>
      </c>
      <c r="H1722" t="s">
        <v>11706</v>
      </c>
    </row>
    <row r="1723" spans="1:8">
      <c r="A1723" t="s">
        <v>242</v>
      </c>
      <c r="B1723" t="s">
        <v>188</v>
      </c>
      <c r="C1723">
        <v>54</v>
      </c>
      <c r="D1723" t="s">
        <v>11707</v>
      </c>
      <c r="F1723" t="s">
        <v>11708</v>
      </c>
    </row>
    <row r="1724" spans="1:8">
      <c r="A1724" t="s">
        <v>243</v>
      </c>
      <c r="B1724" t="s">
        <v>188</v>
      </c>
      <c r="C1724">
        <v>54</v>
      </c>
      <c r="D1724" t="s">
        <v>11709</v>
      </c>
      <c r="E1724" t="s">
        <v>11710</v>
      </c>
      <c r="H1724" t="s">
        <v>11711</v>
      </c>
    </row>
    <row r="1725" spans="1:8">
      <c r="A1725" t="s">
        <v>241</v>
      </c>
      <c r="B1725" t="s">
        <v>188</v>
      </c>
      <c r="C1725">
        <v>54</v>
      </c>
      <c r="D1725" t="s">
        <v>11712</v>
      </c>
      <c r="E1725" t="s">
        <v>11713</v>
      </c>
      <c r="F1725" t="s">
        <v>11714</v>
      </c>
      <c r="G1725" t="s">
        <v>11715</v>
      </c>
      <c r="H1725" t="s">
        <v>11716</v>
      </c>
    </row>
    <row r="1726" spans="1:8">
      <c r="A1726" t="s">
        <v>244</v>
      </c>
      <c r="B1726" t="s">
        <v>188</v>
      </c>
      <c r="C1726">
        <v>54</v>
      </c>
      <c r="D1726" t="s">
        <v>11717</v>
      </c>
      <c r="F1726" t="s">
        <v>11718</v>
      </c>
      <c r="H1726" t="s">
        <v>11719</v>
      </c>
    </row>
    <row r="1727" spans="1:8">
      <c r="A1727" t="s">
        <v>242</v>
      </c>
      <c r="B1727" t="s">
        <v>188</v>
      </c>
      <c r="C1727">
        <v>54</v>
      </c>
      <c r="D1727" t="s">
        <v>11720</v>
      </c>
      <c r="E1727" t="s">
        <v>11721</v>
      </c>
      <c r="F1727" t="s">
        <v>188</v>
      </c>
      <c r="G1727" t="s">
        <v>11722</v>
      </c>
      <c r="H1727" t="s">
        <v>11723</v>
      </c>
    </row>
    <row r="1728" spans="1:8">
      <c r="A1728" t="s">
        <v>241</v>
      </c>
      <c r="B1728" t="s">
        <v>188</v>
      </c>
      <c r="C1728">
        <v>54</v>
      </c>
      <c r="D1728" t="s">
        <v>11724</v>
      </c>
      <c r="E1728" t="s">
        <v>11725</v>
      </c>
      <c r="F1728" t="s">
        <v>188</v>
      </c>
    </row>
    <row r="1729" spans="1:8">
      <c r="A1729" t="s">
        <v>241</v>
      </c>
      <c r="B1729" t="s">
        <v>188</v>
      </c>
      <c r="C1729">
        <v>54</v>
      </c>
      <c r="D1729" t="s">
        <v>11726</v>
      </c>
      <c r="E1729" t="s">
        <v>11727</v>
      </c>
      <c r="F1729" t="s">
        <v>188</v>
      </c>
      <c r="G1729" t="s">
        <v>11728</v>
      </c>
      <c r="H1729" t="s">
        <v>11729</v>
      </c>
    </row>
    <row r="1730" spans="1:8">
      <c r="A1730" t="s">
        <v>239</v>
      </c>
      <c r="B1730" t="s">
        <v>188</v>
      </c>
      <c r="C1730">
        <v>54</v>
      </c>
      <c r="D1730" t="s">
        <v>11730</v>
      </c>
      <c r="E1730" t="s">
        <v>11650</v>
      </c>
      <c r="F1730" t="s">
        <v>188</v>
      </c>
      <c r="H1730" t="s">
        <v>11651</v>
      </c>
    </row>
    <row r="1731" spans="1:8">
      <c r="A1731" t="s">
        <v>243</v>
      </c>
      <c r="B1731" t="s">
        <v>188</v>
      </c>
      <c r="C1731">
        <v>54</v>
      </c>
      <c r="D1731" t="s">
        <v>11731</v>
      </c>
      <c r="E1731" t="s">
        <v>11732</v>
      </c>
      <c r="F1731" t="s">
        <v>188</v>
      </c>
      <c r="H1731" t="s">
        <v>11733</v>
      </c>
    </row>
    <row r="1732" spans="1:8">
      <c r="A1732" t="s">
        <v>242</v>
      </c>
      <c r="B1732" t="s">
        <v>188</v>
      </c>
      <c r="C1732">
        <v>54</v>
      </c>
      <c r="D1732" t="s">
        <v>11734</v>
      </c>
      <c r="E1732" t="s">
        <v>11735</v>
      </c>
      <c r="F1732" t="s">
        <v>188</v>
      </c>
      <c r="H1732" t="s">
        <v>11736</v>
      </c>
    </row>
    <row r="1733" spans="1:8">
      <c r="A1733" t="s">
        <v>239</v>
      </c>
      <c r="B1733" t="s">
        <v>188</v>
      </c>
      <c r="C1733">
        <v>54</v>
      </c>
      <c r="D1733" t="s">
        <v>11737</v>
      </c>
      <c r="E1733" t="s">
        <v>11738</v>
      </c>
      <c r="F1733" t="s">
        <v>188</v>
      </c>
    </row>
    <row r="1734" spans="1:8">
      <c r="A1734" t="s">
        <v>239</v>
      </c>
      <c r="B1734" t="s">
        <v>188</v>
      </c>
      <c r="C1734">
        <v>54</v>
      </c>
      <c r="D1734" t="s">
        <v>11739</v>
      </c>
      <c r="E1734" t="s">
        <v>11740</v>
      </c>
      <c r="F1734" t="s">
        <v>188</v>
      </c>
    </row>
    <row r="1735" spans="1:8">
      <c r="A1735" t="s">
        <v>239</v>
      </c>
      <c r="B1735" t="s">
        <v>188</v>
      </c>
      <c r="C1735">
        <v>54</v>
      </c>
      <c r="D1735" t="s">
        <v>11741</v>
      </c>
      <c r="E1735" t="s">
        <v>11742</v>
      </c>
      <c r="F1735" t="s">
        <v>188</v>
      </c>
    </row>
    <row r="1736" spans="1:8">
      <c r="A1736" t="s">
        <v>243</v>
      </c>
      <c r="B1736" t="s">
        <v>188</v>
      </c>
      <c r="C1736">
        <v>54</v>
      </c>
      <c r="D1736" t="s">
        <v>11743</v>
      </c>
      <c r="E1736" t="s">
        <v>1499</v>
      </c>
      <c r="F1736" t="s">
        <v>188</v>
      </c>
      <c r="H1736" t="s">
        <v>11744</v>
      </c>
    </row>
    <row r="1737" spans="1:8">
      <c r="A1737" t="s">
        <v>243</v>
      </c>
      <c r="B1737" t="s">
        <v>188</v>
      </c>
      <c r="C1737">
        <v>54</v>
      </c>
      <c r="D1737" t="s">
        <v>11745</v>
      </c>
      <c r="E1737" t="s">
        <v>11746</v>
      </c>
      <c r="F1737" t="s">
        <v>188</v>
      </c>
      <c r="H1737" t="s">
        <v>11747</v>
      </c>
    </row>
    <row r="1738" spans="1:8">
      <c r="A1738" t="s">
        <v>243</v>
      </c>
      <c r="B1738" t="s">
        <v>188</v>
      </c>
      <c r="C1738">
        <v>54</v>
      </c>
      <c r="D1738" t="s">
        <v>11748</v>
      </c>
      <c r="E1738" t="s">
        <v>11749</v>
      </c>
    </row>
    <row r="1739" spans="1:8">
      <c r="A1739" t="s">
        <v>239</v>
      </c>
      <c r="B1739" t="s">
        <v>188</v>
      </c>
      <c r="C1739">
        <v>54</v>
      </c>
      <c r="D1739" t="s">
        <v>11750</v>
      </c>
      <c r="E1739" t="s">
        <v>11751</v>
      </c>
      <c r="H1739" t="s">
        <v>11752</v>
      </c>
    </row>
    <row r="1740" spans="1:8">
      <c r="A1740" t="s">
        <v>239</v>
      </c>
      <c r="B1740" t="s">
        <v>188</v>
      </c>
      <c r="C1740">
        <v>54</v>
      </c>
      <c r="D1740" t="s">
        <v>11750</v>
      </c>
      <c r="E1740" t="s">
        <v>11753</v>
      </c>
      <c r="H1740" t="s">
        <v>11752</v>
      </c>
    </row>
    <row r="1741" spans="1:8">
      <c r="A1741" t="s">
        <v>243</v>
      </c>
      <c r="B1741" t="s">
        <v>188</v>
      </c>
      <c r="C1741">
        <v>54</v>
      </c>
      <c r="D1741" t="s">
        <v>11754</v>
      </c>
      <c r="E1741" t="s">
        <v>11755</v>
      </c>
      <c r="H1741" t="s">
        <v>11756</v>
      </c>
    </row>
    <row r="1742" spans="1:8">
      <c r="A1742" t="s">
        <v>241</v>
      </c>
      <c r="B1742" t="s">
        <v>188</v>
      </c>
      <c r="C1742">
        <v>54</v>
      </c>
      <c r="D1742" t="s">
        <v>11757</v>
      </c>
      <c r="E1742" t="s">
        <v>11758</v>
      </c>
      <c r="H1742" t="s">
        <v>11759</v>
      </c>
    </row>
    <row r="1743" spans="1:8">
      <c r="A1743" t="s">
        <v>241</v>
      </c>
      <c r="B1743" t="s">
        <v>188</v>
      </c>
      <c r="C1743">
        <v>54</v>
      </c>
      <c r="D1743" t="s">
        <v>11760</v>
      </c>
      <c r="E1743" t="s">
        <v>11761</v>
      </c>
      <c r="F1743" t="s">
        <v>188</v>
      </c>
      <c r="H1743" t="s">
        <v>11762</v>
      </c>
    </row>
    <row r="1744" spans="1:8">
      <c r="A1744" t="s">
        <v>242</v>
      </c>
      <c r="B1744" t="s">
        <v>188</v>
      </c>
      <c r="C1744">
        <v>54</v>
      </c>
      <c r="D1744" t="s">
        <v>11763</v>
      </c>
      <c r="E1744" t="s">
        <v>11764</v>
      </c>
      <c r="F1744" t="s">
        <v>11765</v>
      </c>
      <c r="G1744" t="s">
        <v>11766</v>
      </c>
      <c r="H1744" t="s">
        <v>11767</v>
      </c>
    </row>
    <row r="1745" spans="1:8">
      <c r="A1745" t="s">
        <v>241</v>
      </c>
      <c r="B1745" t="s">
        <v>188</v>
      </c>
      <c r="C1745">
        <v>54</v>
      </c>
      <c r="D1745" t="s">
        <v>11768</v>
      </c>
      <c r="E1745" t="s">
        <v>11769</v>
      </c>
      <c r="F1745" t="s">
        <v>11770</v>
      </c>
      <c r="G1745" t="s">
        <v>11771</v>
      </c>
      <c r="H1745" t="s">
        <v>11772</v>
      </c>
    </row>
    <row r="1746" spans="1:8">
      <c r="A1746" t="s">
        <v>241</v>
      </c>
      <c r="B1746" t="s">
        <v>232</v>
      </c>
      <c r="C1746">
        <v>54</v>
      </c>
      <c r="D1746" t="s">
        <v>16062</v>
      </c>
      <c r="E1746" t="s">
        <v>16063</v>
      </c>
      <c r="G1746" t="s">
        <v>16064</v>
      </c>
      <c r="H1746" t="s">
        <v>16065</v>
      </c>
    </row>
    <row r="1747" spans="1:8">
      <c r="A1747" t="s">
        <v>242</v>
      </c>
      <c r="B1747" t="s">
        <v>232</v>
      </c>
      <c r="C1747">
        <v>54</v>
      </c>
      <c r="D1747" t="s">
        <v>16066</v>
      </c>
      <c r="E1747" t="s">
        <v>16067</v>
      </c>
      <c r="H1747" t="s">
        <v>16068</v>
      </c>
    </row>
    <row r="1748" spans="1:8">
      <c r="A1748" t="s">
        <v>241</v>
      </c>
      <c r="B1748" t="s">
        <v>232</v>
      </c>
      <c r="C1748">
        <v>54</v>
      </c>
      <c r="D1748" t="s">
        <v>16069</v>
      </c>
      <c r="E1748" t="s">
        <v>16070</v>
      </c>
      <c r="G1748" t="s">
        <v>16071</v>
      </c>
      <c r="H1748" t="s">
        <v>16072</v>
      </c>
    </row>
    <row r="1749" spans="1:8">
      <c r="A1749" t="s">
        <v>242</v>
      </c>
      <c r="B1749" t="s">
        <v>232</v>
      </c>
      <c r="C1749">
        <v>54</v>
      </c>
      <c r="D1749" t="s">
        <v>16073</v>
      </c>
      <c r="E1749" t="s">
        <v>16074</v>
      </c>
      <c r="F1749" t="s">
        <v>16075</v>
      </c>
      <c r="G1749" t="s">
        <v>16076</v>
      </c>
      <c r="H1749" t="s">
        <v>16077</v>
      </c>
    </row>
    <row r="1750" spans="1:8">
      <c r="A1750" t="s">
        <v>243</v>
      </c>
      <c r="B1750" t="s">
        <v>232</v>
      </c>
      <c r="C1750">
        <v>54</v>
      </c>
      <c r="D1750" t="s">
        <v>16078</v>
      </c>
      <c r="E1750" t="s">
        <v>16079</v>
      </c>
      <c r="F1750" t="s">
        <v>16080</v>
      </c>
      <c r="G1750" t="s">
        <v>16081</v>
      </c>
      <c r="H1750" t="s">
        <v>16082</v>
      </c>
    </row>
    <row r="1751" spans="1:8">
      <c r="A1751" t="s">
        <v>241</v>
      </c>
      <c r="B1751" t="s">
        <v>232</v>
      </c>
      <c r="C1751">
        <v>54</v>
      </c>
      <c r="D1751" t="s">
        <v>6857</v>
      </c>
      <c r="E1751" t="s">
        <v>16083</v>
      </c>
      <c r="H1751" t="s">
        <v>16084</v>
      </c>
    </row>
    <row r="1752" spans="1:8">
      <c r="A1752" t="s">
        <v>242</v>
      </c>
      <c r="B1752" t="s">
        <v>232</v>
      </c>
      <c r="C1752">
        <v>54</v>
      </c>
      <c r="D1752" t="s">
        <v>16085</v>
      </c>
      <c r="E1752" t="s">
        <v>16086</v>
      </c>
      <c r="H1752" t="s">
        <v>16087</v>
      </c>
    </row>
    <row r="1753" spans="1:8">
      <c r="A1753" t="s">
        <v>241</v>
      </c>
      <c r="B1753" t="s">
        <v>232</v>
      </c>
      <c r="C1753">
        <v>54</v>
      </c>
      <c r="D1753" t="s">
        <v>1118</v>
      </c>
      <c r="E1753" t="s">
        <v>16088</v>
      </c>
      <c r="F1753" t="s">
        <v>16089</v>
      </c>
      <c r="H1753" t="s">
        <v>16090</v>
      </c>
    </row>
    <row r="1754" spans="1:8">
      <c r="A1754" t="s">
        <v>241</v>
      </c>
      <c r="B1754" t="s">
        <v>232</v>
      </c>
      <c r="C1754">
        <v>54</v>
      </c>
      <c r="D1754" t="s">
        <v>16091</v>
      </c>
      <c r="E1754" t="s">
        <v>16092</v>
      </c>
      <c r="H1754" t="s">
        <v>16093</v>
      </c>
    </row>
    <row r="1755" spans="1:8">
      <c r="A1755" t="s">
        <v>241</v>
      </c>
      <c r="B1755" t="s">
        <v>232</v>
      </c>
      <c r="C1755">
        <v>54</v>
      </c>
      <c r="D1755" t="s">
        <v>16094</v>
      </c>
      <c r="E1755" t="s">
        <v>16095</v>
      </c>
      <c r="F1755" t="s">
        <v>16089</v>
      </c>
      <c r="G1755" t="s">
        <v>16096</v>
      </c>
      <c r="H1755" t="s">
        <v>16097</v>
      </c>
    </row>
    <row r="1756" spans="1:8">
      <c r="A1756" t="s">
        <v>242</v>
      </c>
      <c r="B1756" t="s">
        <v>232</v>
      </c>
      <c r="C1756">
        <v>54</v>
      </c>
      <c r="D1756" t="s">
        <v>16098</v>
      </c>
      <c r="E1756" t="s">
        <v>16099</v>
      </c>
      <c r="F1756" t="s">
        <v>16089</v>
      </c>
      <c r="G1756" t="s">
        <v>16100</v>
      </c>
      <c r="H1756" t="s">
        <v>16101</v>
      </c>
    </row>
    <row r="1757" spans="1:8">
      <c r="A1757" t="s">
        <v>242</v>
      </c>
      <c r="B1757" t="s">
        <v>232</v>
      </c>
      <c r="C1757">
        <v>54</v>
      </c>
      <c r="D1757" t="s">
        <v>16102</v>
      </c>
      <c r="E1757" t="s">
        <v>16103</v>
      </c>
      <c r="F1757" t="s">
        <v>16104</v>
      </c>
      <c r="G1757" t="s">
        <v>16105</v>
      </c>
      <c r="H1757" t="s">
        <v>16106</v>
      </c>
    </row>
    <row r="1758" spans="1:8">
      <c r="A1758" t="s">
        <v>243</v>
      </c>
      <c r="B1758" t="s">
        <v>232</v>
      </c>
      <c r="C1758">
        <v>54</v>
      </c>
      <c r="D1758" t="s">
        <v>16107</v>
      </c>
      <c r="E1758" t="s">
        <v>16108</v>
      </c>
      <c r="F1758" t="s">
        <v>16109</v>
      </c>
      <c r="G1758" t="s">
        <v>16110</v>
      </c>
      <c r="H1758" t="s">
        <v>16111</v>
      </c>
    </row>
    <row r="1759" spans="1:8">
      <c r="A1759" t="s">
        <v>241</v>
      </c>
      <c r="B1759" t="s">
        <v>232</v>
      </c>
      <c r="C1759">
        <v>54</v>
      </c>
      <c r="D1759" t="s">
        <v>16112</v>
      </c>
      <c r="E1759" t="s">
        <v>16113</v>
      </c>
      <c r="F1759" t="s">
        <v>16075</v>
      </c>
      <c r="H1759" t="s">
        <v>16114</v>
      </c>
    </row>
    <row r="1760" spans="1:8">
      <c r="A1760" t="s">
        <v>243</v>
      </c>
      <c r="B1760" t="s">
        <v>232</v>
      </c>
      <c r="C1760">
        <v>54</v>
      </c>
      <c r="D1760" t="s">
        <v>16115</v>
      </c>
      <c r="E1760" t="s">
        <v>16116</v>
      </c>
      <c r="H1760" t="s">
        <v>16117</v>
      </c>
    </row>
    <row r="1761" spans="1:8">
      <c r="A1761" t="s">
        <v>242</v>
      </c>
      <c r="B1761" t="s">
        <v>232</v>
      </c>
      <c r="C1761">
        <v>54</v>
      </c>
      <c r="D1761" t="s">
        <v>16118</v>
      </c>
      <c r="E1761" t="s">
        <v>16119</v>
      </c>
      <c r="F1761" t="s">
        <v>232</v>
      </c>
      <c r="H1761" t="s">
        <v>16120</v>
      </c>
    </row>
    <row r="1762" spans="1:8">
      <c r="A1762" t="s">
        <v>241</v>
      </c>
      <c r="B1762" t="s">
        <v>232</v>
      </c>
      <c r="C1762">
        <v>54</v>
      </c>
      <c r="D1762" t="s">
        <v>16121</v>
      </c>
      <c r="E1762" t="s">
        <v>16122</v>
      </c>
      <c r="F1762" t="s">
        <v>232</v>
      </c>
      <c r="H1762" t="s">
        <v>16123</v>
      </c>
    </row>
    <row r="1763" spans="1:8">
      <c r="A1763" t="s">
        <v>242</v>
      </c>
      <c r="B1763" t="s">
        <v>232</v>
      </c>
      <c r="C1763">
        <v>54</v>
      </c>
      <c r="D1763" t="s">
        <v>16124</v>
      </c>
      <c r="E1763" t="s">
        <v>16125</v>
      </c>
      <c r="F1763" t="s">
        <v>16126</v>
      </c>
      <c r="G1763" t="s">
        <v>16127</v>
      </c>
      <c r="H1763" t="s">
        <v>16128</v>
      </c>
    </row>
    <row r="1764" spans="1:8">
      <c r="A1764" t="s">
        <v>241</v>
      </c>
      <c r="B1764" t="s">
        <v>232</v>
      </c>
      <c r="C1764">
        <v>54</v>
      </c>
      <c r="D1764" t="s">
        <v>16129</v>
      </c>
      <c r="E1764" t="s">
        <v>16130</v>
      </c>
      <c r="F1764" t="s">
        <v>16131</v>
      </c>
      <c r="G1764" t="s">
        <v>16132</v>
      </c>
      <c r="H1764" t="s">
        <v>16133</v>
      </c>
    </row>
    <row r="1765" spans="1:8">
      <c r="A1765" t="s">
        <v>241</v>
      </c>
      <c r="B1765" t="s">
        <v>232</v>
      </c>
      <c r="C1765">
        <v>54</v>
      </c>
      <c r="D1765" t="s">
        <v>16134</v>
      </c>
      <c r="E1765" t="s">
        <v>16135</v>
      </c>
      <c r="F1765" t="s">
        <v>16136</v>
      </c>
    </row>
    <row r="1766" spans="1:8">
      <c r="A1766" t="s">
        <v>242</v>
      </c>
      <c r="B1766" t="s">
        <v>232</v>
      </c>
      <c r="C1766">
        <v>54</v>
      </c>
      <c r="D1766" t="s">
        <v>16137</v>
      </c>
      <c r="E1766" t="s">
        <v>16138</v>
      </c>
      <c r="F1766" t="s">
        <v>16139</v>
      </c>
      <c r="H1766" t="s">
        <v>16140</v>
      </c>
    </row>
    <row r="1767" spans="1:8">
      <c r="A1767" t="s">
        <v>238</v>
      </c>
      <c r="B1767" t="s">
        <v>232</v>
      </c>
      <c r="C1767">
        <v>54</v>
      </c>
      <c r="D1767" t="s">
        <v>16141</v>
      </c>
      <c r="E1767" t="s">
        <v>16142</v>
      </c>
      <c r="F1767" t="s">
        <v>16126</v>
      </c>
      <c r="H1767" t="s">
        <v>16143</v>
      </c>
    </row>
    <row r="1768" spans="1:8">
      <c r="A1768" t="s">
        <v>241</v>
      </c>
      <c r="B1768" t="s">
        <v>232</v>
      </c>
      <c r="C1768">
        <v>54</v>
      </c>
      <c r="D1768" t="s">
        <v>16144</v>
      </c>
      <c r="E1768" t="s">
        <v>16145</v>
      </c>
      <c r="H1768" t="s">
        <v>16146</v>
      </c>
    </row>
    <row r="1769" spans="1:8">
      <c r="A1769" t="s">
        <v>243</v>
      </c>
      <c r="B1769" t="s">
        <v>100</v>
      </c>
      <c r="C1769">
        <v>54</v>
      </c>
      <c r="D1769" t="s">
        <v>16398</v>
      </c>
      <c r="E1769" t="s">
        <v>16399</v>
      </c>
      <c r="H1769" t="s">
        <v>16400</v>
      </c>
    </row>
    <row r="1770" spans="1:8">
      <c r="A1770" t="s">
        <v>240</v>
      </c>
      <c r="B1770" t="s">
        <v>100</v>
      </c>
      <c r="C1770">
        <v>54</v>
      </c>
      <c r="D1770" t="s">
        <v>16401</v>
      </c>
      <c r="E1770" t="s">
        <v>16402</v>
      </c>
      <c r="F1770" t="s">
        <v>16403</v>
      </c>
      <c r="G1770" t="s">
        <v>16404</v>
      </c>
      <c r="H1770" t="s">
        <v>16405</v>
      </c>
    </row>
    <row r="1771" spans="1:8">
      <c r="A1771" t="s">
        <v>240</v>
      </c>
      <c r="B1771" t="s">
        <v>100</v>
      </c>
      <c r="C1771">
        <v>54</v>
      </c>
      <c r="D1771" t="s">
        <v>16406</v>
      </c>
      <c r="E1771" t="s">
        <v>16407</v>
      </c>
      <c r="F1771" t="s">
        <v>100</v>
      </c>
    </row>
    <row r="1772" spans="1:8">
      <c r="A1772" t="s">
        <v>242</v>
      </c>
      <c r="B1772" t="s">
        <v>100</v>
      </c>
      <c r="C1772">
        <v>54</v>
      </c>
      <c r="D1772" t="s">
        <v>16408</v>
      </c>
      <c r="E1772" t="s">
        <v>16409</v>
      </c>
      <c r="F1772" t="s">
        <v>100</v>
      </c>
      <c r="H1772" t="s">
        <v>16410</v>
      </c>
    </row>
    <row r="1773" spans="1:8">
      <c r="A1773" t="s">
        <v>241</v>
      </c>
      <c r="B1773" t="s">
        <v>100</v>
      </c>
      <c r="C1773">
        <v>54</v>
      </c>
      <c r="D1773" t="s">
        <v>16411</v>
      </c>
      <c r="E1773" t="s">
        <v>16412</v>
      </c>
      <c r="F1773" t="s">
        <v>100</v>
      </c>
    </row>
    <row r="1774" spans="1:8">
      <c r="A1774" t="s">
        <v>245</v>
      </c>
      <c r="B1774" t="s">
        <v>100</v>
      </c>
      <c r="C1774">
        <v>54</v>
      </c>
      <c r="D1774" t="s">
        <v>16413</v>
      </c>
      <c r="E1774" t="s">
        <v>16414</v>
      </c>
      <c r="F1774" t="s">
        <v>100</v>
      </c>
      <c r="G1774" t="s">
        <v>16415</v>
      </c>
    </row>
    <row r="1775" spans="1:8">
      <c r="A1775" t="s">
        <v>238</v>
      </c>
      <c r="B1775" t="s">
        <v>100</v>
      </c>
      <c r="C1775">
        <v>54</v>
      </c>
      <c r="D1775" t="s">
        <v>16416</v>
      </c>
      <c r="E1775" t="s">
        <v>16417</v>
      </c>
      <c r="G1775" t="s">
        <v>16418</v>
      </c>
      <c r="H1775" t="s">
        <v>16419</v>
      </c>
    </row>
    <row r="1776" spans="1:8">
      <c r="A1776" t="s">
        <v>242</v>
      </c>
      <c r="B1776" t="s">
        <v>100</v>
      </c>
      <c r="C1776">
        <v>54</v>
      </c>
      <c r="D1776" t="s">
        <v>16420</v>
      </c>
      <c r="E1776" t="s">
        <v>16421</v>
      </c>
      <c r="F1776" t="s">
        <v>16422</v>
      </c>
      <c r="G1776" t="s">
        <v>16423</v>
      </c>
      <c r="H1776" t="s">
        <v>16424</v>
      </c>
    </row>
    <row r="1777" spans="1:8">
      <c r="A1777" t="s">
        <v>243</v>
      </c>
      <c r="B1777" t="s">
        <v>100</v>
      </c>
      <c r="C1777">
        <v>54</v>
      </c>
      <c r="D1777" t="s">
        <v>16425</v>
      </c>
      <c r="E1777" t="s">
        <v>16426</v>
      </c>
    </row>
    <row r="1778" spans="1:8">
      <c r="A1778" t="s">
        <v>242</v>
      </c>
      <c r="B1778" t="s">
        <v>100</v>
      </c>
      <c r="C1778">
        <v>54</v>
      </c>
      <c r="D1778" t="s">
        <v>16427</v>
      </c>
      <c r="E1778" t="s">
        <v>16428</v>
      </c>
      <c r="F1778" t="s">
        <v>100</v>
      </c>
      <c r="G1778" t="s">
        <v>16429</v>
      </c>
      <c r="H1778" t="s">
        <v>16430</v>
      </c>
    </row>
    <row r="1779" spans="1:8">
      <c r="A1779" t="s">
        <v>242</v>
      </c>
      <c r="B1779" t="s">
        <v>100</v>
      </c>
      <c r="C1779">
        <v>54</v>
      </c>
      <c r="D1779" t="s">
        <v>16431</v>
      </c>
      <c r="E1779" t="s">
        <v>16432</v>
      </c>
      <c r="H1779" t="s">
        <v>16433</v>
      </c>
    </row>
    <row r="1780" spans="1:8">
      <c r="A1780" t="s">
        <v>239</v>
      </c>
      <c r="B1780" t="s">
        <v>100</v>
      </c>
      <c r="C1780">
        <v>54</v>
      </c>
      <c r="D1780" t="s">
        <v>9141</v>
      </c>
      <c r="E1780" t="s">
        <v>16434</v>
      </c>
      <c r="F1780" t="s">
        <v>16435</v>
      </c>
      <c r="H1780" t="s">
        <v>16436</v>
      </c>
    </row>
    <row r="1781" spans="1:8">
      <c r="A1781" t="s">
        <v>238</v>
      </c>
      <c r="B1781" t="s">
        <v>100</v>
      </c>
      <c r="C1781">
        <v>54</v>
      </c>
      <c r="D1781" t="s">
        <v>16437</v>
      </c>
      <c r="E1781" t="s">
        <v>16438</v>
      </c>
      <c r="F1781" t="s">
        <v>16439</v>
      </c>
      <c r="H1781" t="s">
        <v>16440</v>
      </c>
    </row>
    <row r="1782" spans="1:8">
      <c r="A1782" t="s">
        <v>243</v>
      </c>
      <c r="B1782" t="s">
        <v>100</v>
      </c>
      <c r="C1782">
        <v>54</v>
      </c>
      <c r="D1782" t="s">
        <v>16441</v>
      </c>
      <c r="E1782" t="s">
        <v>16442</v>
      </c>
      <c r="F1782" t="s">
        <v>100</v>
      </c>
    </row>
    <row r="1783" spans="1:8">
      <c r="A1783" t="s">
        <v>242</v>
      </c>
      <c r="B1783" t="s">
        <v>100</v>
      </c>
      <c r="C1783">
        <v>54</v>
      </c>
      <c r="D1783" t="s">
        <v>16443</v>
      </c>
      <c r="E1783" t="s">
        <v>16444</v>
      </c>
      <c r="F1783" t="s">
        <v>100</v>
      </c>
      <c r="H1783" t="s">
        <v>16445</v>
      </c>
    </row>
    <row r="1784" spans="1:8">
      <c r="A1784" t="s">
        <v>241</v>
      </c>
      <c r="B1784" t="s">
        <v>100</v>
      </c>
      <c r="C1784">
        <v>54</v>
      </c>
      <c r="D1784" t="s">
        <v>16446</v>
      </c>
      <c r="E1784" t="s">
        <v>16447</v>
      </c>
      <c r="F1784" t="s">
        <v>16448</v>
      </c>
      <c r="G1784" t="s">
        <v>16449</v>
      </c>
      <c r="H1784" t="s">
        <v>16450</v>
      </c>
    </row>
    <row r="1785" spans="1:8">
      <c r="A1785" t="s">
        <v>242</v>
      </c>
      <c r="B1785" t="s">
        <v>100</v>
      </c>
      <c r="C1785">
        <v>54</v>
      </c>
      <c r="D1785" t="s">
        <v>16451</v>
      </c>
      <c r="E1785" t="s">
        <v>16452</v>
      </c>
      <c r="F1785" t="s">
        <v>16453</v>
      </c>
      <c r="G1785" t="s">
        <v>16454</v>
      </c>
      <c r="H1785" t="s">
        <v>16455</v>
      </c>
    </row>
    <row r="1786" spans="1:8">
      <c r="A1786" t="s">
        <v>239</v>
      </c>
      <c r="B1786" t="s">
        <v>100</v>
      </c>
      <c r="C1786">
        <v>54</v>
      </c>
      <c r="D1786" t="s">
        <v>16456</v>
      </c>
      <c r="E1786" t="s">
        <v>16457</v>
      </c>
      <c r="H1786" t="s">
        <v>16458</v>
      </c>
    </row>
    <row r="1787" spans="1:8">
      <c r="A1787" t="s">
        <v>249</v>
      </c>
      <c r="B1787" t="s">
        <v>100</v>
      </c>
      <c r="C1787">
        <v>54</v>
      </c>
      <c r="D1787" t="s">
        <v>16459</v>
      </c>
      <c r="E1787" t="s">
        <v>16460</v>
      </c>
      <c r="G1787" t="s">
        <v>16461</v>
      </c>
      <c r="H1787" t="s">
        <v>16462</v>
      </c>
    </row>
    <row r="1788" spans="1:8">
      <c r="A1788" t="s">
        <v>242</v>
      </c>
      <c r="B1788" t="s">
        <v>100</v>
      </c>
      <c r="C1788">
        <v>54</v>
      </c>
      <c r="D1788" t="s">
        <v>16463</v>
      </c>
      <c r="E1788" t="s">
        <v>16464</v>
      </c>
      <c r="F1788" t="s">
        <v>16465</v>
      </c>
      <c r="H1788" t="s">
        <v>16466</v>
      </c>
    </row>
    <row r="1789" spans="1:8">
      <c r="A1789" t="s">
        <v>242</v>
      </c>
      <c r="B1789" t="s">
        <v>100</v>
      </c>
      <c r="C1789">
        <v>54</v>
      </c>
      <c r="D1789" t="s">
        <v>16467</v>
      </c>
      <c r="E1789" t="s">
        <v>16468</v>
      </c>
      <c r="F1789" t="s">
        <v>16469</v>
      </c>
      <c r="G1789" t="s">
        <v>16470</v>
      </c>
      <c r="H1789" t="s">
        <v>16471</v>
      </c>
    </row>
    <row r="1790" spans="1:8">
      <c r="A1790" t="s">
        <v>238</v>
      </c>
      <c r="B1790" t="s">
        <v>100</v>
      </c>
      <c r="C1790">
        <v>54</v>
      </c>
      <c r="D1790" t="s">
        <v>16472</v>
      </c>
      <c r="E1790" t="s">
        <v>16473</v>
      </c>
      <c r="F1790" t="s">
        <v>16474</v>
      </c>
      <c r="G1790" t="s">
        <v>16475</v>
      </c>
      <c r="H1790" t="s">
        <v>16476</v>
      </c>
    </row>
    <row r="1791" spans="1:8">
      <c r="A1791" t="s">
        <v>241</v>
      </c>
      <c r="B1791" t="s">
        <v>100</v>
      </c>
      <c r="C1791">
        <v>54</v>
      </c>
      <c r="D1791" t="s">
        <v>16477</v>
      </c>
      <c r="E1791" t="s">
        <v>8479</v>
      </c>
      <c r="G1791" t="s">
        <v>16478</v>
      </c>
      <c r="H1791" t="s">
        <v>16479</v>
      </c>
    </row>
    <row r="1792" spans="1:8">
      <c r="A1792" t="s">
        <v>243</v>
      </c>
      <c r="B1792" t="s">
        <v>100</v>
      </c>
      <c r="C1792">
        <v>54</v>
      </c>
      <c r="D1792" t="s">
        <v>16480</v>
      </c>
      <c r="E1792" t="s">
        <v>16481</v>
      </c>
      <c r="F1792" t="s">
        <v>100</v>
      </c>
      <c r="H1792" t="s">
        <v>16482</v>
      </c>
    </row>
    <row r="1793" spans="1:8">
      <c r="A1793" t="s">
        <v>243</v>
      </c>
      <c r="B1793" t="s">
        <v>100</v>
      </c>
      <c r="C1793">
        <v>54</v>
      </c>
      <c r="D1793" t="s">
        <v>16483</v>
      </c>
      <c r="E1793" t="s">
        <v>16484</v>
      </c>
      <c r="F1793" t="s">
        <v>100</v>
      </c>
    </row>
    <row r="1794" spans="1:8">
      <c r="A1794" t="s">
        <v>240</v>
      </c>
      <c r="B1794" t="s">
        <v>100</v>
      </c>
      <c r="C1794">
        <v>54</v>
      </c>
      <c r="D1794" t="s">
        <v>16485</v>
      </c>
      <c r="E1794" t="s">
        <v>16486</v>
      </c>
      <c r="F1794" t="s">
        <v>16487</v>
      </c>
      <c r="G1794" t="s">
        <v>16488</v>
      </c>
      <c r="H1794" t="s">
        <v>16489</v>
      </c>
    </row>
    <row r="1795" spans="1:8">
      <c r="A1795" t="s">
        <v>243</v>
      </c>
      <c r="B1795" t="s">
        <v>100</v>
      </c>
      <c r="C1795">
        <v>54</v>
      </c>
      <c r="D1795" t="s">
        <v>16490</v>
      </c>
      <c r="E1795" t="s">
        <v>16491</v>
      </c>
      <c r="F1795" t="s">
        <v>16492</v>
      </c>
      <c r="H1795" t="s">
        <v>16462</v>
      </c>
    </row>
    <row r="1796" spans="1:8">
      <c r="A1796" t="s">
        <v>243</v>
      </c>
      <c r="B1796" t="s">
        <v>100</v>
      </c>
      <c r="C1796">
        <v>54</v>
      </c>
      <c r="D1796" t="s">
        <v>16493</v>
      </c>
      <c r="E1796" t="s">
        <v>16494</v>
      </c>
      <c r="G1796" t="s">
        <v>16495</v>
      </c>
      <c r="H1796" t="s">
        <v>16496</v>
      </c>
    </row>
    <row r="1797" spans="1:8">
      <c r="A1797" t="s">
        <v>244</v>
      </c>
      <c r="B1797" t="s">
        <v>102</v>
      </c>
      <c r="C1797">
        <v>54</v>
      </c>
      <c r="D1797" t="s">
        <v>1282</v>
      </c>
    </row>
    <row r="1798" spans="1:8">
      <c r="A1798" t="s">
        <v>242</v>
      </c>
      <c r="B1798" t="s">
        <v>102</v>
      </c>
      <c r="C1798">
        <v>54</v>
      </c>
      <c r="D1798" t="s">
        <v>17608</v>
      </c>
      <c r="E1798" t="s">
        <v>17609</v>
      </c>
      <c r="F1798" t="s">
        <v>102</v>
      </c>
      <c r="G1798" t="s">
        <v>17610</v>
      </c>
      <c r="H1798" t="s">
        <v>17611</v>
      </c>
    </row>
    <row r="1799" spans="1:8">
      <c r="A1799" t="s">
        <v>242</v>
      </c>
      <c r="B1799" t="s">
        <v>102</v>
      </c>
      <c r="C1799">
        <v>54</v>
      </c>
      <c r="D1799" t="s">
        <v>17612</v>
      </c>
      <c r="E1799" t="s">
        <v>17613</v>
      </c>
      <c r="F1799" t="s">
        <v>102</v>
      </c>
      <c r="H1799" t="s">
        <v>17614</v>
      </c>
    </row>
    <row r="1800" spans="1:8">
      <c r="A1800" t="s">
        <v>238</v>
      </c>
      <c r="B1800" t="s">
        <v>102</v>
      </c>
      <c r="C1800">
        <v>54</v>
      </c>
      <c r="D1800" t="s">
        <v>9248</v>
      </c>
      <c r="E1800" t="s">
        <v>17615</v>
      </c>
      <c r="F1800" t="s">
        <v>102</v>
      </c>
      <c r="H1800" t="s">
        <v>17616</v>
      </c>
    </row>
    <row r="1801" spans="1:8">
      <c r="A1801" t="s">
        <v>243</v>
      </c>
      <c r="B1801" t="s">
        <v>102</v>
      </c>
      <c r="C1801">
        <v>54</v>
      </c>
      <c r="D1801" t="s">
        <v>17617</v>
      </c>
      <c r="E1801" t="s">
        <v>17618</v>
      </c>
      <c r="F1801" t="s">
        <v>102</v>
      </c>
      <c r="G1801" t="s">
        <v>17619</v>
      </c>
      <c r="H1801" t="s">
        <v>17620</v>
      </c>
    </row>
    <row r="1802" spans="1:8">
      <c r="A1802" t="s">
        <v>243</v>
      </c>
      <c r="B1802" t="s">
        <v>102</v>
      </c>
      <c r="C1802">
        <v>54</v>
      </c>
      <c r="D1802" t="s">
        <v>17621</v>
      </c>
      <c r="E1802" t="s">
        <v>17622</v>
      </c>
      <c r="F1802" t="s">
        <v>17623</v>
      </c>
      <c r="G1802" t="s">
        <v>17624</v>
      </c>
      <c r="H1802" t="s">
        <v>17625</v>
      </c>
    </row>
    <row r="1803" spans="1:8">
      <c r="A1803" t="s">
        <v>241</v>
      </c>
      <c r="B1803" t="s">
        <v>102</v>
      </c>
      <c r="C1803">
        <v>54</v>
      </c>
      <c r="D1803" t="s">
        <v>17626</v>
      </c>
      <c r="E1803" t="s">
        <v>17627</v>
      </c>
      <c r="G1803" t="s">
        <v>17628</v>
      </c>
      <c r="H1803" t="s">
        <v>17629</v>
      </c>
    </row>
    <row r="1804" spans="1:8">
      <c r="A1804" t="s">
        <v>241</v>
      </c>
      <c r="B1804" t="s">
        <v>102</v>
      </c>
      <c r="C1804">
        <v>54</v>
      </c>
      <c r="D1804" t="s">
        <v>17630</v>
      </c>
      <c r="E1804" t="s">
        <v>17631</v>
      </c>
      <c r="H1804" t="s">
        <v>17632</v>
      </c>
    </row>
    <row r="1805" spans="1:8">
      <c r="A1805" t="s">
        <v>238</v>
      </c>
      <c r="B1805" t="s">
        <v>102</v>
      </c>
      <c r="C1805">
        <v>54</v>
      </c>
      <c r="D1805" t="s">
        <v>17633</v>
      </c>
      <c r="E1805" t="s">
        <v>17634</v>
      </c>
      <c r="H1805" t="s">
        <v>17635</v>
      </c>
    </row>
    <row r="1806" spans="1:8">
      <c r="A1806" t="s">
        <v>239</v>
      </c>
      <c r="B1806" t="s">
        <v>102</v>
      </c>
      <c r="C1806">
        <v>54</v>
      </c>
      <c r="D1806" t="s">
        <v>17636</v>
      </c>
      <c r="E1806" t="s">
        <v>17637</v>
      </c>
      <c r="H1806" t="s">
        <v>17638</v>
      </c>
    </row>
    <row r="1807" spans="1:8">
      <c r="A1807" t="s">
        <v>239</v>
      </c>
      <c r="B1807" t="s">
        <v>102</v>
      </c>
      <c r="C1807">
        <v>54</v>
      </c>
      <c r="D1807" t="s">
        <v>17639</v>
      </c>
      <c r="E1807" t="s">
        <v>17640</v>
      </c>
      <c r="F1807" t="s">
        <v>102</v>
      </c>
      <c r="H1807" t="s">
        <v>17641</v>
      </c>
    </row>
    <row r="1808" spans="1:8">
      <c r="A1808" t="s">
        <v>242</v>
      </c>
      <c r="B1808" t="s">
        <v>102</v>
      </c>
      <c r="C1808">
        <v>54</v>
      </c>
      <c r="D1808" t="s">
        <v>17642</v>
      </c>
      <c r="E1808" t="s">
        <v>17643</v>
      </c>
      <c r="F1808" t="s">
        <v>102</v>
      </c>
      <c r="G1808" t="s">
        <v>17644</v>
      </c>
      <c r="H1808" t="s">
        <v>17645</v>
      </c>
    </row>
    <row r="1809" spans="1:8">
      <c r="A1809" t="s">
        <v>241</v>
      </c>
      <c r="B1809" t="s">
        <v>102</v>
      </c>
      <c r="C1809">
        <v>54</v>
      </c>
      <c r="D1809" t="s">
        <v>17646</v>
      </c>
      <c r="E1809" t="s">
        <v>17647</v>
      </c>
      <c r="G1809" t="s">
        <v>17648</v>
      </c>
      <c r="H1809" t="s">
        <v>17649</v>
      </c>
    </row>
    <row r="1810" spans="1:8">
      <c r="A1810" t="s">
        <v>243</v>
      </c>
      <c r="B1810" t="s">
        <v>66</v>
      </c>
      <c r="C1810">
        <v>55</v>
      </c>
      <c r="D1810" t="s">
        <v>2709</v>
      </c>
      <c r="E1810" t="s">
        <v>2710</v>
      </c>
      <c r="F1810" t="s">
        <v>66</v>
      </c>
      <c r="H1810" t="s">
        <v>2711</v>
      </c>
    </row>
    <row r="1811" spans="1:8">
      <c r="A1811" t="s">
        <v>241</v>
      </c>
      <c r="B1811" t="s">
        <v>66</v>
      </c>
      <c r="C1811">
        <v>55</v>
      </c>
      <c r="D1811" t="s">
        <v>2712</v>
      </c>
      <c r="E1811" t="s">
        <v>2713</v>
      </c>
      <c r="F1811" t="s">
        <v>66</v>
      </c>
      <c r="G1811" t="s">
        <v>2714</v>
      </c>
      <c r="H1811" t="s">
        <v>2715</v>
      </c>
    </row>
    <row r="1812" spans="1:8">
      <c r="A1812" t="s">
        <v>243</v>
      </c>
      <c r="B1812" t="s">
        <v>66</v>
      </c>
      <c r="C1812">
        <v>55</v>
      </c>
      <c r="D1812" t="s">
        <v>2716</v>
      </c>
      <c r="E1812" t="s">
        <v>2717</v>
      </c>
      <c r="F1812" t="s">
        <v>66</v>
      </c>
      <c r="H1812" t="s">
        <v>2711</v>
      </c>
    </row>
    <row r="1813" spans="1:8">
      <c r="A1813" t="s">
        <v>242</v>
      </c>
      <c r="B1813" t="s">
        <v>66</v>
      </c>
      <c r="C1813">
        <v>55</v>
      </c>
      <c r="D1813" t="s">
        <v>2718</v>
      </c>
      <c r="E1813" t="s">
        <v>2719</v>
      </c>
      <c r="F1813" t="s">
        <v>66</v>
      </c>
      <c r="G1813" t="s">
        <v>2720</v>
      </c>
      <c r="H1813" t="s">
        <v>2721</v>
      </c>
    </row>
    <row r="1814" spans="1:8">
      <c r="A1814" t="s">
        <v>242</v>
      </c>
      <c r="B1814" t="s">
        <v>177</v>
      </c>
      <c r="C1814">
        <v>56</v>
      </c>
      <c r="D1814" t="s">
        <v>6806</v>
      </c>
      <c r="E1814" t="s">
        <v>6807</v>
      </c>
      <c r="F1814" t="s">
        <v>6808</v>
      </c>
      <c r="G1814" t="s">
        <v>6809</v>
      </c>
      <c r="H1814" t="s">
        <v>6810</v>
      </c>
    </row>
    <row r="1815" spans="1:8">
      <c r="A1815" t="s">
        <v>240</v>
      </c>
      <c r="B1815" t="s">
        <v>177</v>
      </c>
      <c r="C1815">
        <v>56</v>
      </c>
      <c r="D1815" t="s">
        <v>6811</v>
      </c>
      <c r="E1815" t="s">
        <v>6812</v>
      </c>
      <c r="F1815" t="s">
        <v>177</v>
      </c>
      <c r="G1815" t="s">
        <v>6813</v>
      </c>
      <c r="H1815" t="s">
        <v>6814</v>
      </c>
    </row>
    <row r="1816" spans="1:8">
      <c r="A1816" t="s">
        <v>241</v>
      </c>
      <c r="B1816" t="s">
        <v>177</v>
      </c>
      <c r="C1816">
        <v>56</v>
      </c>
      <c r="D1816" t="s">
        <v>6815</v>
      </c>
      <c r="E1816" t="s">
        <v>6816</v>
      </c>
      <c r="F1816" t="s">
        <v>6817</v>
      </c>
      <c r="G1816" t="s">
        <v>6818</v>
      </c>
      <c r="H1816" t="s">
        <v>6819</v>
      </c>
    </row>
    <row r="1817" spans="1:8">
      <c r="A1817" t="s">
        <v>241</v>
      </c>
      <c r="B1817" t="s">
        <v>177</v>
      </c>
      <c r="C1817">
        <v>56</v>
      </c>
      <c r="D1817" t="s">
        <v>6820</v>
      </c>
      <c r="E1817" t="s">
        <v>6821</v>
      </c>
      <c r="G1817" t="s">
        <v>6822</v>
      </c>
      <c r="H1817" t="s">
        <v>6823</v>
      </c>
    </row>
    <row r="1818" spans="1:8">
      <c r="A1818" t="s">
        <v>243</v>
      </c>
      <c r="B1818" t="s">
        <v>177</v>
      </c>
      <c r="C1818">
        <v>56</v>
      </c>
      <c r="D1818" t="s">
        <v>6824</v>
      </c>
      <c r="E1818" t="s">
        <v>6825</v>
      </c>
      <c r="F1818" t="s">
        <v>6826</v>
      </c>
      <c r="G1818" t="s">
        <v>6827</v>
      </c>
      <c r="H1818" t="s">
        <v>6828</v>
      </c>
    </row>
    <row r="1819" spans="1:8">
      <c r="A1819" t="s">
        <v>244</v>
      </c>
      <c r="B1819" t="s">
        <v>177</v>
      </c>
      <c r="C1819">
        <v>56</v>
      </c>
      <c r="D1819" t="s">
        <v>1342</v>
      </c>
      <c r="H1819" t="s">
        <v>6829</v>
      </c>
    </row>
    <row r="1820" spans="1:8">
      <c r="A1820" t="s">
        <v>246</v>
      </c>
      <c r="B1820" t="s">
        <v>47</v>
      </c>
      <c r="C1820">
        <v>56</v>
      </c>
      <c r="D1820" t="s">
        <v>14646</v>
      </c>
      <c r="E1820" t="s">
        <v>14647</v>
      </c>
      <c r="F1820" t="s">
        <v>47</v>
      </c>
      <c r="H1820" t="s">
        <v>14648</v>
      </c>
    </row>
    <row r="1821" spans="1:8">
      <c r="A1821" t="s">
        <v>239</v>
      </c>
      <c r="B1821" t="s">
        <v>47</v>
      </c>
      <c r="C1821">
        <v>56</v>
      </c>
      <c r="D1821" t="s">
        <v>14649</v>
      </c>
      <c r="E1821" t="s">
        <v>14650</v>
      </c>
      <c r="F1821" t="s">
        <v>14651</v>
      </c>
      <c r="G1821" t="s">
        <v>14652</v>
      </c>
      <c r="H1821" t="s">
        <v>14653</v>
      </c>
    </row>
    <row r="1822" spans="1:8">
      <c r="A1822" t="s">
        <v>239</v>
      </c>
      <c r="B1822" t="s">
        <v>47</v>
      </c>
      <c r="C1822">
        <v>56</v>
      </c>
      <c r="D1822" t="s">
        <v>14649</v>
      </c>
      <c r="E1822" t="s">
        <v>14654</v>
      </c>
      <c r="F1822" t="s">
        <v>14651</v>
      </c>
      <c r="G1822" t="s">
        <v>14652</v>
      </c>
      <c r="H1822" t="s">
        <v>14653</v>
      </c>
    </row>
    <row r="1823" spans="1:8">
      <c r="A1823" t="s">
        <v>241</v>
      </c>
      <c r="B1823" t="s">
        <v>47</v>
      </c>
      <c r="C1823">
        <v>56</v>
      </c>
      <c r="D1823" t="s">
        <v>14655</v>
      </c>
      <c r="E1823" t="s">
        <v>14656</v>
      </c>
      <c r="F1823" t="s">
        <v>14657</v>
      </c>
      <c r="G1823" t="s">
        <v>14658</v>
      </c>
      <c r="H1823" t="s">
        <v>14659</v>
      </c>
    </row>
    <row r="1824" spans="1:8">
      <c r="A1824" t="s">
        <v>242</v>
      </c>
      <c r="B1824" t="s">
        <v>47</v>
      </c>
      <c r="C1824">
        <v>56</v>
      </c>
      <c r="D1824" t="s">
        <v>14660</v>
      </c>
      <c r="E1824" t="s">
        <v>14661</v>
      </c>
      <c r="F1824" t="s">
        <v>47</v>
      </c>
      <c r="G1824" t="s">
        <v>14662</v>
      </c>
      <c r="H1824" t="s">
        <v>14663</v>
      </c>
    </row>
    <row r="1825" spans="1:8">
      <c r="A1825" t="s">
        <v>239</v>
      </c>
      <c r="B1825" t="s">
        <v>47</v>
      </c>
      <c r="C1825">
        <v>56</v>
      </c>
      <c r="D1825" t="s">
        <v>14649</v>
      </c>
      <c r="E1825" t="s">
        <v>14664</v>
      </c>
      <c r="F1825" t="s">
        <v>14665</v>
      </c>
      <c r="G1825" t="s">
        <v>14652</v>
      </c>
      <c r="H1825" t="s">
        <v>14666</v>
      </c>
    </row>
    <row r="1826" spans="1:8">
      <c r="A1826" t="s">
        <v>240</v>
      </c>
      <c r="B1826" t="s">
        <v>47</v>
      </c>
      <c r="C1826">
        <v>56</v>
      </c>
      <c r="D1826" t="s">
        <v>14667</v>
      </c>
      <c r="E1826" t="s">
        <v>14668</v>
      </c>
      <c r="F1826" t="s">
        <v>14669</v>
      </c>
      <c r="G1826" t="s">
        <v>14670</v>
      </c>
      <c r="H1826" t="s">
        <v>14671</v>
      </c>
    </row>
    <row r="1827" spans="1:8">
      <c r="A1827" t="s">
        <v>238</v>
      </c>
      <c r="B1827" t="s">
        <v>47</v>
      </c>
      <c r="C1827">
        <v>56</v>
      </c>
      <c r="D1827" t="s">
        <v>14672</v>
      </c>
      <c r="G1827" t="s">
        <v>14673</v>
      </c>
      <c r="H1827" t="s">
        <v>14674</v>
      </c>
    </row>
    <row r="1828" spans="1:8">
      <c r="A1828" t="s">
        <v>238</v>
      </c>
      <c r="B1828" t="s">
        <v>52</v>
      </c>
      <c r="C1828">
        <v>56</v>
      </c>
      <c r="D1828" t="s">
        <v>16147</v>
      </c>
      <c r="E1828" t="s">
        <v>16148</v>
      </c>
      <c r="H1828" t="s">
        <v>16149</v>
      </c>
    </row>
    <row r="1829" spans="1:8">
      <c r="A1829" t="s">
        <v>242</v>
      </c>
      <c r="B1829" t="s">
        <v>52</v>
      </c>
      <c r="C1829">
        <v>56</v>
      </c>
      <c r="D1829" t="s">
        <v>16150</v>
      </c>
      <c r="E1829" t="s">
        <v>16151</v>
      </c>
      <c r="F1829" t="s">
        <v>16152</v>
      </c>
      <c r="G1829" t="s">
        <v>16153</v>
      </c>
      <c r="H1829" t="s">
        <v>16154</v>
      </c>
    </row>
    <row r="1830" spans="1:8">
      <c r="A1830" t="s">
        <v>238</v>
      </c>
      <c r="B1830" t="s">
        <v>52</v>
      </c>
      <c r="C1830">
        <v>56</v>
      </c>
      <c r="D1830" t="s">
        <v>683</v>
      </c>
      <c r="E1830" t="s">
        <v>16155</v>
      </c>
      <c r="F1830" t="s">
        <v>16152</v>
      </c>
      <c r="H1830" t="s">
        <v>16156</v>
      </c>
    </row>
    <row r="1831" spans="1:8">
      <c r="A1831" t="s">
        <v>245</v>
      </c>
      <c r="B1831" t="s">
        <v>52</v>
      </c>
      <c r="C1831">
        <v>56</v>
      </c>
      <c r="D1831" t="s">
        <v>3102</v>
      </c>
      <c r="E1831" t="s">
        <v>16157</v>
      </c>
      <c r="F1831" t="s">
        <v>16152</v>
      </c>
      <c r="G1831" t="s">
        <v>3008</v>
      </c>
      <c r="H1831" t="s">
        <v>3009</v>
      </c>
    </row>
    <row r="1832" spans="1:8">
      <c r="A1832" t="s">
        <v>242</v>
      </c>
      <c r="B1832" t="s">
        <v>52</v>
      </c>
      <c r="C1832">
        <v>56</v>
      </c>
      <c r="D1832" t="s">
        <v>16158</v>
      </c>
      <c r="E1832" t="s">
        <v>16159</v>
      </c>
      <c r="F1832" t="s">
        <v>16152</v>
      </c>
      <c r="G1832" t="s">
        <v>16160</v>
      </c>
      <c r="H1832" t="s">
        <v>16161</v>
      </c>
    </row>
    <row r="1833" spans="1:8">
      <c r="A1833" t="s">
        <v>238</v>
      </c>
      <c r="B1833" t="s">
        <v>52</v>
      </c>
      <c r="C1833">
        <v>56</v>
      </c>
      <c r="D1833" t="s">
        <v>16162</v>
      </c>
      <c r="E1833" t="s">
        <v>16163</v>
      </c>
      <c r="H1833" t="s">
        <v>16164</v>
      </c>
    </row>
    <row r="1834" spans="1:8">
      <c r="A1834" t="s">
        <v>241</v>
      </c>
      <c r="B1834" t="s">
        <v>52</v>
      </c>
      <c r="C1834">
        <v>56</v>
      </c>
      <c r="D1834" t="s">
        <v>16165</v>
      </c>
      <c r="E1834" t="s">
        <v>16166</v>
      </c>
      <c r="F1834" t="s">
        <v>16152</v>
      </c>
      <c r="G1834" t="s">
        <v>16167</v>
      </c>
      <c r="H1834" t="s">
        <v>16168</v>
      </c>
    </row>
    <row r="1835" spans="1:8">
      <c r="A1835" t="s">
        <v>238</v>
      </c>
      <c r="B1835" t="s">
        <v>52</v>
      </c>
      <c r="C1835">
        <v>56</v>
      </c>
      <c r="D1835" t="s">
        <v>11670</v>
      </c>
      <c r="E1835" t="s">
        <v>16169</v>
      </c>
      <c r="F1835" t="s">
        <v>52</v>
      </c>
      <c r="G1835" t="s">
        <v>16170</v>
      </c>
      <c r="H1835" t="s">
        <v>16171</v>
      </c>
    </row>
    <row r="1836" spans="1:8">
      <c r="A1836" t="s">
        <v>242</v>
      </c>
      <c r="B1836" t="s">
        <v>129</v>
      </c>
      <c r="C1836">
        <v>57</v>
      </c>
      <c r="D1836" t="s">
        <v>8982</v>
      </c>
      <c r="E1836" t="s">
        <v>8983</v>
      </c>
      <c r="F1836" t="s">
        <v>8984</v>
      </c>
      <c r="G1836" t="s">
        <v>8985</v>
      </c>
      <c r="H1836" t="s">
        <v>8986</v>
      </c>
    </row>
    <row r="1837" spans="1:8">
      <c r="A1837" t="s">
        <v>241</v>
      </c>
      <c r="B1837" t="s">
        <v>129</v>
      </c>
      <c r="C1837">
        <v>57</v>
      </c>
      <c r="D1837" t="s">
        <v>8987</v>
      </c>
      <c r="E1837" t="s">
        <v>8988</v>
      </c>
    </row>
    <row r="1838" spans="1:8">
      <c r="A1838" t="s">
        <v>242</v>
      </c>
      <c r="B1838" t="s">
        <v>129</v>
      </c>
      <c r="C1838">
        <v>57</v>
      </c>
      <c r="D1838" t="s">
        <v>8989</v>
      </c>
      <c r="E1838" t="s">
        <v>8990</v>
      </c>
      <c r="G1838" t="s">
        <v>8991</v>
      </c>
      <c r="H1838" t="s">
        <v>8992</v>
      </c>
    </row>
    <row r="1839" spans="1:8">
      <c r="A1839" t="s">
        <v>240</v>
      </c>
      <c r="B1839" t="s">
        <v>129</v>
      </c>
      <c r="C1839">
        <v>57</v>
      </c>
      <c r="D1839" t="s">
        <v>8993</v>
      </c>
      <c r="E1839" t="s">
        <v>8994</v>
      </c>
      <c r="F1839" t="s">
        <v>129</v>
      </c>
      <c r="G1839" t="s">
        <v>8995</v>
      </c>
      <c r="H1839" t="s">
        <v>8996</v>
      </c>
    </row>
    <row r="1840" spans="1:8">
      <c r="A1840" t="s">
        <v>246</v>
      </c>
      <c r="B1840" t="s">
        <v>129</v>
      </c>
      <c r="C1840">
        <v>57</v>
      </c>
      <c r="D1840" t="s">
        <v>8997</v>
      </c>
      <c r="E1840" t="s">
        <v>8998</v>
      </c>
      <c r="H1840" t="s">
        <v>1792</v>
      </c>
    </row>
    <row r="1841" spans="1:8">
      <c r="A1841" t="s">
        <v>242</v>
      </c>
      <c r="B1841" t="s">
        <v>129</v>
      </c>
      <c r="C1841">
        <v>57</v>
      </c>
      <c r="D1841" t="s">
        <v>8999</v>
      </c>
      <c r="E1841" t="s">
        <v>9000</v>
      </c>
      <c r="F1841" t="s">
        <v>9001</v>
      </c>
    </row>
    <row r="1842" spans="1:8">
      <c r="A1842" t="s">
        <v>243</v>
      </c>
      <c r="B1842" t="s">
        <v>129</v>
      </c>
      <c r="C1842">
        <v>57</v>
      </c>
      <c r="D1842" t="s">
        <v>9002</v>
      </c>
      <c r="E1842" t="s">
        <v>9003</v>
      </c>
      <c r="H1842" t="s">
        <v>9004</v>
      </c>
    </row>
    <row r="1843" spans="1:8">
      <c r="A1843" t="s">
        <v>238</v>
      </c>
      <c r="B1843" t="s">
        <v>129</v>
      </c>
      <c r="C1843">
        <v>57</v>
      </c>
      <c r="D1843" t="s">
        <v>9005</v>
      </c>
      <c r="E1843" t="s">
        <v>9006</v>
      </c>
      <c r="F1843" t="s">
        <v>129</v>
      </c>
      <c r="G1843" t="s">
        <v>9007</v>
      </c>
      <c r="H1843" t="s">
        <v>9008</v>
      </c>
    </row>
    <row r="1844" spans="1:8">
      <c r="A1844" t="s">
        <v>240</v>
      </c>
      <c r="B1844" t="s">
        <v>129</v>
      </c>
      <c r="C1844">
        <v>57</v>
      </c>
      <c r="D1844" t="s">
        <v>9009</v>
      </c>
      <c r="E1844" t="s">
        <v>9010</v>
      </c>
      <c r="F1844" t="s">
        <v>129</v>
      </c>
    </row>
    <row r="1845" spans="1:8">
      <c r="A1845" t="s">
        <v>241</v>
      </c>
      <c r="B1845" t="s">
        <v>129</v>
      </c>
      <c r="C1845">
        <v>57</v>
      </c>
      <c r="D1845" t="s">
        <v>9011</v>
      </c>
      <c r="E1845" t="s">
        <v>9012</v>
      </c>
      <c r="F1845" t="s">
        <v>129</v>
      </c>
      <c r="G1845" t="s">
        <v>9013</v>
      </c>
      <c r="H1845" t="s">
        <v>9014</v>
      </c>
    </row>
    <row r="1846" spans="1:8">
      <c r="A1846" t="s">
        <v>242</v>
      </c>
      <c r="B1846" t="s">
        <v>129</v>
      </c>
      <c r="C1846">
        <v>57</v>
      </c>
      <c r="D1846" t="s">
        <v>9015</v>
      </c>
      <c r="E1846" t="s">
        <v>9016</v>
      </c>
      <c r="F1846" t="s">
        <v>9017</v>
      </c>
      <c r="H1846" t="s">
        <v>9018</v>
      </c>
    </row>
    <row r="1847" spans="1:8">
      <c r="A1847" t="s">
        <v>242</v>
      </c>
      <c r="B1847" t="s">
        <v>129</v>
      </c>
      <c r="C1847">
        <v>57</v>
      </c>
      <c r="D1847" t="s">
        <v>9019</v>
      </c>
      <c r="F1847" t="s">
        <v>9020</v>
      </c>
      <c r="G1847" t="s">
        <v>9021</v>
      </c>
      <c r="H1847" t="s">
        <v>9022</v>
      </c>
    </row>
    <row r="1848" spans="1:8">
      <c r="A1848" t="s">
        <v>238</v>
      </c>
      <c r="B1848" t="s">
        <v>129</v>
      </c>
      <c r="C1848">
        <v>57</v>
      </c>
      <c r="D1848" t="s">
        <v>9023</v>
      </c>
      <c r="E1848" t="s">
        <v>9024</v>
      </c>
      <c r="F1848" t="s">
        <v>129</v>
      </c>
      <c r="G1848" t="s">
        <v>9025</v>
      </c>
      <c r="H1848" t="s">
        <v>9026</v>
      </c>
    </row>
    <row r="1849" spans="1:8">
      <c r="A1849" t="s">
        <v>241</v>
      </c>
      <c r="B1849" t="s">
        <v>129</v>
      </c>
      <c r="C1849">
        <v>57</v>
      </c>
      <c r="D1849" t="s">
        <v>9027</v>
      </c>
      <c r="E1849" t="s">
        <v>9028</v>
      </c>
      <c r="F1849" t="s">
        <v>129</v>
      </c>
      <c r="H1849" t="s">
        <v>9029</v>
      </c>
    </row>
    <row r="1850" spans="1:8">
      <c r="A1850" t="s">
        <v>238</v>
      </c>
      <c r="B1850" t="s">
        <v>129</v>
      </c>
      <c r="C1850">
        <v>57</v>
      </c>
      <c r="D1850" t="s">
        <v>9030</v>
      </c>
      <c r="E1850" t="s">
        <v>9031</v>
      </c>
      <c r="F1850" t="s">
        <v>9032</v>
      </c>
      <c r="G1850" t="s">
        <v>9033</v>
      </c>
      <c r="H1850" t="s">
        <v>9034</v>
      </c>
    </row>
    <row r="1851" spans="1:8">
      <c r="A1851" t="s">
        <v>242</v>
      </c>
      <c r="B1851" t="s">
        <v>129</v>
      </c>
      <c r="C1851">
        <v>57</v>
      </c>
      <c r="D1851" t="s">
        <v>9035</v>
      </c>
      <c r="E1851" t="s">
        <v>9036</v>
      </c>
      <c r="F1851" t="s">
        <v>129</v>
      </c>
      <c r="G1851" t="s">
        <v>9037</v>
      </c>
      <c r="H1851" t="s">
        <v>9038</v>
      </c>
    </row>
    <row r="1852" spans="1:8">
      <c r="A1852" t="s">
        <v>240</v>
      </c>
      <c r="B1852" t="s">
        <v>129</v>
      </c>
      <c r="C1852">
        <v>57</v>
      </c>
      <c r="D1852" t="s">
        <v>9039</v>
      </c>
      <c r="E1852" t="s">
        <v>9040</v>
      </c>
      <c r="F1852" t="s">
        <v>129</v>
      </c>
    </row>
    <row r="1853" spans="1:8">
      <c r="A1853" t="s">
        <v>240</v>
      </c>
      <c r="B1853" t="s">
        <v>129</v>
      </c>
      <c r="C1853">
        <v>57</v>
      </c>
      <c r="D1853" t="s">
        <v>9041</v>
      </c>
      <c r="E1853" t="s">
        <v>9042</v>
      </c>
      <c r="F1853" t="s">
        <v>129</v>
      </c>
      <c r="G1853" t="s">
        <v>9043</v>
      </c>
      <c r="H1853" t="s">
        <v>9044</v>
      </c>
    </row>
    <row r="1854" spans="1:8">
      <c r="A1854" t="s">
        <v>241</v>
      </c>
      <c r="B1854" t="s">
        <v>129</v>
      </c>
      <c r="C1854">
        <v>57</v>
      </c>
      <c r="D1854" t="s">
        <v>9045</v>
      </c>
      <c r="E1854" t="s">
        <v>9046</v>
      </c>
      <c r="G1854" t="s">
        <v>9047</v>
      </c>
      <c r="H1854" t="s">
        <v>9048</v>
      </c>
    </row>
    <row r="1855" spans="1:8">
      <c r="A1855" t="s">
        <v>242</v>
      </c>
      <c r="B1855" t="s">
        <v>129</v>
      </c>
      <c r="C1855">
        <v>57</v>
      </c>
      <c r="D1855" t="s">
        <v>9049</v>
      </c>
      <c r="E1855" t="s">
        <v>9050</v>
      </c>
      <c r="H1855" t="s">
        <v>9051</v>
      </c>
    </row>
    <row r="1856" spans="1:8">
      <c r="A1856" t="s">
        <v>242</v>
      </c>
      <c r="B1856" t="s">
        <v>129</v>
      </c>
      <c r="C1856">
        <v>57</v>
      </c>
      <c r="D1856" t="s">
        <v>9052</v>
      </c>
      <c r="E1856" t="s">
        <v>9053</v>
      </c>
      <c r="H1856" t="s">
        <v>9054</v>
      </c>
    </row>
    <row r="1857" spans="1:8">
      <c r="A1857" t="s">
        <v>241</v>
      </c>
      <c r="B1857" t="s">
        <v>129</v>
      </c>
      <c r="C1857">
        <v>57</v>
      </c>
      <c r="D1857" t="s">
        <v>9055</v>
      </c>
      <c r="E1857" t="s">
        <v>9056</v>
      </c>
      <c r="F1857" t="s">
        <v>129</v>
      </c>
      <c r="G1857" t="s">
        <v>9057</v>
      </c>
      <c r="H1857" t="s">
        <v>9058</v>
      </c>
    </row>
    <row r="1858" spans="1:8">
      <c r="A1858" t="s">
        <v>241</v>
      </c>
      <c r="B1858" t="s">
        <v>129</v>
      </c>
      <c r="C1858">
        <v>57</v>
      </c>
      <c r="D1858" t="s">
        <v>9059</v>
      </c>
      <c r="E1858" t="s">
        <v>9060</v>
      </c>
      <c r="H1858" t="s">
        <v>9061</v>
      </c>
    </row>
    <row r="1859" spans="1:8">
      <c r="A1859" t="s">
        <v>243</v>
      </c>
      <c r="B1859" t="s">
        <v>209</v>
      </c>
      <c r="C1859">
        <v>57</v>
      </c>
      <c r="D1859" t="s">
        <v>10192</v>
      </c>
      <c r="E1859" t="s">
        <v>10193</v>
      </c>
      <c r="H1859" t="s">
        <v>10194</v>
      </c>
    </row>
    <row r="1860" spans="1:8">
      <c r="A1860" t="s">
        <v>242</v>
      </c>
      <c r="B1860" t="s">
        <v>209</v>
      </c>
      <c r="C1860">
        <v>57</v>
      </c>
      <c r="D1860" t="s">
        <v>10195</v>
      </c>
      <c r="E1860" t="s">
        <v>10196</v>
      </c>
      <c r="F1860" t="s">
        <v>209</v>
      </c>
      <c r="G1860" t="s">
        <v>10197</v>
      </c>
      <c r="H1860" t="s">
        <v>10198</v>
      </c>
    </row>
    <row r="1861" spans="1:8">
      <c r="A1861" t="s">
        <v>243</v>
      </c>
      <c r="B1861" t="s">
        <v>209</v>
      </c>
      <c r="C1861">
        <v>57</v>
      </c>
      <c r="D1861" t="s">
        <v>10199</v>
      </c>
      <c r="F1861" t="s">
        <v>209</v>
      </c>
    </row>
    <row r="1862" spans="1:8">
      <c r="A1862" t="s">
        <v>239</v>
      </c>
      <c r="B1862" t="s">
        <v>209</v>
      </c>
      <c r="C1862">
        <v>57</v>
      </c>
      <c r="D1862" t="s">
        <v>10200</v>
      </c>
      <c r="E1862" t="s">
        <v>10201</v>
      </c>
      <c r="F1862" t="s">
        <v>10202</v>
      </c>
      <c r="H1862" t="s">
        <v>8689</v>
      </c>
    </row>
    <row r="1863" spans="1:8">
      <c r="A1863" t="s">
        <v>243</v>
      </c>
      <c r="B1863" t="s">
        <v>209</v>
      </c>
      <c r="C1863">
        <v>57</v>
      </c>
      <c r="D1863" t="s">
        <v>10203</v>
      </c>
      <c r="E1863" t="s">
        <v>10204</v>
      </c>
      <c r="H1863" t="s">
        <v>10205</v>
      </c>
    </row>
    <row r="1864" spans="1:8">
      <c r="A1864" t="s">
        <v>242</v>
      </c>
      <c r="B1864" t="s">
        <v>209</v>
      </c>
      <c r="C1864">
        <v>57</v>
      </c>
      <c r="D1864" t="s">
        <v>10206</v>
      </c>
      <c r="E1864" t="s">
        <v>10207</v>
      </c>
      <c r="F1864" t="s">
        <v>209</v>
      </c>
    </row>
    <row r="1865" spans="1:8">
      <c r="A1865" t="s">
        <v>243</v>
      </c>
      <c r="B1865" t="s">
        <v>209</v>
      </c>
      <c r="C1865">
        <v>57</v>
      </c>
      <c r="D1865" t="s">
        <v>613</v>
      </c>
      <c r="E1865" t="s">
        <v>10208</v>
      </c>
      <c r="F1865" t="s">
        <v>209</v>
      </c>
      <c r="G1865" t="s">
        <v>614</v>
      </c>
      <c r="H1865" t="s">
        <v>615</v>
      </c>
    </row>
    <row r="1866" spans="1:8">
      <c r="A1866" t="s">
        <v>241</v>
      </c>
      <c r="B1866" t="s">
        <v>209</v>
      </c>
      <c r="C1866">
        <v>57</v>
      </c>
      <c r="D1866" t="s">
        <v>10209</v>
      </c>
      <c r="H1866" t="s">
        <v>10210</v>
      </c>
    </row>
    <row r="1867" spans="1:8">
      <c r="A1867" t="s">
        <v>241</v>
      </c>
      <c r="B1867" t="s">
        <v>209</v>
      </c>
      <c r="C1867">
        <v>57</v>
      </c>
      <c r="D1867" t="s">
        <v>10211</v>
      </c>
      <c r="E1867" t="s">
        <v>10212</v>
      </c>
      <c r="G1867" t="s">
        <v>10213</v>
      </c>
      <c r="H1867" t="s">
        <v>10214</v>
      </c>
    </row>
    <row r="1868" spans="1:8">
      <c r="A1868" t="s">
        <v>243</v>
      </c>
      <c r="B1868" t="s">
        <v>98</v>
      </c>
      <c r="C1868">
        <v>57</v>
      </c>
      <c r="D1868" t="s">
        <v>15787</v>
      </c>
      <c r="E1868" t="s">
        <v>15788</v>
      </c>
      <c r="F1868" t="s">
        <v>98</v>
      </c>
    </row>
    <row r="1869" spans="1:8">
      <c r="A1869" t="s">
        <v>240</v>
      </c>
      <c r="B1869" t="s">
        <v>8</v>
      </c>
      <c r="C1869">
        <v>58</v>
      </c>
      <c r="D1869" t="s">
        <v>2360</v>
      </c>
      <c r="E1869" t="s">
        <v>2361</v>
      </c>
      <c r="F1869" t="s">
        <v>8</v>
      </c>
      <c r="H1869" t="s">
        <v>2362</v>
      </c>
    </row>
    <row r="1870" spans="1:8">
      <c r="A1870" t="s">
        <v>241</v>
      </c>
      <c r="B1870" t="s">
        <v>8</v>
      </c>
      <c r="C1870">
        <v>58</v>
      </c>
      <c r="D1870" t="s">
        <v>2363</v>
      </c>
      <c r="E1870" t="s">
        <v>2364</v>
      </c>
      <c r="G1870" t="s">
        <v>2365</v>
      </c>
      <c r="H1870" t="s">
        <v>2366</v>
      </c>
    </row>
    <row r="1871" spans="1:8">
      <c r="A1871" t="s">
        <v>241</v>
      </c>
      <c r="B1871" t="s">
        <v>8</v>
      </c>
      <c r="C1871">
        <v>58</v>
      </c>
      <c r="D1871" t="s">
        <v>2367</v>
      </c>
      <c r="E1871" t="s">
        <v>2368</v>
      </c>
      <c r="F1871" t="s">
        <v>2369</v>
      </c>
      <c r="G1871" t="s">
        <v>2370</v>
      </c>
      <c r="H1871" t="s">
        <v>2371</v>
      </c>
    </row>
    <row r="1872" spans="1:8">
      <c r="A1872" t="s">
        <v>240</v>
      </c>
      <c r="B1872" t="s">
        <v>8</v>
      </c>
      <c r="C1872">
        <v>58</v>
      </c>
      <c r="D1872" t="s">
        <v>2372</v>
      </c>
      <c r="E1872" t="s">
        <v>2373</v>
      </c>
      <c r="F1872" t="s">
        <v>2369</v>
      </c>
      <c r="H1872" t="s">
        <v>2374</v>
      </c>
    </row>
    <row r="1873" spans="1:8">
      <c r="A1873" t="s">
        <v>243</v>
      </c>
      <c r="B1873" t="s">
        <v>8</v>
      </c>
      <c r="C1873">
        <v>58</v>
      </c>
      <c r="D1873" t="s">
        <v>2375</v>
      </c>
      <c r="F1873" t="s">
        <v>2376</v>
      </c>
      <c r="H1873" t="s">
        <v>2377</v>
      </c>
    </row>
    <row r="1874" spans="1:8">
      <c r="A1874" t="s">
        <v>242</v>
      </c>
      <c r="B1874" t="s">
        <v>8</v>
      </c>
      <c r="C1874">
        <v>58</v>
      </c>
      <c r="D1874" t="s">
        <v>2378</v>
      </c>
      <c r="E1874" t="s">
        <v>2379</v>
      </c>
      <c r="F1874" t="s">
        <v>8</v>
      </c>
    </row>
    <row r="1875" spans="1:8">
      <c r="A1875" t="s">
        <v>242</v>
      </c>
      <c r="B1875" t="s">
        <v>8</v>
      </c>
      <c r="C1875">
        <v>58</v>
      </c>
      <c r="D1875" t="s">
        <v>2380</v>
      </c>
      <c r="E1875" t="s">
        <v>2381</v>
      </c>
      <c r="F1875" t="s">
        <v>2382</v>
      </c>
    </row>
    <row r="1876" spans="1:8">
      <c r="A1876" t="s">
        <v>241</v>
      </c>
      <c r="B1876" t="s">
        <v>8</v>
      </c>
      <c r="C1876">
        <v>58</v>
      </c>
      <c r="D1876" t="s">
        <v>2383</v>
      </c>
      <c r="E1876" t="s">
        <v>2384</v>
      </c>
      <c r="F1876" t="s">
        <v>8</v>
      </c>
      <c r="H1876" t="s">
        <v>2385</v>
      </c>
    </row>
    <row r="1877" spans="1:8">
      <c r="A1877" t="s">
        <v>242</v>
      </c>
      <c r="B1877" t="s">
        <v>8</v>
      </c>
      <c r="C1877">
        <v>58</v>
      </c>
      <c r="D1877" t="s">
        <v>2386</v>
      </c>
      <c r="F1877" t="s">
        <v>2387</v>
      </c>
      <c r="G1877" t="s">
        <v>2388</v>
      </c>
      <c r="H1877" t="s">
        <v>2389</v>
      </c>
    </row>
    <row r="1878" spans="1:8">
      <c r="A1878" t="s">
        <v>240</v>
      </c>
      <c r="B1878" t="s">
        <v>8</v>
      </c>
      <c r="C1878">
        <v>58</v>
      </c>
      <c r="D1878" t="s">
        <v>2390</v>
      </c>
      <c r="E1878" t="s">
        <v>2391</v>
      </c>
      <c r="F1878" t="s">
        <v>8</v>
      </c>
      <c r="G1878" t="s">
        <v>2392</v>
      </c>
      <c r="H1878" t="s">
        <v>2393</v>
      </c>
    </row>
    <row r="1879" spans="1:8">
      <c r="A1879" t="s">
        <v>247</v>
      </c>
      <c r="B1879" t="s">
        <v>8</v>
      </c>
      <c r="C1879">
        <v>58</v>
      </c>
      <c r="D1879" t="s">
        <v>2394</v>
      </c>
      <c r="E1879" t="s">
        <v>2395</v>
      </c>
      <c r="F1879" t="s">
        <v>8</v>
      </c>
      <c r="H1879" t="s">
        <v>2396</v>
      </c>
    </row>
    <row r="1880" spans="1:8">
      <c r="A1880" t="s">
        <v>245</v>
      </c>
      <c r="B1880" t="s">
        <v>8</v>
      </c>
      <c r="C1880">
        <v>58</v>
      </c>
      <c r="D1880" t="s">
        <v>2397</v>
      </c>
      <c r="E1880" t="s">
        <v>2398</v>
      </c>
      <c r="F1880" t="s">
        <v>2369</v>
      </c>
      <c r="H1880" t="s">
        <v>2399</v>
      </c>
    </row>
    <row r="1881" spans="1:8">
      <c r="A1881" t="s">
        <v>242</v>
      </c>
      <c r="B1881" t="s">
        <v>8</v>
      </c>
      <c r="C1881">
        <v>58</v>
      </c>
      <c r="D1881" t="s">
        <v>2400</v>
      </c>
      <c r="E1881" t="s">
        <v>2401</v>
      </c>
      <c r="F1881" t="s">
        <v>8</v>
      </c>
      <c r="H1881" t="s">
        <v>2402</v>
      </c>
    </row>
    <row r="1882" spans="1:8">
      <c r="A1882" t="s">
        <v>242</v>
      </c>
      <c r="B1882" t="s">
        <v>8</v>
      </c>
      <c r="C1882">
        <v>58</v>
      </c>
      <c r="D1882" t="s">
        <v>2403</v>
      </c>
      <c r="F1882" t="s">
        <v>2404</v>
      </c>
      <c r="G1882" t="s">
        <v>2405</v>
      </c>
      <c r="H1882" t="s">
        <v>2406</v>
      </c>
    </row>
    <row r="1883" spans="1:8">
      <c r="A1883" t="s">
        <v>244</v>
      </c>
      <c r="B1883" t="s">
        <v>8</v>
      </c>
      <c r="C1883">
        <v>58</v>
      </c>
      <c r="D1883" t="s">
        <v>1282</v>
      </c>
      <c r="F1883" t="s">
        <v>2407</v>
      </c>
    </row>
    <row r="1884" spans="1:8">
      <c r="A1884" t="s">
        <v>242</v>
      </c>
      <c r="B1884" t="s">
        <v>137</v>
      </c>
      <c r="C1884">
        <v>58</v>
      </c>
      <c r="D1884" t="s">
        <v>1407</v>
      </c>
      <c r="E1884" t="s">
        <v>9863</v>
      </c>
      <c r="F1884" t="s">
        <v>137</v>
      </c>
      <c r="G1884" t="s">
        <v>9864</v>
      </c>
      <c r="H1884" t="s">
        <v>9865</v>
      </c>
    </row>
    <row r="1885" spans="1:8">
      <c r="A1885" t="s">
        <v>242</v>
      </c>
      <c r="B1885" t="s">
        <v>137</v>
      </c>
      <c r="C1885">
        <v>58</v>
      </c>
      <c r="D1885" t="s">
        <v>9866</v>
      </c>
      <c r="E1885" t="s">
        <v>9867</v>
      </c>
      <c r="F1885" t="s">
        <v>137</v>
      </c>
      <c r="G1885" t="s">
        <v>9868</v>
      </c>
      <c r="H1885" t="s">
        <v>9869</v>
      </c>
    </row>
    <row r="1886" spans="1:8">
      <c r="A1886" t="s">
        <v>243</v>
      </c>
      <c r="B1886" t="s">
        <v>137</v>
      </c>
      <c r="C1886">
        <v>58</v>
      </c>
      <c r="D1886" t="s">
        <v>613</v>
      </c>
      <c r="E1886" t="s">
        <v>9870</v>
      </c>
      <c r="F1886" t="s">
        <v>137</v>
      </c>
      <c r="G1886" t="s">
        <v>614</v>
      </c>
      <c r="H1886" t="s">
        <v>615</v>
      </c>
    </row>
    <row r="1887" spans="1:8">
      <c r="A1887" t="s">
        <v>242</v>
      </c>
      <c r="B1887" t="s">
        <v>137</v>
      </c>
      <c r="C1887">
        <v>58</v>
      </c>
      <c r="D1887" t="s">
        <v>9871</v>
      </c>
      <c r="E1887" t="s">
        <v>9872</v>
      </c>
      <c r="F1887" t="s">
        <v>137</v>
      </c>
      <c r="H1887" t="s">
        <v>9873</v>
      </c>
    </row>
    <row r="1888" spans="1:8">
      <c r="A1888" t="s">
        <v>242</v>
      </c>
      <c r="B1888" t="s">
        <v>137</v>
      </c>
      <c r="C1888">
        <v>58</v>
      </c>
      <c r="D1888" t="s">
        <v>9874</v>
      </c>
      <c r="E1888" t="s">
        <v>9875</v>
      </c>
      <c r="F1888" t="s">
        <v>137</v>
      </c>
      <c r="G1888" t="s">
        <v>9876</v>
      </c>
      <c r="H1888" t="s">
        <v>565</v>
      </c>
    </row>
    <row r="1889" spans="1:8">
      <c r="A1889" t="s">
        <v>242</v>
      </c>
      <c r="B1889" t="s">
        <v>137</v>
      </c>
      <c r="C1889">
        <v>58</v>
      </c>
      <c r="D1889" t="s">
        <v>9877</v>
      </c>
      <c r="E1889" t="s">
        <v>9872</v>
      </c>
      <c r="F1889" t="s">
        <v>137</v>
      </c>
    </row>
    <row r="1890" spans="1:8">
      <c r="A1890" t="s">
        <v>241</v>
      </c>
      <c r="B1890" t="s">
        <v>137</v>
      </c>
      <c r="C1890">
        <v>58</v>
      </c>
      <c r="D1890" t="s">
        <v>9878</v>
      </c>
      <c r="E1890" t="s">
        <v>9879</v>
      </c>
      <c r="F1890" t="s">
        <v>137</v>
      </c>
      <c r="G1890" t="s">
        <v>9880</v>
      </c>
      <c r="H1890" t="s">
        <v>9881</v>
      </c>
    </row>
    <row r="1891" spans="1:8">
      <c r="A1891" t="s">
        <v>242</v>
      </c>
      <c r="B1891" t="s">
        <v>137</v>
      </c>
      <c r="C1891">
        <v>58</v>
      </c>
      <c r="D1891" t="s">
        <v>9882</v>
      </c>
      <c r="E1891" t="s">
        <v>9883</v>
      </c>
    </row>
    <row r="1892" spans="1:8">
      <c r="A1892" t="s">
        <v>238</v>
      </c>
      <c r="B1892" t="s">
        <v>137</v>
      </c>
      <c r="C1892">
        <v>58</v>
      </c>
      <c r="D1892" t="s">
        <v>9884</v>
      </c>
      <c r="E1892" t="s">
        <v>9879</v>
      </c>
      <c r="F1892" t="s">
        <v>137</v>
      </c>
      <c r="G1892" t="s">
        <v>9880</v>
      </c>
      <c r="H1892" t="s">
        <v>9881</v>
      </c>
    </row>
    <row r="1893" spans="1:8">
      <c r="A1893" t="s">
        <v>242</v>
      </c>
      <c r="B1893" t="s">
        <v>84</v>
      </c>
      <c r="C1893">
        <v>58</v>
      </c>
      <c r="D1893" t="s">
        <v>9980</v>
      </c>
      <c r="E1893" t="s">
        <v>9981</v>
      </c>
      <c r="F1893" t="s">
        <v>84</v>
      </c>
      <c r="G1893" t="s">
        <v>9982</v>
      </c>
      <c r="H1893" t="s">
        <v>9983</v>
      </c>
    </row>
    <row r="1894" spans="1:8">
      <c r="A1894" t="s">
        <v>241</v>
      </c>
      <c r="B1894" t="s">
        <v>84</v>
      </c>
      <c r="C1894">
        <v>58</v>
      </c>
      <c r="D1894" t="s">
        <v>9984</v>
      </c>
      <c r="E1894" t="s">
        <v>9985</v>
      </c>
      <c r="G1894" t="s">
        <v>9986</v>
      </c>
      <c r="H1894" t="s">
        <v>9987</v>
      </c>
    </row>
    <row r="1895" spans="1:8">
      <c r="A1895" t="s">
        <v>241</v>
      </c>
      <c r="B1895" t="s">
        <v>84</v>
      </c>
      <c r="C1895">
        <v>58</v>
      </c>
      <c r="D1895" t="s">
        <v>9988</v>
      </c>
      <c r="E1895" t="s">
        <v>9989</v>
      </c>
      <c r="F1895" t="s">
        <v>84</v>
      </c>
      <c r="H1895" t="s">
        <v>9990</v>
      </c>
    </row>
    <row r="1896" spans="1:8">
      <c r="A1896" t="s">
        <v>238</v>
      </c>
      <c r="B1896" t="s">
        <v>84</v>
      </c>
      <c r="C1896">
        <v>58</v>
      </c>
      <c r="D1896" t="s">
        <v>9991</v>
      </c>
      <c r="G1896" t="s">
        <v>9992</v>
      </c>
      <c r="H1896" t="s">
        <v>9993</v>
      </c>
    </row>
    <row r="1897" spans="1:8">
      <c r="A1897" t="s">
        <v>238</v>
      </c>
      <c r="B1897" t="s">
        <v>84</v>
      </c>
      <c r="C1897">
        <v>58</v>
      </c>
      <c r="D1897" t="s">
        <v>9994</v>
      </c>
      <c r="E1897" t="s">
        <v>9995</v>
      </c>
      <c r="F1897" t="s">
        <v>84</v>
      </c>
      <c r="G1897" t="s">
        <v>9996</v>
      </c>
      <c r="H1897" t="s">
        <v>9997</v>
      </c>
    </row>
    <row r="1898" spans="1:8">
      <c r="A1898" t="s">
        <v>242</v>
      </c>
      <c r="B1898" t="s">
        <v>84</v>
      </c>
      <c r="C1898">
        <v>58</v>
      </c>
      <c r="D1898" t="s">
        <v>9998</v>
      </c>
      <c r="E1898" t="s">
        <v>9999</v>
      </c>
      <c r="F1898" t="s">
        <v>84</v>
      </c>
      <c r="G1898" t="s">
        <v>10000</v>
      </c>
      <c r="H1898" t="s">
        <v>10001</v>
      </c>
    </row>
    <row r="1899" spans="1:8">
      <c r="A1899" t="s">
        <v>242</v>
      </c>
      <c r="B1899" t="s">
        <v>84</v>
      </c>
      <c r="C1899">
        <v>58</v>
      </c>
      <c r="D1899" t="s">
        <v>10002</v>
      </c>
      <c r="E1899" t="s">
        <v>10003</v>
      </c>
      <c r="F1899" t="s">
        <v>84</v>
      </c>
      <c r="G1899" t="s">
        <v>10004</v>
      </c>
      <c r="H1899" t="s">
        <v>10005</v>
      </c>
    </row>
    <row r="1900" spans="1:8">
      <c r="A1900" t="s">
        <v>238</v>
      </c>
      <c r="B1900" t="s">
        <v>84</v>
      </c>
      <c r="C1900">
        <v>58</v>
      </c>
      <c r="D1900" t="s">
        <v>10006</v>
      </c>
      <c r="E1900" t="s">
        <v>10007</v>
      </c>
      <c r="F1900" t="s">
        <v>84</v>
      </c>
      <c r="G1900" t="s">
        <v>10008</v>
      </c>
      <c r="H1900" t="s">
        <v>10009</v>
      </c>
    </row>
    <row r="1901" spans="1:8">
      <c r="A1901" t="s">
        <v>241</v>
      </c>
      <c r="B1901" t="s">
        <v>84</v>
      </c>
      <c r="C1901">
        <v>58</v>
      </c>
      <c r="D1901" t="s">
        <v>10010</v>
      </c>
      <c r="E1901" t="s">
        <v>10011</v>
      </c>
      <c r="H1901" t="s">
        <v>10012</v>
      </c>
    </row>
    <row r="1902" spans="1:8">
      <c r="A1902" t="s">
        <v>242</v>
      </c>
      <c r="B1902" t="s">
        <v>84</v>
      </c>
      <c r="C1902">
        <v>58</v>
      </c>
      <c r="D1902" t="s">
        <v>10013</v>
      </c>
      <c r="E1902" t="s">
        <v>10014</v>
      </c>
      <c r="F1902" t="s">
        <v>84</v>
      </c>
      <c r="G1902" t="s">
        <v>10015</v>
      </c>
      <c r="H1902" t="s">
        <v>10016</v>
      </c>
    </row>
    <row r="1903" spans="1:8">
      <c r="A1903" t="s">
        <v>241</v>
      </c>
      <c r="B1903" t="s">
        <v>84</v>
      </c>
      <c r="C1903">
        <v>58</v>
      </c>
      <c r="D1903" t="s">
        <v>10017</v>
      </c>
      <c r="E1903" t="s">
        <v>10018</v>
      </c>
      <c r="F1903" t="s">
        <v>84</v>
      </c>
      <c r="G1903" t="s">
        <v>9982</v>
      </c>
      <c r="H1903" t="s">
        <v>9983</v>
      </c>
    </row>
    <row r="1904" spans="1:8">
      <c r="A1904" t="s">
        <v>241</v>
      </c>
      <c r="B1904" t="s">
        <v>44</v>
      </c>
      <c r="C1904">
        <v>58</v>
      </c>
      <c r="D1904" t="s">
        <v>13059</v>
      </c>
      <c r="E1904" t="s">
        <v>13060</v>
      </c>
      <c r="F1904" t="s">
        <v>44</v>
      </c>
      <c r="G1904" t="s">
        <v>13061</v>
      </c>
      <c r="H1904" t="s">
        <v>13062</v>
      </c>
    </row>
    <row r="1905" spans="1:8">
      <c r="A1905" t="s">
        <v>242</v>
      </c>
      <c r="B1905" t="s">
        <v>44</v>
      </c>
      <c r="C1905">
        <v>58</v>
      </c>
      <c r="D1905" t="s">
        <v>13063</v>
      </c>
      <c r="E1905" t="s">
        <v>13064</v>
      </c>
      <c r="F1905" t="s">
        <v>13065</v>
      </c>
      <c r="G1905" t="s">
        <v>13066</v>
      </c>
      <c r="H1905" t="s">
        <v>13067</v>
      </c>
    </row>
    <row r="1906" spans="1:8">
      <c r="A1906" t="s">
        <v>242</v>
      </c>
      <c r="B1906" t="s">
        <v>44</v>
      </c>
      <c r="C1906">
        <v>58</v>
      </c>
      <c r="D1906" t="s">
        <v>13068</v>
      </c>
      <c r="F1906" t="s">
        <v>13069</v>
      </c>
      <c r="H1906" t="s">
        <v>13070</v>
      </c>
    </row>
    <row r="1907" spans="1:8">
      <c r="A1907" t="s">
        <v>240</v>
      </c>
      <c r="B1907" t="s">
        <v>44</v>
      </c>
      <c r="C1907">
        <v>58</v>
      </c>
      <c r="D1907" t="s">
        <v>13071</v>
      </c>
      <c r="E1907" t="s">
        <v>13072</v>
      </c>
      <c r="F1907" t="s">
        <v>44</v>
      </c>
      <c r="G1907" t="s">
        <v>13073</v>
      </c>
      <c r="H1907" t="s">
        <v>13074</v>
      </c>
    </row>
    <row r="1908" spans="1:8">
      <c r="A1908" t="s">
        <v>242</v>
      </c>
      <c r="B1908" t="s">
        <v>44</v>
      </c>
      <c r="C1908">
        <v>58</v>
      </c>
      <c r="D1908" t="s">
        <v>13075</v>
      </c>
      <c r="E1908" t="s">
        <v>13076</v>
      </c>
      <c r="F1908" t="s">
        <v>44</v>
      </c>
    </row>
    <row r="1909" spans="1:8">
      <c r="A1909" t="s">
        <v>243</v>
      </c>
      <c r="B1909" t="s">
        <v>44</v>
      </c>
      <c r="C1909">
        <v>58</v>
      </c>
      <c r="D1909" t="s">
        <v>10528</v>
      </c>
      <c r="E1909" t="s">
        <v>13077</v>
      </c>
      <c r="F1909" t="s">
        <v>44</v>
      </c>
      <c r="H1909" t="s">
        <v>13078</v>
      </c>
    </row>
    <row r="1910" spans="1:8">
      <c r="A1910" t="s">
        <v>240</v>
      </c>
      <c r="B1910" t="s">
        <v>136</v>
      </c>
      <c r="C1910">
        <v>59</v>
      </c>
      <c r="D1910" t="s">
        <v>9847</v>
      </c>
      <c r="E1910" t="s">
        <v>9848</v>
      </c>
      <c r="F1910" t="s">
        <v>136</v>
      </c>
      <c r="G1910" t="s">
        <v>9849</v>
      </c>
      <c r="H1910" t="s">
        <v>9850</v>
      </c>
    </row>
    <row r="1911" spans="1:8">
      <c r="A1911" t="s">
        <v>242</v>
      </c>
      <c r="B1911" t="s">
        <v>136</v>
      </c>
      <c r="C1911">
        <v>59</v>
      </c>
      <c r="D1911" t="s">
        <v>9851</v>
      </c>
      <c r="E1911" t="s">
        <v>9852</v>
      </c>
      <c r="F1911" t="s">
        <v>136</v>
      </c>
      <c r="G1911" t="s">
        <v>9853</v>
      </c>
      <c r="H1911" t="s">
        <v>9854</v>
      </c>
    </row>
    <row r="1912" spans="1:8">
      <c r="A1912" t="s">
        <v>238</v>
      </c>
      <c r="B1912" t="s">
        <v>136</v>
      </c>
      <c r="C1912">
        <v>59</v>
      </c>
      <c r="D1912" t="s">
        <v>9855</v>
      </c>
      <c r="E1912" t="s">
        <v>9856</v>
      </c>
      <c r="F1912" t="s">
        <v>136</v>
      </c>
      <c r="G1912" t="s">
        <v>9857</v>
      </c>
      <c r="H1912" t="s">
        <v>9858</v>
      </c>
    </row>
    <row r="1913" spans="1:8">
      <c r="A1913" t="s">
        <v>241</v>
      </c>
      <c r="B1913" t="s">
        <v>136</v>
      </c>
      <c r="C1913">
        <v>59</v>
      </c>
      <c r="D1913" t="s">
        <v>9859</v>
      </c>
      <c r="E1913" t="s">
        <v>9860</v>
      </c>
      <c r="F1913" t="s">
        <v>136</v>
      </c>
      <c r="G1913" t="s">
        <v>9861</v>
      </c>
      <c r="H1913" t="s">
        <v>9862</v>
      </c>
    </row>
    <row r="1914" spans="1:8">
      <c r="A1914" t="s">
        <v>241</v>
      </c>
      <c r="B1914" t="s">
        <v>93</v>
      </c>
      <c r="C1914">
        <v>59</v>
      </c>
      <c r="D1914" t="s">
        <v>12055</v>
      </c>
      <c r="E1914" t="s">
        <v>12056</v>
      </c>
      <c r="G1914" t="s">
        <v>12057</v>
      </c>
      <c r="H1914" t="s">
        <v>12058</v>
      </c>
    </row>
    <row r="1915" spans="1:8">
      <c r="A1915" t="s">
        <v>241</v>
      </c>
      <c r="B1915" t="s">
        <v>93</v>
      </c>
      <c r="C1915">
        <v>59</v>
      </c>
      <c r="D1915" t="s">
        <v>12059</v>
      </c>
      <c r="E1915" t="s">
        <v>12060</v>
      </c>
      <c r="H1915" t="s">
        <v>12061</v>
      </c>
    </row>
    <row r="1916" spans="1:8">
      <c r="A1916" t="s">
        <v>241</v>
      </c>
      <c r="B1916" t="s">
        <v>93</v>
      </c>
      <c r="C1916">
        <v>59</v>
      </c>
      <c r="D1916" t="s">
        <v>12062</v>
      </c>
      <c r="E1916" t="s">
        <v>12063</v>
      </c>
      <c r="H1916" t="s">
        <v>12064</v>
      </c>
    </row>
    <row r="1917" spans="1:8">
      <c r="A1917" t="s">
        <v>239</v>
      </c>
      <c r="B1917" t="s">
        <v>93</v>
      </c>
      <c r="C1917">
        <v>59</v>
      </c>
      <c r="D1917" t="s">
        <v>12065</v>
      </c>
      <c r="E1917" t="s">
        <v>12066</v>
      </c>
      <c r="H1917" t="s">
        <v>12067</v>
      </c>
    </row>
    <row r="1918" spans="1:8">
      <c r="A1918" t="s">
        <v>238</v>
      </c>
      <c r="B1918" t="s">
        <v>93</v>
      </c>
      <c r="C1918">
        <v>59</v>
      </c>
      <c r="D1918" t="s">
        <v>12068</v>
      </c>
      <c r="E1918" t="s">
        <v>12069</v>
      </c>
      <c r="F1918" t="s">
        <v>93</v>
      </c>
      <c r="G1918" t="s">
        <v>12070</v>
      </c>
      <c r="H1918" t="s">
        <v>12071</v>
      </c>
    </row>
    <row r="1919" spans="1:8">
      <c r="A1919" t="s">
        <v>242</v>
      </c>
      <c r="B1919" t="s">
        <v>93</v>
      </c>
      <c r="C1919">
        <v>59</v>
      </c>
      <c r="D1919" t="s">
        <v>12072</v>
      </c>
      <c r="E1919" t="s">
        <v>12073</v>
      </c>
      <c r="F1919" t="s">
        <v>93</v>
      </c>
      <c r="G1919" t="s">
        <v>12074</v>
      </c>
      <c r="H1919" t="s">
        <v>12075</v>
      </c>
    </row>
    <row r="1920" spans="1:8">
      <c r="A1920" t="s">
        <v>241</v>
      </c>
      <c r="B1920" t="s">
        <v>93</v>
      </c>
      <c r="C1920">
        <v>59</v>
      </c>
      <c r="D1920" t="s">
        <v>12076</v>
      </c>
      <c r="E1920" t="s">
        <v>12077</v>
      </c>
      <c r="F1920" t="s">
        <v>93</v>
      </c>
      <c r="H1920" t="s">
        <v>12078</v>
      </c>
    </row>
    <row r="1921" spans="1:8">
      <c r="A1921" t="s">
        <v>238</v>
      </c>
      <c r="B1921" t="s">
        <v>93</v>
      </c>
      <c r="C1921">
        <v>59</v>
      </c>
      <c r="D1921" t="s">
        <v>12079</v>
      </c>
      <c r="E1921" t="s">
        <v>12080</v>
      </c>
      <c r="F1921" t="s">
        <v>12081</v>
      </c>
      <c r="H1921" t="s">
        <v>12082</v>
      </c>
    </row>
    <row r="1922" spans="1:8">
      <c r="A1922" t="s">
        <v>243</v>
      </c>
      <c r="B1922" t="s">
        <v>93</v>
      </c>
      <c r="C1922">
        <v>59</v>
      </c>
      <c r="D1922" t="s">
        <v>9641</v>
      </c>
      <c r="E1922" t="s">
        <v>12083</v>
      </c>
      <c r="F1922" t="s">
        <v>93</v>
      </c>
      <c r="H1922" t="s">
        <v>12084</v>
      </c>
    </row>
    <row r="1923" spans="1:8">
      <c r="A1923" t="s">
        <v>242</v>
      </c>
      <c r="B1923" t="s">
        <v>93</v>
      </c>
      <c r="C1923">
        <v>59</v>
      </c>
      <c r="D1923" t="s">
        <v>12085</v>
      </c>
      <c r="E1923" t="s">
        <v>12086</v>
      </c>
      <c r="F1923" t="s">
        <v>93</v>
      </c>
      <c r="G1923" t="s">
        <v>12087</v>
      </c>
      <c r="H1923" t="s">
        <v>12088</v>
      </c>
    </row>
    <row r="1924" spans="1:8">
      <c r="A1924" t="s">
        <v>249</v>
      </c>
      <c r="B1924" t="s">
        <v>101</v>
      </c>
      <c r="C1924">
        <v>59</v>
      </c>
      <c r="D1924" t="s">
        <v>12502</v>
      </c>
      <c r="E1924" t="s">
        <v>16508</v>
      </c>
      <c r="F1924" t="s">
        <v>101</v>
      </c>
      <c r="G1924" t="s">
        <v>16509</v>
      </c>
      <c r="H1924" t="s">
        <v>16510</v>
      </c>
    </row>
    <row r="1925" spans="1:8">
      <c r="A1925" t="s">
        <v>240</v>
      </c>
      <c r="B1925" t="s">
        <v>101</v>
      </c>
      <c r="C1925">
        <v>59</v>
      </c>
      <c r="D1925" t="s">
        <v>12709</v>
      </c>
      <c r="E1925" t="s">
        <v>16511</v>
      </c>
      <c r="F1925" t="s">
        <v>101</v>
      </c>
      <c r="G1925" t="s">
        <v>16512</v>
      </c>
      <c r="H1925" t="s">
        <v>16513</v>
      </c>
    </row>
    <row r="1926" spans="1:8">
      <c r="A1926" t="s">
        <v>240</v>
      </c>
      <c r="B1926" t="s">
        <v>101</v>
      </c>
      <c r="C1926">
        <v>59</v>
      </c>
      <c r="D1926" t="s">
        <v>16514</v>
      </c>
      <c r="E1926" t="s">
        <v>16515</v>
      </c>
      <c r="F1926" t="s">
        <v>101</v>
      </c>
      <c r="G1926" t="s">
        <v>16516</v>
      </c>
      <c r="H1926" t="s">
        <v>16517</v>
      </c>
    </row>
    <row r="1927" spans="1:8">
      <c r="A1927" t="s">
        <v>240</v>
      </c>
      <c r="B1927" t="s">
        <v>101</v>
      </c>
      <c r="C1927">
        <v>59</v>
      </c>
      <c r="D1927" t="s">
        <v>2797</v>
      </c>
      <c r="E1927" t="s">
        <v>16518</v>
      </c>
      <c r="F1927" t="s">
        <v>101</v>
      </c>
      <c r="H1927" t="s">
        <v>16519</v>
      </c>
    </row>
    <row r="1928" spans="1:8">
      <c r="A1928" t="s">
        <v>240</v>
      </c>
      <c r="B1928" t="s">
        <v>101</v>
      </c>
      <c r="C1928">
        <v>59</v>
      </c>
      <c r="D1928" t="s">
        <v>16520</v>
      </c>
      <c r="E1928" t="s">
        <v>16521</v>
      </c>
      <c r="F1928" t="s">
        <v>101</v>
      </c>
      <c r="G1928" t="s">
        <v>16522</v>
      </c>
      <c r="H1928" t="s">
        <v>16523</v>
      </c>
    </row>
    <row r="1929" spans="1:8">
      <c r="A1929" t="s">
        <v>240</v>
      </c>
      <c r="B1929" t="s">
        <v>101</v>
      </c>
      <c r="C1929">
        <v>59</v>
      </c>
      <c r="D1929" t="s">
        <v>16524</v>
      </c>
      <c r="E1929" t="s">
        <v>16525</v>
      </c>
      <c r="F1929" t="s">
        <v>101</v>
      </c>
      <c r="G1929" t="s">
        <v>16526</v>
      </c>
      <c r="H1929" t="s">
        <v>16527</v>
      </c>
    </row>
    <row r="1930" spans="1:8">
      <c r="A1930" t="s">
        <v>240</v>
      </c>
      <c r="B1930" t="s">
        <v>101</v>
      </c>
      <c r="C1930">
        <v>59</v>
      </c>
      <c r="D1930" t="s">
        <v>5110</v>
      </c>
      <c r="E1930" t="s">
        <v>16528</v>
      </c>
      <c r="F1930" t="s">
        <v>101</v>
      </c>
      <c r="G1930" t="s">
        <v>16529</v>
      </c>
      <c r="H1930" t="s">
        <v>16530</v>
      </c>
    </row>
    <row r="1931" spans="1:8">
      <c r="A1931" t="s">
        <v>240</v>
      </c>
      <c r="B1931" t="s">
        <v>101</v>
      </c>
      <c r="C1931">
        <v>59</v>
      </c>
      <c r="D1931" t="s">
        <v>16531</v>
      </c>
      <c r="E1931" t="s">
        <v>16532</v>
      </c>
      <c r="F1931" t="s">
        <v>101</v>
      </c>
      <c r="G1931" t="s">
        <v>16533</v>
      </c>
      <c r="H1931" t="s">
        <v>16534</v>
      </c>
    </row>
    <row r="1932" spans="1:8">
      <c r="A1932" t="s">
        <v>240</v>
      </c>
      <c r="B1932" t="s">
        <v>101</v>
      </c>
      <c r="C1932">
        <v>59</v>
      </c>
      <c r="D1932" t="s">
        <v>16535</v>
      </c>
      <c r="E1932" t="s">
        <v>16536</v>
      </c>
      <c r="F1932" t="s">
        <v>101</v>
      </c>
      <c r="G1932" t="s">
        <v>16537</v>
      </c>
      <c r="H1932" t="s">
        <v>16538</v>
      </c>
    </row>
    <row r="1933" spans="1:8">
      <c r="A1933" t="s">
        <v>240</v>
      </c>
      <c r="B1933" t="s">
        <v>101</v>
      </c>
      <c r="C1933">
        <v>59</v>
      </c>
      <c r="D1933" t="s">
        <v>3816</v>
      </c>
      <c r="E1933" t="s">
        <v>16539</v>
      </c>
      <c r="F1933" t="s">
        <v>101</v>
      </c>
      <c r="G1933" t="s">
        <v>16540</v>
      </c>
      <c r="H1933" t="s">
        <v>16541</v>
      </c>
    </row>
    <row r="1934" spans="1:8">
      <c r="A1934" t="s">
        <v>240</v>
      </c>
      <c r="B1934" t="s">
        <v>101</v>
      </c>
      <c r="C1934">
        <v>59</v>
      </c>
      <c r="D1934" t="s">
        <v>16542</v>
      </c>
      <c r="E1934" t="s">
        <v>16543</v>
      </c>
      <c r="F1934" t="s">
        <v>101</v>
      </c>
      <c r="G1934" t="s">
        <v>16544</v>
      </c>
      <c r="H1934" t="s">
        <v>16545</v>
      </c>
    </row>
    <row r="1935" spans="1:8">
      <c r="A1935" t="s">
        <v>240</v>
      </c>
      <c r="B1935" t="s">
        <v>101</v>
      </c>
      <c r="C1935">
        <v>59</v>
      </c>
      <c r="D1935" t="s">
        <v>16546</v>
      </c>
      <c r="E1935" t="s">
        <v>16547</v>
      </c>
      <c r="F1935" t="s">
        <v>101</v>
      </c>
      <c r="G1935" t="s">
        <v>16548</v>
      </c>
      <c r="H1935" t="s">
        <v>16549</v>
      </c>
    </row>
    <row r="1936" spans="1:8">
      <c r="A1936" t="s">
        <v>240</v>
      </c>
      <c r="B1936" t="s">
        <v>101</v>
      </c>
      <c r="C1936">
        <v>59</v>
      </c>
      <c r="D1936" t="s">
        <v>16550</v>
      </c>
      <c r="E1936" t="s">
        <v>16551</v>
      </c>
      <c r="F1936" t="s">
        <v>101</v>
      </c>
      <c r="G1936" t="s">
        <v>16552</v>
      </c>
      <c r="H1936" t="s">
        <v>16553</v>
      </c>
    </row>
    <row r="1937" spans="1:8">
      <c r="A1937" t="s">
        <v>246</v>
      </c>
      <c r="B1937" t="s">
        <v>101</v>
      </c>
      <c r="C1937">
        <v>59</v>
      </c>
      <c r="D1937" t="s">
        <v>16554</v>
      </c>
      <c r="E1937" t="s">
        <v>16555</v>
      </c>
      <c r="F1937" t="s">
        <v>101</v>
      </c>
      <c r="H1937" t="s">
        <v>16556</v>
      </c>
    </row>
    <row r="1938" spans="1:8">
      <c r="A1938" t="s">
        <v>240</v>
      </c>
      <c r="B1938" t="s">
        <v>101</v>
      </c>
      <c r="C1938">
        <v>59</v>
      </c>
      <c r="D1938" t="s">
        <v>16557</v>
      </c>
      <c r="E1938" t="s">
        <v>16558</v>
      </c>
      <c r="F1938" t="s">
        <v>101</v>
      </c>
      <c r="G1938" t="s">
        <v>16559</v>
      </c>
      <c r="H1938" t="s">
        <v>16560</v>
      </c>
    </row>
    <row r="1939" spans="1:8">
      <c r="A1939" t="s">
        <v>241</v>
      </c>
      <c r="B1939" t="s">
        <v>101</v>
      </c>
      <c r="C1939">
        <v>59</v>
      </c>
      <c r="D1939" t="s">
        <v>16561</v>
      </c>
      <c r="E1939" t="s">
        <v>16562</v>
      </c>
      <c r="F1939" t="s">
        <v>101</v>
      </c>
      <c r="H1939" t="s">
        <v>16563</v>
      </c>
    </row>
    <row r="1940" spans="1:8">
      <c r="A1940" t="s">
        <v>240</v>
      </c>
      <c r="B1940" t="s">
        <v>101</v>
      </c>
      <c r="C1940">
        <v>59</v>
      </c>
      <c r="D1940" t="s">
        <v>16564</v>
      </c>
      <c r="E1940" t="s">
        <v>16565</v>
      </c>
      <c r="F1940" t="s">
        <v>101</v>
      </c>
      <c r="G1940" t="s">
        <v>16566</v>
      </c>
      <c r="H1940" t="s">
        <v>16567</v>
      </c>
    </row>
    <row r="1941" spans="1:8">
      <c r="A1941" t="s">
        <v>240</v>
      </c>
      <c r="B1941" t="s">
        <v>101</v>
      </c>
      <c r="C1941">
        <v>59</v>
      </c>
      <c r="D1941" t="s">
        <v>16568</v>
      </c>
      <c r="E1941" t="s">
        <v>16569</v>
      </c>
      <c r="F1941" t="s">
        <v>101</v>
      </c>
      <c r="G1941" t="s">
        <v>16570</v>
      </c>
      <c r="H1941" t="s">
        <v>16571</v>
      </c>
    </row>
    <row r="1942" spans="1:8">
      <c r="A1942" t="s">
        <v>240</v>
      </c>
      <c r="B1942" t="s">
        <v>101</v>
      </c>
      <c r="C1942">
        <v>59</v>
      </c>
      <c r="D1942" t="s">
        <v>16572</v>
      </c>
      <c r="E1942" t="s">
        <v>16573</v>
      </c>
      <c r="F1942" t="s">
        <v>101</v>
      </c>
      <c r="G1942" t="s">
        <v>16574</v>
      </c>
      <c r="H1942" t="s">
        <v>16575</v>
      </c>
    </row>
    <row r="1943" spans="1:8">
      <c r="A1943" t="s">
        <v>240</v>
      </c>
      <c r="B1943" t="s">
        <v>101</v>
      </c>
      <c r="C1943">
        <v>59</v>
      </c>
      <c r="D1943" t="s">
        <v>16576</v>
      </c>
      <c r="E1943" t="s">
        <v>16577</v>
      </c>
      <c r="F1943" t="s">
        <v>101</v>
      </c>
      <c r="G1943" t="s">
        <v>16578</v>
      </c>
      <c r="H1943" t="s">
        <v>16579</v>
      </c>
    </row>
    <row r="1944" spans="1:8">
      <c r="A1944" t="s">
        <v>240</v>
      </c>
      <c r="B1944" t="s">
        <v>101</v>
      </c>
      <c r="C1944">
        <v>59</v>
      </c>
      <c r="D1944" t="s">
        <v>5534</v>
      </c>
      <c r="E1944" t="s">
        <v>16580</v>
      </c>
      <c r="F1944" t="s">
        <v>101</v>
      </c>
      <c r="G1944" t="s">
        <v>16581</v>
      </c>
      <c r="H1944" t="s">
        <v>16582</v>
      </c>
    </row>
    <row r="1945" spans="1:8">
      <c r="A1945" t="s">
        <v>240</v>
      </c>
      <c r="B1945" t="s">
        <v>101</v>
      </c>
      <c r="C1945">
        <v>59</v>
      </c>
      <c r="D1945" t="s">
        <v>16583</v>
      </c>
      <c r="E1945" t="s">
        <v>16584</v>
      </c>
      <c r="F1945" t="s">
        <v>101</v>
      </c>
      <c r="G1945" t="s">
        <v>16585</v>
      </c>
      <c r="H1945" t="s">
        <v>16586</v>
      </c>
    </row>
    <row r="1946" spans="1:8">
      <c r="A1946" t="s">
        <v>240</v>
      </c>
      <c r="B1946" t="s">
        <v>101</v>
      </c>
      <c r="C1946">
        <v>59</v>
      </c>
      <c r="D1946" t="s">
        <v>5490</v>
      </c>
      <c r="E1946" t="s">
        <v>16587</v>
      </c>
      <c r="F1946" t="s">
        <v>101</v>
      </c>
      <c r="G1946" t="s">
        <v>16588</v>
      </c>
      <c r="H1946" t="s">
        <v>16589</v>
      </c>
    </row>
    <row r="1947" spans="1:8">
      <c r="A1947" t="s">
        <v>240</v>
      </c>
      <c r="B1947" t="s">
        <v>101</v>
      </c>
      <c r="C1947">
        <v>59</v>
      </c>
      <c r="D1947" t="s">
        <v>4585</v>
      </c>
      <c r="E1947" t="s">
        <v>16590</v>
      </c>
      <c r="F1947" t="s">
        <v>101</v>
      </c>
      <c r="G1947" t="s">
        <v>16591</v>
      </c>
      <c r="H1947" t="s">
        <v>16592</v>
      </c>
    </row>
    <row r="1948" spans="1:8">
      <c r="A1948" t="s">
        <v>240</v>
      </c>
      <c r="B1948" t="s">
        <v>101</v>
      </c>
      <c r="C1948">
        <v>59</v>
      </c>
      <c r="D1948" t="s">
        <v>16593</v>
      </c>
      <c r="E1948" t="s">
        <v>16594</v>
      </c>
      <c r="F1948" t="s">
        <v>101</v>
      </c>
      <c r="G1948" t="s">
        <v>16595</v>
      </c>
      <c r="H1948" t="s">
        <v>16596</v>
      </c>
    </row>
    <row r="1949" spans="1:8">
      <c r="A1949" t="s">
        <v>240</v>
      </c>
      <c r="B1949" t="s">
        <v>101</v>
      </c>
      <c r="C1949">
        <v>59</v>
      </c>
      <c r="D1949" t="s">
        <v>16597</v>
      </c>
      <c r="E1949" t="s">
        <v>16598</v>
      </c>
      <c r="F1949" t="s">
        <v>101</v>
      </c>
      <c r="G1949" t="s">
        <v>16599</v>
      </c>
      <c r="H1949" t="s">
        <v>16600</v>
      </c>
    </row>
    <row r="1950" spans="1:8">
      <c r="A1950" t="s">
        <v>240</v>
      </c>
      <c r="B1950" t="s">
        <v>101</v>
      </c>
      <c r="C1950">
        <v>59</v>
      </c>
      <c r="D1950" t="s">
        <v>16601</v>
      </c>
      <c r="E1950" t="s">
        <v>16602</v>
      </c>
      <c r="F1950" t="s">
        <v>101</v>
      </c>
      <c r="G1950" t="s">
        <v>16603</v>
      </c>
      <c r="H1950" t="s">
        <v>16604</v>
      </c>
    </row>
    <row r="1951" spans="1:8">
      <c r="A1951" t="s">
        <v>240</v>
      </c>
      <c r="B1951" t="s">
        <v>101</v>
      </c>
      <c r="C1951">
        <v>59</v>
      </c>
      <c r="D1951" t="s">
        <v>16605</v>
      </c>
      <c r="E1951" t="s">
        <v>16606</v>
      </c>
      <c r="F1951" t="s">
        <v>101</v>
      </c>
      <c r="G1951" t="s">
        <v>16607</v>
      </c>
      <c r="H1951" t="s">
        <v>16608</v>
      </c>
    </row>
    <row r="1952" spans="1:8">
      <c r="A1952" t="s">
        <v>240</v>
      </c>
      <c r="B1952" t="s">
        <v>101</v>
      </c>
      <c r="C1952">
        <v>59</v>
      </c>
      <c r="D1952" t="s">
        <v>16609</v>
      </c>
      <c r="E1952" t="s">
        <v>16610</v>
      </c>
      <c r="F1952" t="s">
        <v>101</v>
      </c>
      <c r="G1952" t="s">
        <v>16611</v>
      </c>
      <c r="H1952" t="s">
        <v>16612</v>
      </c>
    </row>
    <row r="1953" spans="1:8">
      <c r="A1953" t="s">
        <v>240</v>
      </c>
      <c r="B1953" t="s">
        <v>101</v>
      </c>
      <c r="C1953">
        <v>59</v>
      </c>
      <c r="D1953" t="s">
        <v>16613</v>
      </c>
      <c r="E1953" t="s">
        <v>16614</v>
      </c>
      <c r="F1953" t="s">
        <v>101</v>
      </c>
      <c r="G1953" t="s">
        <v>16615</v>
      </c>
      <c r="H1953" t="s">
        <v>16616</v>
      </c>
    </row>
    <row r="1954" spans="1:8">
      <c r="A1954" t="s">
        <v>240</v>
      </c>
      <c r="B1954" t="s">
        <v>101</v>
      </c>
      <c r="C1954">
        <v>59</v>
      </c>
      <c r="D1954" t="s">
        <v>16617</v>
      </c>
      <c r="E1954" t="s">
        <v>16618</v>
      </c>
      <c r="F1954" t="s">
        <v>101</v>
      </c>
      <c r="G1954" t="s">
        <v>16619</v>
      </c>
      <c r="H1954" t="s">
        <v>16620</v>
      </c>
    </row>
    <row r="1955" spans="1:8">
      <c r="A1955" t="s">
        <v>240</v>
      </c>
      <c r="B1955" t="s">
        <v>101</v>
      </c>
      <c r="C1955">
        <v>59</v>
      </c>
      <c r="D1955" t="s">
        <v>16621</v>
      </c>
      <c r="E1955" t="s">
        <v>16622</v>
      </c>
      <c r="F1955" t="s">
        <v>101</v>
      </c>
      <c r="G1955" t="s">
        <v>16623</v>
      </c>
      <c r="H1955" t="s">
        <v>16624</v>
      </c>
    </row>
    <row r="1956" spans="1:8">
      <c r="A1956" t="s">
        <v>240</v>
      </c>
      <c r="B1956" t="s">
        <v>101</v>
      </c>
      <c r="C1956">
        <v>59</v>
      </c>
      <c r="D1956" t="s">
        <v>16625</v>
      </c>
      <c r="E1956" t="s">
        <v>16626</v>
      </c>
      <c r="F1956" t="s">
        <v>101</v>
      </c>
      <c r="H1956" t="s">
        <v>16627</v>
      </c>
    </row>
    <row r="1957" spans="1:8">
      <c r="A1957" t="s">
        <v>240</v>
      </c>
      <c r="B1957" t="s">
        <v>101</v>
      </c>
      <c r="C1957">
        <v>59</v>
      </c>
      <c r="D1957" t="s">
        <v>15371</v>
      </c>
      <c r="E1957" t="s">
        <v>16628</v>
      </c>
      <c r="F1957" t="s">
        <v>101</v>
      </c>
      <c r="G1957" t="s">
        <v>16629</v>
      </c>
      <c r="H1957" t="s">
        <v>16630</v>
      </c>
    </row>
    <row r="1958" spans="1:8">
      <c r="A1958" t="s">
        <v>240</v>
      </c>
      <c r="B1958" t="s">
        <v>101</v>
      </c>
      <c r="C1958">
        <v>59</v>
      </c>
      <c r="D1958" t="s">
        <v>5610</v>
      </c>
      <c r="E1958" t="s">
        <v>16631</v>
      </c>
      <c r="F1958" t="s">
        <v>101</v>
      </c>
      <c r="G1958" t="s">
        <v>16632</v>
      </c>
      <c r="H1958" t="s">
        <v>16633</v>
      </c>
    </row>
    <row r="1959" spans="1:8">
      <c r="A1959" t="s">
        <v>241</v>
      </c>
      <c r="B1959" t="s">
        <v>101</v>
      </c>
      <c r="C1959">
        <v>59</v>
      </c>
      <c r="D1959" t="s">
        <v>16634</v>
      </c>
      <c r="E1959" t="s">
        <v>16635</v>
      </c>
      <c r="F1959" t="s">
        <v>101</v>
      </c>
      <c r="G1959" t="s">
        <v>16636</v>
      </c>
      <c r="H1959" t="s">
        <v>16637</v>
      </c>
    </row>
    <row r="1960" spans="1:8">
      <c r="A1960" t="s">
        <v>242</v>
      </c>
      <c r="B1960" t="s">
        <v>101</v>
      </c>
      <c r="C1960">
        <v>59</v>
      </c>
      <c r="D1960" t="s">
        <v>16638</v>
      </c>
      <c r="E1960" t="s">
        <v>16639</v>
      </c>
      <c r="F1960" t="s">
        <v>101</v>
      </c>
      <c r="G1960" t="s">
        <v>16640</v>
      </c>
      <c r="H1960" t="s">
        <v>16641</v>
      </c>
    </row>
    <row r="1961" spans="1:8">
      <c r="A1961" t="s">
        <v>241</v>
      </c>
      <c r="B1961" t="s">
        <v>101</v>
      </c>
      <c r="C1961">
        <v>59</v>
      </c>
      <c r="D1961" t="s">
        <v>16642</v>
      </c>
      <c r="E1961" t="s">
        <v>16643</v>
      </c>
      <c r="F1961" t="s">
        <v>101</v>
      </c>
      <c r="G1961" t="s">
        <v>16644</v>
      </c>
      <c r="H1961" t="s">
        <v>16645</v>
      </c>
    </row>
    <row r="1962" spans="1:8">
      <c r="A1962" t="s">
        <v>248</v>
      </c>
      <c r="B1962" t="s">
        <v>101</v>
      </c>
      <c r="C1962">
        <v>59</v>
      </c>
      <c r="D1962" t="s">
        <v>16646</v>
      </c>
      <c r="E1962" t="s">
        <v>16647</v>
      </c>
      <c r="F1962" t="s">
        <v>101</v>
      </c>
      <c r="G1962" t="s">
        <v>16648</v>
      </c>
      <c r="H1962" t="s">
        <v>16649</v>
      </c>
    </row>
    <row r="1963" spans="1:8">
      <c r="A1963" t="s">
        <v>241</v>
      </c>
      <c r="B1963" t="s">
        <v>101</v>
      </c>
      <c r="C1963">
        <v>59</v>
      </c>
      <c r="D1963" t="s">
        <v>11129</v>
      </c>
      <c r="E1963" t="s">
        <v>16650</v>
      </c>
      <c r="H1963" t="s">
        <v>16651</v>
      </c>
    </row>
    <row r="1964" spans="1:8">
      <c r="A1964" t="s">
        <v>248</v>
      </c>
      <c r="B1964" t="s">
        <v>101</v>
      </c>
      <c r="C1964">
        <v>59</v>
      </c>
      <c r="D1964" t="s">
        <v>16652</v>
      </c>
      <c r="E1964" t="s">
        <v>16653</v>
      </c>
      <c r="H1964" t="s">
        <v>16654</v>
      </c>
    </row>
    <row r="1965" spans="1:8">
      <c r="A1965" t="s">
        <v>241</v>
      </c>
      <c r="B1965" t="s">
        <v>101</v>
      </c>
      <c r="C1965">
        <v>59</v>
      </c>
      <c r="D1965" t="s">
        <v>16655</v>
      </c>
      <c r="E1965" t="s">
        <v>16656</v>
      </c>
      <c r="F1965" t="s">
        <v>16657</v>
      </c>
      <c r="G1965" t="s">
        <v>16658</v>
      </c>
      <c r="H1965" t="s">
        <v>16659</v>
      </c>
    </row>
    <row r="1966" spans="1:8">
      <c r="A1966" t="s">
        <v>240</v>
      </c>
      <c r="B1966" t="s">
        <v>101</v>
      </c>
      <c r="C1966">
        <v>59</v>
      </c>
      <c r="D1966" t="s">
        <v>16660</v>
      </c>
      <c r="E1966" t="s">
        <v>16661</v>
      </c>
      <c r="G1966" t="s">
        <v>16603</v>
      </c>
      <c r="H1966" t="s">
        <v>16604</v>
      </c>
    </row>
    <row r="1967" spans="1:8">
      <c r="A1967" t="s">
        <v>240</v>
      </c>
      <c r="B1967" t="s">
        <v>101</v>
      </c>
      <c r="C1967">
        <v>59</v>
      </c>
      <c r="D1967" t="s">
        <v>16662</v>
      </c>
      <c r="E1967" t="s">
        <v>16663</v>
      </c>
      <c r="G1967" t="s">
        <v>16603</v>
      </c>
      <c r="H1967" t="s">
        <v>16604</v>
      </c>
    </row>
    <row r="1968" spans="1:8">
      <c r="A1968" t="s">
        <v>240</v>
      </c>
      <c r="B1968" t="s">
        <v>101</v>
      </c>
      <c r="C1968">
        <v>59</v>
      </c>
      <c r="D1968" t="s">
        <v>16664</v>
      </c>
      <c r="E1968" t="s">
        <v>16665</v>
      </c>
      <c r="G1968" t="s">
        <v>16603</v>
      </c>
      <c r="H1968" t="s">
        <v>16604</v>
      </c>
    </row>
    <row r="1969" spans="1:8">
      <c r="A1969" t="s">
        <v>241</v>
      </c>
      <c r="B1969" t="s">
        <v>101</v>
      </c>
      <c r="C1969">
        <v>59</v>
      </c>
      <c r="D1969" t="s">
        <v>16666</v>
      </c>
      <c r="E1969" t="s">
        <v>16667</v>
      </c>
      <c r="H1969" t="s">
        <v>16668</v>
      </c>
    </row>
    <row r="1970" spans="1:8">
      <c r="A1970" t="s">
        <v>248</v>
      </c>
      <c r="B1970" t="s">
        <v>101</v>
      </c>
      <c r="C1970">
        <v>59</v>
      </c>
      <c r="D1970" t="s">
        <v>16669</v>
      </c>
      <c r="E1970" t="s">
        <v>16670</v>
      </c>
      <c r="H1970" t="s">
        <v>16671</v>
      </c>
    </row>
    <row r="1971" spans="1:8">
      <c r="A1971" t="s">
        <v>241</v>
      </c>
      <c r="B1971" t="s">
        <v>101</v>
      </c>
      <c r="C1971">
        <v>59</v>
      </c>
      <c r="D1971" t="s">
        <v>16672</v>
      </c>
      <c r="E1971" t="s">
        <v>16673</v>
      </c>
    </row>
    <row r="1972" spans="1:8">
      <c r="A1972" t="s">
        <v>241</v>
      </c>
      <c r="B1972" t="s">
        <v>101</v>
      </c>
      <c r="C1972">
        <v>59</v>
      </c>
      <c r="D1972" t="s">
        <v>16674</v>
      </c>
      <c r="E1972" t="s">
        <v>16675</v>
      </c>
      <c r="H1972" t="s">
        <v>16676</v>
      </c>
    </row>
    <row r="1973" spans="1:8">
      <c r="A1973" t="s">
        <v>241</v>
      </c>
      <c r="B1973" t="s">
        <v>101</v>
      </c>
      <c r="C1973">
        <v>59</v>
      </c>
      <c r="D1973" t="s">
        <v>16677</v>
      </c>
      <c r="E1973" t="s">
        <v>16678</v>
      </c>
      <c r="G1973" t="s">
        <v>16679</v>
      </c>
      <c r="H1973" t="s">
        <v>16680</v>
      </c>
    </row>
    <row r="1974" spans="1:8">
      <c r="A1974" t="s">
        <v>243</v>
      </c>
      <c r="B1974" t="s">
        <v>101</v>
      </c>
      <c r="C1974">
        <v>59</v>
      </c>
      <c r="D1974" t="s">
        <v>16681</v>
      </c>
      <c r="E1974" t="s">
        <v>16682</v>
      </c>
      <c r="H1974" t="s">
        <v>16683</v>
      </c>
    </row>
    <row r="1975" spans="1:8">
      <c r="A1975" t="s">
        <v>243</v>
      </c>
      <c r="B1975" t="s">
        <v>101</v>
      </c>
      <c r="C1975">
        <v>59</v>
      </c>
      <c r="D1975" t="s">
        <v>16684</v>
      </c>
      <c r="E1975" t="s">
        <v>16685</v>
      </c>
      <c r="H1975" t="s">
        <v>16683</v>
      </c>
    </row>
    <row r="1976" spans="1:8">
      <c r="A1976" t="s">
        <v>238</v>
      </c>
      <c r="B1976" t="s">
        <v>101</v>
      </c>
      <c r="C1976">
        <v>59</v>
      </c>
      <c r="D1976" t="s">
        <v>16686</v>
      </c>
      <c r="E1976" t="s">
        <v>16687</v>
      </c>
      <c r="H1976" t="s">
        <v>16688</v>
      </c>
    </row>
    <row r="1977" spans="1:8">
      <c r="A1977" t="s">
        <v>241</v>
      </c>
      <c r="B1977" t="s">
        <v>101</v>
      </c>
      <c r="C1977">
        <v>59</v>
      </c>
      <c r="D1977" t="s">
        <v>16689</v>
      </c>
      <c r="E1977" t="s">
        <v>16690</v>
      </c>
      <c r="H1977" t="s">
        <v>16691</v>
      </c>
    </row>
    <row r="1978" spans="1:8">
      <c r="A1978" t="s">
        <v>240</v>
      </c>
      <c r="B1978" t="s">
        <v>101</v>
      </c>
      <c r="C1978">
        <v>59</v>
      </c>
      <c r="D1978" t="s">
        <v>16692</v>
      </c>
      <c r="E1978" t="s">
        <v>16693</v>
      </c>
      <c r="F1978" t="s">
        <v>101</v>
      </c>
      <c r="G1978" t="s">
        <v>16694</v>
      </c>
      <c r="H1978" t="s">
        <v>16695</v>
      </c>
    </row>
    <row r="1979" spans="1:8">
      <c r="A1979" t="s">
        <v>240</v>
      </c>
      <c r="B1979" t="s">
        <v>101</v>
      </c>
      <c r="C1979">
        <v>59</v>
      </c>
      <c r="D1979" t="s">
        <v>16696</v>
      </c>
      <c r="E1979" t="s">
        <v>16697</v>
      </c>
      <c r="F1979" t="s">
        <v>101</v>
      </c>
      <c r="G1979" t="s">
        <v>16698</v>
      </c>
      <c r="H1979" t="s">
        <v>16699</v>
      </c>
    </row>
    <row r="1980" spans="1:8">
      <c r="A1980" t="s">
        <v>241</v>
      </c>
      <c r="B1980" t="s">
        <v>101</v>
      </c>
      <c r="C1980">
        <v>59</v>
      </c>
      <c r="D1980" t="s">
        <v>16700</v>
      </c>
      <c r="E1980" t="s">
        <v>16701</v>
      </c>
      <c r="H1980" t="s">
        <v>16702</v>
      </c>
    </row>
    <row r="1981" spans="1:8">
      <c r="A1981" t="s">
        <v>241</v>
      </c>
      <c r="B1981" t="s">
        <v>101</v>
      </c>
      <c r="C1981">
        <v>59</v>
      </c>
      <c r="D1981" t="s">
        <v>16703</v>
      </c>
      <c r="E1981" t="s">
        <v>16704</v>
      </c>
      <c r="H1981" t="s">
        <v>16705</v>
      </c>
    </row>
    <row r="1982" spans="1:8">
      <c r="A1982" t="s">
        <v>249</v>
      </c>
      <c r="B1982" t="s">
        <v>101</v>
      </c>
      <c r="C1982">
        <v>59</v>
      </c>
      <c r="D1982" t="s">
        <v>16706</v>
      </c>
      <c r="E1982" t="s">
        <v>16707</v>
      </c>
      <c r="F1982" t="s">
        <v>101</v>
      </c>
      <c r="G1982" t="s">
        <v>16708</v>
      </c>
      <c r="H1982" t="s">
        <v>16709</v>
      </c>
    </row>
    <row r="1983" spans="1:8">
      <c r="A1983" t="s">
        <v>241</v>
      </c>
      <c r="B1983" t="s">
        <v>101</v>
      </c>
      <c r="C1983">
        <v>59</v>
      </c>
      <c r="D1983" t="s">
        <v>16710</v>
      </c>
      <c r="E1983" t="s">
        <v>16711</v>
      </c>
      <c r="F1983" t="s">
        <v>16712</v>
      </c>
      <c r="G1983" t="s">
        <v>16713</v>
      </c>
      <c r="H1983" t="s">
        <v>16714</v>
      </c>
    </row>
    <row r="1984" spans="1:8">
      <c r="A1984" t="s">
        <v>242</v>
      </c>
      <c r="B1984" t="s">
        <v>101</v>
      </c>
      <c r="C1984">
        <v>59</v>
      </c>
      <c r="D1984" t="s">
        <v>16715</v>
      </c>
      <c r="E1984" t="s">
        <v>16716</v>
      </c>
      <c r="F1984" t="s">
        <v>16717</v>
      </c>
      <c r="G1984" t="s">
        <v>16718</v>
      </c>
      <c r="H1984" t="s">
        <v>16719</v>
      </c>
    </row>
    <row r="1985" spans="1:8">
      <c r="A1985" t="s">
        <v>241</v>
      </c>
      <c r="B1985" t="s">
        <v>101</v>
      </c>
      <c r="C1985">
        <v>59</v>
      </c>
      <c r="D1985" t="s">
        <v>16720</v>
      </c>
      <c r="F1985" t="s">
        <v>16721</v>
      </c>
      <c r="G1985" t="s">
        <v>16722</v>
      </c>
      <c r="H1985" t="s">
        <v>16723</v>
      </c>
    </row>
    <row r="1986" spans="1:8">
      <c r="A1986" t="s">
        <v>238</v>
      </c>
      <c r="B1986" t="s">
        <v>101</v>
      </c>
      <c r="C1986">
        <v>59</v>
      </c>
      <c r="D1986" t="s">
        <v>16724</v>
      </c>
      <c r="E1986" t="s">
        <v>16725</v>
      </c>
      <c r="F1986" t="s">
        <v>16726</v>
      </c>
      <c r="G1986" t="s">
        <v>16727</v>
      </c>
      <c r="H1986" t="s">
        <v>16728</v>
      </c>
    </row>
    <row r="1987" spans="1:8">
      <c r="A1987" t="s">
        <v>239</v>
      </c>
      <c r="B1987" t="s">
        <v>101</v>
      </c>
      <c r="C1987">
        <v>59</v>
      </c>
      <c r="D1987" t="s">
        <v>16729</v>
      </c>
      <c r="E1987" t="s">
        <v>16730</v>
      </c>
      <c r="F1987" t="s">
        <v>16731</v>
      </c>
      <c r="G1987" t="s">
        <v>8688</v>
      </c>
      <c r="H1987" t="s">
        <v>8689</v>
      </c>
    </row>
    <row r="1988" spans="1:8">
      <c r="A1988" t="s">
        <v>242</v>
      </c>
      <c r="B1988" t="s">
        <v>101</v>
      </c>
      <c r="C1988">
        <v>59</v>
      </c>
      <c r="D1988" t="s">
        <v>16732</v>
      </c>
      <c r="E1988" t="s">
        <v>16733</v>
      </c>
      <c r="F1988" t="s">
        <v>16712</v>
      </c>
      <c r="G1988" t="s">
        <v>16734</v>
      </c>
      <c r="H1988" t="s">
        <v>16735</v>
      </c>
    </row>
    <row r="1989" spans="1:8">
      <c r="A1989" t="s">
        <v>241</v>
      </c>
      <c r="B1989" t="s">
        <v>101</v>
      </c>
      <c r="C1989">
        <v>59</v>
      </c>
      <c r="D1989" t="s">
        <v>16736</v>
      </c>
      <c r="E1989" t="s">
        <v>16737</v>
      </c>
      <c r="F1989" t="s">
        <v>101</v>
      </c>
      <c r="H1989" t="s">
        <v>16738</v>
      </c>
    </row>
    <row r="1990" spans="1:8">
      <c r="A1990" t="s">
        <v>241</v>
      </c>
      <c r="B1990" t="s">
        <v>101</v>
      </c>
      <c r="C1990">
        <v>59</v>
      </c>
      <c r="D1990" t="s">
        <v>16739</v>
      </c>
      <c r="E1990" t="s">
        <v>16740</v>
      </c>
      <c r="F1990" t="s">
        <v>16741</v>
      </c>
      <c r="H1990" t="s">
        <v>16742</v>
      </c>
    </row>
    <row r="1991" spans="1:8">
      <c r="A1991" t="s">
        <v>244</v>
      </c>
      <c r="B1991" t="s">
        <v>101</v>
      </c>
      <c r="C1991">
        <v>59</v>
      </c>
      <c r="D1991" t="s">
        <v>1282</v>
      </c>
      <c r="E1991" t="s">
        <v>16743</v>
      </c>
      <c r="F1991" t="s">
        <v>101</v>
      </c>
    </row>
    <row r="1992" spans="1:8">
      <c r="A1992" t="s">
        <v>241</v>
      </c>
      <c r="B1992" t="s">
        <v>101</v>
      </c>
      <c r="C1992">
        <v>59</v>
      </c>
      <c r="D1992" t="s">
        <v>16744</v>
      </c>
      <c r="E1992" t="s">
        <v>16745</v>
      </c>
      <c r="F1992" t="s">
        <v>101</v>
      </c>
      <c r="H1992" t="s">
        <v>16746</v>
      </c>
    </row>
    <row r="1993" spans="1:8">
      <c r="A1993" t="s">
        <v>238</v>
      </c>
      <c r="B1993" t="s">
        <v>101</v>
      </c>
      <c r="C1993">
        <v>59</v>
      </c>
      <c r="D1993" t="s">
        <v>16747</v>
      </c>
      <c r="E1993" t="s">
        <v>16748</v>
      </c>
      <c r="F1993" t="s">
        <v>101</v>
      </c>
      <c r="H1993" t="s">
        <v>16749</v>
      </c>
    </row>
    <row r="1994" spans="1:8">
      <c r="A1994" t="s">
        <v>241</v>
      </c>
      <c r="B1994" t="s">
        <v>101</v>
      </c>
      <c r="C1994">
        <v>59</v>
      </c>
      <c r="D1994" t="s">
        <v>16750</v>
      </c>
      <c r="E1994" t="s">
        <v>16751</v>
      </c>
      <c r="F1994" t="s">
        <v>101</v>
      </c>
      <c r="G1994" t="s">
        <v>16752</v>
      </c>
      <c r="H1994" t="s">
        <v>16753</v>
      </c>
    </row>
    <row r="1995" spans="1:8">
      <c r="A1995" t="s">
        <v>238</v>
      </c>
      <c r="B1995" t="s">
        <v>101</v>
      </c>
      <c r="C1995">
        <v>59</v>
      </c>
      <c r="D1995" t="s">
        <v>16754</v>
      </c>
      <c r="E1995" t="s">
        <v>16755</v>
      </c>
      <c r="F1995" t="s">
        <v>16756</v>
      </c>
      <c r="G1995" t="s">
        <v>16757</v>
      </c>
      <c r="H1995" t="s">
        <v>16758</v>
      </c>
    </row>
    <row r="1996" spans="1:8">
      <c r="A1996" t="s">
        <v>241</v>
      </c>
      <c r="B1996" t="s">
        <v>101</v>
      </c>
      <c r="C1996">
        <v>59</v>
      </c>
      <c r="D1996" t="s">
        <v>16759</v>
      </c>
      <c r="E1996" t="s">
        <v>16760</v>
      </c>
      <c r="F1996" t="s">
        <v>101</v>
      </c>
    </row>
    <row r="1997" spans="1:8">
      <c r="A1997" t="s">
        <v>241</v>
      </c>
      <c r="B1997" t="s">
        <v>101</v>
      </c>
      <c r="C1997">
        <v>59</v>
      </c>
      <c r="D1997" t="s">
        <v>16761</v>
      </c>
      <c r="E1997" t="s">
        <v>16762</v>
      </c>
      <c r="F1997" t="s">
        <v>101</v>
      </c>
      <c r="G1997" t="s">
        <v>16763</v>
      </c>
      <c r="H1997" t="s">
        <v>16764</v>
      </c>
    </row>
    <row r="1998" spans="1:8">
      <c r="A1998" t="s">
        <v>241</v>
      </c>
      <c r="B1998" t="s">
        <v>101</v>
      </c>
      <c r="C1998">
        <v>59</v>
      </c>
      <c r="D1998" t="s">
        <v>16765</v>
      </c>
      <c r="E1998" t="s">
        <v>16766</v>
      </c>
      <c r="F1998" t="s">
        <v>16712</v>
      </c>
      <c r="H1998" t="s">
        <v>16767</v>
      </c>
    </row>
    <row r="1999" spans="1:8">
      <c r="A1999" t="s">
        <v>240</v>
      </c>
      <c r="B1999" t="s">
        <v>101</v>
      </c>
      <c r="C1999">
        <v>59</v>
      </c>
      <c r="D1999" t="s">
        <v>16768</v>
      </c>
      <c r="E1999" t="s">
        <v>16769</v>
      </c>
      <c r="F1999" t="s">
        <v>101</v>
      </c>
      <c r="G1999" t="s">
        <v>16770</v>
      </c>
      <c r="H1999" t="s">
        <v>16771</v>
      </c>
    </row>
    <row r="2000" spans="1:8">
      <c r="A2000" t="s">
        <v>249</v>
      </c>
      <c r="B2000" t="s">
        <v>101</v>
      </c>
      <c r="C2000">
        <v>59</v>
      </c>
      <c r="D2000" t="s">
        <v>16772</v>
      </c>
      <c r="E2000" t="s">
        <v>16773</v>
      </c>
      <c r="F2000" t="s">
        <v>101</v>
      </c>
    </row>
    <row r="2001" spans="1:8">
      <c r="A2001" t="s">
        <v>240</v>
      </c>
      <c r="B2001" t="s">
        <v>101</v>
      </c>
      <c r="C2001">
        <v>59</v>
      </c>
      <c r="D2001" t="s">
        <v>16774</v>
      </c>
      <c r="E2001" t="s">
        <v>16543</v>
      </c>
      <c r="F2001" t="s">
        <v>101</v>
      </c>
      <c r="G2001" t="s">
        <v>16544</v>
      </c>
      <c r="H2001" t="s">
        <v>16545</v>
      </c>
    </row>
    <row r="2002" spans="1:8">
      <c r="A2002" t="s">
        <v>238</v>
      </c>
      <c r="B2002" t="s">
        <v>101</v>
      </c>
      <c r="C2002">
        <v>59</v>
      </c>
      <c r="D2002" t="s">
        <v>16775</v>
      </c>
      <c r="E2002" t="s">
        <v>16776</v>
      </c>
      <c r="F2002" t="s">
        <v>101</v>
      </c>
      <c r="G2002" t="s">
        <v>16777</v>
      </c>
      <c r="H2002" t="s">
        <v>16778</v>
      </c>
    </row>
    <row r="2003" spans="1:8">
      <c r="A2003" t="s">
        <v>238</v>
      </c>
      <c r="B2003" t="s">
        <v>101</v>
      </c>
      <c r="C2003">
        <v>59</v>
      </c>
      <c r="D2003" t="s">
        <v>16779</v>
      </c>
      <c r="E2003" t="s">
        <v>16780</v>
      </c>
      <c r="F2003" t="s">
        <v>101</v>
      </c>
      <c r="G2003" t="s">
        <v>16781</v>
      </c>
      <c r="H2003" t="s">
        <v>16782</v>
      </c>
    </row>
    <row r="2004" spans="1:8">
      <c r="A2004" t="s">
        <v>238</v>
      </c>
      <c r="B2004" t="s">
        <v>101</v>
      </c>
      <c r="C2004">
        <v>59</v>
      </c>
      <c r="D2004" t="s">
        <v>16783</v>
      </c>
      <c r="E2004" t="s">
        <v>16784</v>
      </c>
      <c r="F2004" t="s">
        <v>101</v>
      </c>
      <c r="H2004" t="s">
        <v>16785</v>
      </c>
    </row>
    <row r="2005" spans="1:8">
      <c r="A2005" t="s">
        <v>240</v>
      </c>
      <c r="B2005" t="s">
        <v>101</v>
      </c>
      <c r="C2005">
        <v>59</v>
      </c>
      <c r="D2005" t="s">
        <v>16786</v>
      </c>
      <c r="E2005" t="s">
        <v>16787</v>
      </c>
      <c r="F2005" t="s">
        <v>101</v>
      </c>
      <c r="G2005" t="s">
        <v>16788</v>
      </c>
      <c r="H2005" t="s">
        <v>16789</v>
      </c>
    </row>
    <row r="2006" spans="1:8">
      <c r="A2006" t="s">
        <v>240</v>
      </c>
      <c r="B2006" t="s">
        <v>101</v>
      </c>
      <c r="C2006">
        <v>59</v>
      </c>
      <c r="D2006" t="s">
        <v>607</v>
      </c>
      <c r="E2006" t="s">
        <v>16790</v>
      </c>
      <c r="F2006" t="s">
        <v>101</v>
      </c>
      <c r="G2006" t="s">
        <v>16791</v>
      </c>
      <c r="H2006" t="s">
        <v>16792</v>
      </c>
    </row>
    <row r="2007" spans="1:8">
      <c r="A2007" t="s">
        <v>242</v>
      </c>
      <c r="B2007" t="s">
        <v>101</v>
      </c>
      <c r="C2007">
        <v>59</v>
      </c>
      <c r="D2007" t="s">
        <v>16793</v>
      </c>
      <c r="E2007" t="s">
        <v>16794</v>
      </c>
      <c r="F2007" t="s">
        <v>101</v>
      </c>
      <c r="G2007" t="s">
        <v>16795</v>
      </c>
      <c r="H2007" t="s">
        <v>16796</v>
      </c>
    </row>
    <row r="2008" spans="1:8">
      <c r="A2008" t="s">
        <v>240</v>
      </c>
      <c r="B2008" t="s">
        <v>101</v>
      </c>
      <c r="C2008">
        <v>59</v>
      </c>
      <c r="D2008" t="s">
        <v>16797</v>
      </c>
      <c r="E2008" t="s">
        <v>16798</v>
      </c>
      <c r="F2008" t="s">
        <v>101</v>
      </c>
      <c r="G2008" t="s">
        <v>16799</v>
      </c>
      <c r="H2008" t="s">
        <v>16800</v>
      </c>
    </row>
    <row r="2009" spans="1:8">
      <c r="A2009" t="s">
        <v>240</v>
      </c>
      <c r="B2009" t="s">
        <v>101</v>
      </c>
      <c r="C2009">
        <v>59</v>
      </c>
      <c r="D2009" t="s">
        <v>16801</v>
      </c>
      <c r="E2009" t="s">
        <v>16802</v>
      </c>
      <c r="F2009" t="s">
        <v>101</v>
      </c>
      <c r="G2009" t="s">
        <v>16803</v>
      </c>
      <c r="H2009" t="s">
        <v>16804</v>
      </c>
    </row>
    <row r="2010" spans="1:8">
      <c r="A2010" t="s">
        <v>240</v>
      </c>
      <c r="B2010" t="s">
        <v>101</v>
      </c>
      <c r="C2010">
        <v>59</v>
      </c>
      <c r="D2010" t="s">
        <v>16805</v>
      </c>
      <c r="E2010" t="s">
        <v>16806</v>
      </c>
      <c r="F2010" t="s">
        <v>101</v>
      </c>
      <c r="G2010" t="s">
        <v>16807</v>
      </c>
      <c r="H2010" t="s">
        <v>16808</v>
      </c>
    </row>
    <row r="2011" spans="1:8">
      <c r="A2011" t="s">
        <v>240</v>
      </c>
      <c r="B2011" t="s">
        <v>101</v>
      </c>
      <c r="C2011">
        <v>59</v>
      </c>
      <c r="D2011" t="s">
        <v>7213</v>
      </c>
      <c r="E2011" t="s">
        <v>16809</v>
      </c>
      <c r="F2011" t="s">
        <v>101</v>
      </c>
      <c r="G2011" t="s">
        <v>16810</v>
      </c>
      <c r="H2011" t="s">
        <v>16811</v>
      </c>
    </row>
    <row r="2012" spans="1:8">
      <c r="A2012" t="s">
        <v>240</v>
      </c>
      <c r="B2012" t="s">
        <v>101</v>
      </c>
      <c r="C2012">
        <v>59</v>
      </c>
      <c r="D2012" t="s">
        <v>14203</v>
      </c>
      <c r="E2012" t="s">
        <v>16812</v>
      </c>
      <c r="F2012" t="s">
        <v>101</v>
      </c>
      <c r="G2012" t="s">
        <v>16813</v>
      </c>
      <c r="H2012" t="s">
        <v>16814</v>
      </c>
    </row>
    <row r="2013" spans="1:8">
      <c r="A2013" t="s">
        <v>240</v>
      </c>
      <c r="B2013" t="s">
        <v>101</v>
      </c>
      <c r="C2013">
        <v>59</v>
      </c>
      <c r="D2013" t="s">
        <v>7863</v>
      </c>
      <c r="E2013" t="s">
        <v>16815</v>
      </c>
      <c r="F2013" t="s">
        <v>16816</v>
      </c>
      <c r="G2013" t="s">
        <v>16817</v>
      </c>
      <c r="H2013" t="s">
        <v>16818</v>
      </c>
    </row>
    <row r="2014" spans="1:8">
      <c r="A2014" t="s">
        <v>240</v>
      </c>
      <c r="B2014" t="s">
        <v>101</v>
      </c>
      <c r="C2014">
        <v>59</v>
      </c>
      <c r="D2014" t="s">
        <v>16819</v>
      </c>
      <c r="E2014" t="s">
        <v>16820</v>
      </c>
      <c r="F2014" t="s">
        <v>101</v>
      </c>
      <c r="G2014" t="s">
        <v>16821</v>
      </c>
      <c r="H2014" t="s">
        <v>16822</v>
      </c>
    </row>
    <row r="2015" spans="1:8">
      <c r="A2015" t="s">
        <v>240</v>
      </c>
      <c r="B2015" t="s">
        <v>101</v>
      </c>
      <c r="C2015">
        <v>59</v>
      </c>
      <c r="D2015" t="s">
        <v>16823</v>
      </c>
      <c r="E2015" t="s">
        <v>16824</v>
      </c>
      <c r="F2015" t="s">
        <v>101</v>
      </c>
      <c r="G2015" t="s">
        <v>16825</v>
      </c>
      <c r="H2015" t="s">
        <v>16826</v>
      </c>
    </row>
    <row r="2016" spans="1:8">
      <c r="A2016" t="s">
        <v>250</v>
      </c>
      <c r="B2016" t="s">
        <v>101</v>
      </c>
      <c r="C2016">
        <v>59</v>
      </c>
      <c r="D2016" t="s">
        <v>16827</v>
      </c>
      <c r="E2016" t="s">
        <v>16828</v>
      </c>
      <c r="F2016" t="s">
        <v>101</v>
      </c>
      <c r="H2016" t="s">
        <v>16829</v>
      </c>
    </row>
    <row r="2017" spans="1:8">
      <c r="A2017" t="s">
        <v>250</v>
      </c>
      <c r="B2017" t="s">
        <v>101</v>
      </c>
      <c r="C2017">
        <v>59</v>
      </c>
      <c r="D2017" t="s">
        <v>16830</v>
      </c>
      <c r="E2017" t="s">
        <v>16831</v>
      </c>
      <c r="F2017" t="s">
        <v>101</v>
      </c>
    </row>
    <row r="2018" spans="1:8">
      <c r="A2018" t="s">
        <v>250</v>
      </c>
      <c r="B2018" t="s">
        <v>101</v>
      </c>
      <c r="C2018">
        <v>59</v>
      </c>
      <c r="D2018" t="s">
        <v>16832</v>
      </c>
      <c r="E2018" t="s">
        <v>16833</v>
      </c>
      <c r="F2018" t="s">
        <v>101</v>
      </c>
    </row>
    <row r="2019" spans="1:8">
      <c r="A2019" t="s">
        <v>250</v>
      </c>
      <c r="B2019" t="s">
        <v>101</v>
      </c>
      <c r="C2019">
        <v>59</v>
      </c>
      <c r="D2019" t="s">
        <v>16834</v>
      </c>
      <c r="E2019" t="s">
        <v>16835</v>
      </c>
      <c r="F2019" t="s">
        <v>101</v>
      </c>
      <c r="G2019" t="s">
        <v>16836</v>
      </c>
    </row>
    <row r="2020" spans="1:8">
      <c r="A2020" t="s">
        <v>250</v>
      </c>
      <c r="B2020" t="s">
        <v>101</v>
      </c>
      <c r="C2020">
        <v>59</v>
      </c>
      <c r="D2020" t="s">
        <v>16837</v>
      </c>
      <c r="E2020" t="s">
        <v>16838</v>
      </c>
      <c r="F2020" t="s">
        <v>101</v>
      </c>
    </row>
    <row r="2021" spans="1:8">
      <c r="A2021" t="s">
        <v>250</v>
      </c>
      <c r="B2021" t="s">
        <v>101</v>
      </c>
      <c r="C2021">
        <v>59</v>
      </c>
      <c r="D2021" t="s">
        <v>16839</v>
      </c>
      <c r="E2021" t="s">
        <v>13934</v>
      </c>
      <c r="F2021" t="s">
        <v>101</v>
      </c>
    </row>
    <row r="2022" spans="1:8">
      <c r="A2022" t="s">
        <v>250</v>
      </c>
      <c r="B2022" t="s">
        <v>101</v>
      </c>
      <c r="C2022">
        <v>59</v>
      </c>
      <c r="D2022" t="s">
        <v>16840</v>
      </c>
      <c r="E2022" t="s">
        <v>14706</v>
      </c>
      <c r="F2022" t="s">
        <v>101</v>
      </c>
    </row>
    <row r="2023" spans="1:8">
      <c r="A2023" t="s">
        <v>242</v>
      </c>
      <c r="B2023" t="s">
        <v>101</v>
      </c>
      <c r="C2023">
        <v>59</v>
      </c>
      <c r="D2023" t="s">
        <v>16841</v>
      </c>
      <c r="E2023" t="s">
        <v>16842</v>
      </c>
      <c r="F2023" t="s">
        <v>101</v>
      </c>
      <c r="G2023" t="s">
        <v>16843</v>
      </c>
      <c r="H2023" t="s">
        <v>16844</v>
      </c>
    </row>
    <row r="2024" spans="1:8">
      <c r="A2024" t="s">
        <v>241</v>
      </c>
      <c r="B2024" t="s">
        <v>101</v>
      </c>
      <c r="C2024">
        <v>59</v>
      </c>
      <c r="D2024" t="s">
        <v>16845</v>
      </c>
      <c r="E2024" t="s">
        <v>16846</v>
      </c>
      <c r="F2024" t="s">
        <v>101</v>
      </c>
      <c r="G2024" t="s">
        <v>16847</v>
      </c>
      <c r="H2024" t="s">
        <v>16848</v>
      </c>
    </row>
    <row r="2025" spans="1:8">
      <c r="A2025" t="s">
        <v>241</v>
      </c>
      <c r="B2025" t="s">
        <v>101</v>
      </c>
      <c r="C2025">
        <v>59</v>
      </c>
      <c r="D2025" t="s">
        <v>3850</v>
      </c>
      <c r="E2025" t="s">
        <v>16849</v>
      </c>
      <c r="F2025" t="s">
        <v>101</v>
      </c>
      <c r="G2025" t="s">
        <v>16850</v>
      </c>
      <c r="H2025" t="s">
        <v>16851</v>
      </c>
    </row>
    <row r="2026" spans="1:8">
      <c r="A2026" t="s">
        <v>241</v>
      </c>
      <c r="B2026" t="s">
        <v>101</v>
      </c>
      <c r="C2026">
        <v>59</v>
      </c>
      <c r="D2026" t="s">
        <v>16852</v>
      </c>
      <c r="E2026" t="s">
        <v>16853</v>
      </c>
      <c r="G2026" t="s">
        <v>16854</v>
      </c>
      <c r="H2026" t="s">
        <v>16855</v>
      </c>
    </row>
    <row r="2027" spans="1:8">
      <c r="A2027" t="s">
        <v>238</v>
      </c>
      <c r="B2027" t="s">
        <v>101</v>
      </c>
      <c r="C2027">
        <v>59</v>
      </c>
      <c r="D2027" t="s">
        <v>16856</v>
      </c>
      <c r="E2027" t="s">
        <v>16857</v>
      </c>
      <c r="F2027" t="s">
        <v>101</v>
      </c>
      <c r="G2027" t="s">
        <v>16858</v>
      </c>
      <c r="H2027" t="s">
        <v>16859</v>
      </c>
    </row>
    <row r="2028" spans="1:8">
      <c r="A2028" t="s">
        <v>241</v>
      </c>
      <c r="B2028" t="s">
        <v>101</v>
      </c>
      <c r="C2028">
        <v>59</v>
      </c>
      <c r="D2028" t="s">
        <v>16860</v>
      </c>
      <c r="E2028" t="s">
        <v>16861</v>
      </c>
      <c r="F2028" t="s">
        <v>101</v>
      </c>
      <c r="G2028" t="s">
        <v>16862</v>
      </c>
      <c r="H2028" t="s">
        <v>16863</v>
      </c>
    </row>
    <row r="2029" spans="1:8">
      <c r="A2029" t="s">
        <v>240</v>
      </c>
      <c r="B2029" t="s">
        <v>101</v>
      </c>
      <c r="C2029">
        <v>59</v>
      </c>
      <c r="D2029" t="s">
        <v>16864</v>
      </c>
      <c r="E2029" t="s">
        <v>16865</v>
      </c>
      <c r="F2029" t="s">
        <v>101</v>
      </c>
      <c r="G2029" t="s">
        <v>16866</v>
      </c>
      <c r="H2029" t="s">
        <v>16867</v>
      </c>
    </row>
    <row r="2030" spans="1:8">
      <c r="A2030" t="s">
        <v>250</v>
      </c>
      <c r="B2030" t="s">
        <v>101</v>
      </c>
      <c r="C2030">
        <v>59</v>
      </c>
      <c r="D2030" t="s">
        <v>16868</v>
      </c>
      <c r="E2030" t="s">
        <v>16869</v>
      </c>
      <c r="F2030" t="s">
        <v>101</v>
      </c>
      <c r="H2030" t="s">
        <v>16870</v>
      </c>
    </row>
    <row r="2031" spans="1:8">
      <c r="A2031" t="s">
        <v>250</v>
      </c>
      <c r="B2031" t="s">
        <v>101</v>
      </c>
      <c r="C2031">
        <v>59</v>
      </c>
      <c r="D2031" t="s">
        <v>16871</v>
      </c>
      <c r="E2031" t="s">
        <v>16872</v>
      </c>
      <c r="F2031" t="s">
        <v>101</v>
      </c>
    </row>
    <row r="2032" spans="1:8">
      <c r="A2032" t="s">
        <v>250</v>
      </c>
      <c r="B2032" t="s">
        <v>101</v>
      </c>
      <c r="C2032">
        <v>59</v>
      </c>
      <c r="D2032" t="s">
        <v>16873</v>
      </c>
      <c r="E2032" t="s">
        <v>16831</v>
      </c>
      <c r="F2032" t="s">
        <v>101</v>
      </c>
      <c r="G2032" t="s">
        <v>16874</v>
      </c>
      <c r="H2032" t="s">
        <v>16875</v>
      </c>
    </row>
    <row r="2033" spans="1:8">
      <c r="A2033" t="s">
        <v>250</v>
      </c>
      <c r="B2033" t="s">
        <v>101</v>
      </c>
      <c r="C2033">
        <v>59</v>
      </c>
      <c r="D2033" t="s">
        <v>16876</v>
      </c>
      <c r="E2033" t="s">
        <v>16877</v>
      </c>
      <c r="F2033" t="s">
        <v>101</v>
      </c>
    </row>
    <row r="2034" spans="1:8">
      <c r="A2034" t="s">
        <v>240</v>
      </c>
      <c r="B2034" t="s">
        <v>101</v>
      </c>
      <c r="C2034">
        <v>59</v>
      </c>
      <c r="D2034" t="s">
        <v>16878</v>
      </c>
      <c r="E2034" t="s">
        <v>16539</v>
      </c>
      <c r="F2034" t="s">
        <v>101</v>
      </c>
      <c r="G2034" t="s">
        <v>16875</v>
      </c>
      <c r="H2034" t="s">
        <v>16874</v>
      </c>
    </row>
    <row r="2035" spans="1:8">
      <c r="A2035" t="s">
        <v>240</v>
      </c>
      <c r="B2035" t="s">
        <v>101</v>
      </c>
      <c r="C2035">
        <v>59</v>
      </c>
      <c r="D2035" t="s">
        <v>9498</v>
      </c>
      <c r="E2035" t="s">
        <v>16879</v>
      </c>
      <c r="F2035" t="s">
        <v>101</v>
      </c>
      <c r="G2035" t="s">
        <v>16880</v>
      </c>
      <c r="H2035" t="s">
        <v>16881</v>
      </c>
    </row>
    <row r="2036" spans="1:8">
      <c r="A2036" t="s">
        <v>240</v>
      </c>
      <c r="B2036" t="s">
        <v>101</v>
      </c>
      <c r="C2036">
        <v>59</v>
      </c>
      <c r="D2036" t="s">
        <v>16882</v>
      </c>
      <c r="E2036" t="s">
        <v>16883</v>
      </c>
      <c r="F2036" t="s">
        <v>101</v>
      </c>
      <c r="G2036" t="s">
        <v>16884</v>
      </c>
      <c r="H2036" t="s">
        <v>16885</v>
      </c>
    </row>
    <row r="2037" spans="1:8">
      <c r="A2037" t="s">
        <v>240</v>
      </c>
      <c r="B2037" t="s">
        <v>101</v>
      </c>
      <c r="C2037">
        <v>59</v>
      </c>
      <c r="D2037" t="s">
        <v>7183</v>
      </c>
      <c r="E2037" t="s">
        <v>16886</v>
      </c>
      <c r="F2037" t="s">
        <v>101</v>
      </c>
      <c r="G2037" t="s">
        <v>16887</v>
      </c>
      <c r="H2037" t="s">
        <v>16888</v>
      </c>
    </row>
    <row r="2038" spans="1:8">
      <c r="A2038" t="s">
        <v>242</v>
      </c>
      <c r="B2038" t="s">
        <v>101</v>
      </c>
      <c r="C2038">
        <v>59</v>
      </c>
      <c r="D2038" t="s">
        <v>16889</v>
      </c>
      <c r="E2038" t="s">
        <v>16890</v>
      </c>
      <c r="F2038" t="s">
        <v>101</v>
      </c>
      <c r="G2038" t="s">
        <v>16891</v>
      </c>
      <c r="H2038" t="s">
        <v>16892</v>
      </c>
    </row>
    <row r="2039" spans="1:8">
      <c r="A2039" t="s">
        <v>242</v>
      </c>
      <c r="B2039" t="s">
        <v>101</v>
      </c>
      <c r="C2039">
        <v>59</v>
      </c>
      <c r="D2039" t="s">
        <v>16893</v>
      </c>
      <c r="E2039" t="s">
        <v>16894</v>
      </c>
      <c r="F2039" t="s">
        <v>16712</v>
      </c>
      <c r="H2039" t="s">
        <v>16895</v>
      </c>
    </row>
    <row r="2040" spans="1:8">
      <c r="A2040" t="s">
        <v>249</v>
      </c>
      <c r="B2040" t="s">
        <v>101</v>
      </c>
      <c r="C2040">
        <v>59</v>
      </c>
      <c r="D2040" t="s">
        <v>12336</v>
      </c>
      <c r="E2040" t="s">
        <v>16896</v>
      </c>
      <c r="F2040" t="s">
        <v>101</v>
      </c>
      <c r="G2040" t="s">
        <v>16897</v>
      </c>
      <c r="H2040" t="s">
        <v>16898</v>
      </c>
    </row>
    <row r="2041" spans="1:8">
      <c r="A2041" t="s">
        <v>249</v>
      </c>
      <c r="B2041" t="s">
        <v>101</v>
      </c>
      <c r="C2041">
        <v>59</v>
      </c>
      <c r="D2041" t="s">
        <v>16899</v>
      </c>
      <c r="E2041" t="s">
        <v>16900</v>
      </c>
      <c r="F2041" t="s">
        <v>101</v>
      </c>
    </row>
    <row r="2042" spans="1:8">
      <c r="A2042" t="s">
        <v>252</v>
      </c>
      <c r="B2042" t="s">
        <v>101</v>
      </c>
      <c r="C2042">
        <v>59</v>
      </c>
      <c r="D2042" t="s">
        <v>16901</v>
      </c>
      <c r="E2042" t="s">
        <v>16902</v>
      </c>
      <c r="F2042" t="s">
        <v>101</v>
      </c>
      <c r="G2042" t="s">
        <v>16903</v>
      </c>
      <c r="H2042" t="s">
        <v>16904</v>
      </c>
    </row>
    <row r="2043" spans="1:8">
      <c r="A2043" t="s">
        <v>249</v>
      </c>
      <c r="B2043" t="s">
        <v>101</v>
      </c>
      <c r="C2043">
        <v>59</v>
      </c>
      <c r="D2043" t="s">
        <v>16905</v>
      </c>
      <c r="E2043" t="s">
        <v>16906</v>
      </c>
      <c r="F2043" t="s">
        <v>16731</v>
      </c>
      <c r="G2043" t="s">
        <v>16907</v>
      </c>
      <c r="H2043" t="s">
        <v>16908</v>
      </c>
    </row>
    <row r="2044" spans="1:8">
      <c r="A2044" t="s">
        <v>249</v>
      </c>
      <c r="B2044" t="s">
        <v>101</v>
      </c>
      <c r="C2044">
        <v>59</v>
      </c>
      <c r="D2044" t="s">
        <v>16909</v>
      </c>
      <c r="E2044" t="s">
        <v>16910</v>
      </c>
      <c r="F2044" t="s">
        <v>101</v>
      </c>
      <c r="G2044" t="s">
        <v>16911</v>
      </c>
      <c r="H2044" t="s">
        <v>16912</v>
      </c>
    </row>
    <row r="2045" spans="1:8">
      <c r="A2045" t="s">
        <v>249</v>
      </c>
      <c r="B2045" t="s">
        <v>101</v>
      </c>
      <c r="C2045">
        <v>59</v>
      </c>
      <c r="D2045" t="s">
        <v>16913</v>
      </c>
      <c r="E2045" t="s">
        <v>16914</v>
      </c>
      <c r="F2045" t="s">
        <v>101</v>
      </c>
      <c r="G2045" t="s">
        <v>16915</v>
      </c>
      <c r="H2045" t="s">
        <v>16916</v>
      </c>
    </row>
    <row r="2046" spans="1:8">
      <c r="A2046" t="s">
        <v>243</v>
      </c>
      <c r="B2046" t="s">
        <v>101</v>
      </c>
      <c r="C2046">
        <v>59</v>
      </c>
      <c r="D2046" t="s">
        <v>16917</v>
      </c>
      <c r="E2046" t="s">
        <v>16918</v>
      </c>
      <c r="F2046" t="s">
        <v>101</v>
      </c>
      <c r="G2046" t="s">
        <v>16919</v>
      </c>
      <c r="H2046" t="s">
        <v>16920</v>
      </c>
    </row>
    <row r="2047" spans="1:8">
      <c r="A2047" t="s">
        <v>243</v>
      </c>
      <c r="B2047" t="s">
        <v>101</v>
      </c>
      <c r="C2047">
        <v>59</v>
      </c>
      <c r="D2047" t="s">
        <v>16921</v>
      </c>
      <c r="E2047" t="s">
        <v>16922</v>
      </c>
      <c r="F2047" t="s">
        <v>101</v>
      </c>
      <c r="G2047" t="s">
        <v>16923</v>
      </c>
      <c r="H2047" t="s">
        <v>16924</v>
      </c>
    </row>
    <row r="2048" spans="1:8">
      <c r="A2048" t="s">
        <v>249</v>
      </c>
      <c r="B2048" t="s">
        <v>101</v>
      </c>
      <c r="C2048">
        <v>59</v>
      </c>
      <c r="D2048" t="s">
        <v>16925</v>
      </c>
      <c r="E2048" t="s">
        <v>16926</v>
      </c>
      <c r="F2048" t="s">
        <v>101</v>
      </c>
      <c r="H2048" t="s">
        <v>16927</v>
      </c>
    </row>
    <row r="2049" spans="1:8">
      <c r="A2049" t="s">
        <v>249</v>
      </c>
      <c r="B2049" t="s">
        <v>101</v>
      </c>
      <c r="C2049">
        <v>59</v>
      </c>
      <c r="D2049" t="s">
        <v>16928</v>
      </c>
      <c r="E2049" t="s">
        <v>16929</v>
      </c>
      <c r="F2049" t="s">
        <v>101</v>
      </c>
      <c r="H2049" t="s">
        <v>16930</v>
      </c>
    </row>
    <row r="2050" spans="1:8">
      <c r="A2050" t="s">
        <v>249</v>
      </c>
      <c r="B2050" t="s">
        <v>101</v>
      </c>
      <c r="C2050">
        <v>59</v>
      </c>
      <c r="D2050" t="s">
        <v>4001</v>
      </c>
      <c r="E2050" t="s">
        <v>16931</v>
      </c>
      <c r="F2050" t="s">
        <v>101</v>
      </c>
      <c r="H2050" t="s">
        <v>16930</v>
      </c>
    </row>
    <row r="2051" spans="1:8">
      <c r="A2051" t="s">
        <v>249</v>
      </c>
      <c r="B2051" t="s">
        <v>101</v>
      </c>
      <c r="C2051">
        <v>59</v>
      </c>
      <c r="D2051" t="s">
        <v>16932</v>
      </c>
      <c r="E2051" t="s">
        <v>16933</v>
      </c>
      <c r="F2051" t="s">
        <v>101</v>
      </c>
      <c r="G2051" t="s">
        <v>16934</v>
      </c>
      <c r="H2051" t="s">
        <v>16935</v>
      </c>
    </row>
    <row r="2052" spans="1:8">
      <c r="A2052" t="s">
        <v>249</v>
      </c>
      <c r="B2052" t="s">
        <v>101</v>
      </c>
      <c r="C2052">
        <v>59</v>
      </c>
      <c r="D2052" t="s">
        <v>16936</v>
      </c>
      <c r="F2052" t="s">
        <v>101</v>
      </c>
      <c r="G2052" t="s">
        <v>16937</v>
      </c>
      <c r="H2052" t="s">
        <v>16938</v>
      </c>
    </row>
    <row r="2053" spans="1:8">
      <c r="A2053" t="s">
        <v>240</v>
      </c>
      <c r="B2053" t="s">
        <v>101</v>
      </c>
      <c r="C2053">
        <v>59</v>
      </c>
      <c r="D2053" t="s">
        <v>2749</v>
      </c>
      <c r="E2053" t="s">
        <v>16939</v>
      </c>
      <c r="F2053" t="s">
        <v>101</v>
      </c>
      <c r="G2053" t="s">
        <v>16940</v>
      </c>
      <c r="H2053" t="s">
        <v>16941</v>
      </c>
    </row>
    <row r="2054" spans="1:8">
      <c r="A2054" t="s">
        <v>240</v>
      </c>
      <c r="B2054" t="s">
        <v>101</v>
      </c>
      <c r="C2054">
        <v>59</v>
      </c>
      <c r="D2054" t="s">
        <v>7037</v>
      </c>
      <c r="E2054" t="s">
        <v>16942</v>
      </c>
      <c r="F2054" t="s">
        <v>101</v>
      </c>
      <c r="G2054" t="s">
        <v>16943</v>
      </c>
      <c r="H2054" t="s">
        <v>16944</v>
      </c>
    </row>
    <row r="2055" spans="1:8">
      <c r="A2055" t="s">
        <v>240</v>
      </c>
      <c r="B2055" t="s">
        <v>101</v>
      </c>
      <c r="C2055">
        <v>59</v>
      </c>
      <c r="D2055" t="s">
        <v>101</v>
      </c>
      <c r="E2055" t="s">
        <v>16945</v>
      </c>
      <c r="F2055" t="s">
        <v>101</v>
      </c>
      <c r="G2055" t="s">
        <v>16946</v>
      </c>
      <c r="H2055" t="s">
        <v>16947</v>
      </c>
    </row>
    <row r="2056" spans="1:8">
      <c r="A2056" t="s">
        <v>240</v>
      </c>
      <c r="B2056" t="s">
        <v>101</v>
      </c>
      <c r="C2056">
        <v>59</v>
      </c>
      <c r="D2056" t="s">
        <v>13729</v>
      </c>
      <c r="E2056" t="s">
        <v>16948</v>
      </c>
      <c r="F2056" t="s">
        <v>101</v>
      </c>
      <c r="G2056" t="s">
        <v>16949</v>
      </c>
      <c r="H2056" t="s">
        <v>16950</v>
      </c>
    </row>
    <row r="2057" spans="1:8">
      <c r="A2057" t="s">
        <v>240</v>
      </c>
      <c r="B2057" t="s">
        <v>101</v>
      </c>
      <c r="C2057">
        <v>59</v>
      </c>
      <c r="D2057" t="s">
        <v>16951</v>
      </c>
      <c r="E2057" t="s">
        <v>16952</v>
      </c>
      <c r="F2057" t="s">
        <v>101</v>
      </c>
      <c r="G2057" t="s">
        <v>16953</v>
      </c>
      <c r="H2057" t="s">
        <v>16954</v>
      </c>
    </row>
    <row r="2058" spans="1:8">
      <c r="A2058" t="s">
        <v>240</v>
      </c>
      <c r="B2058" t="s">
        <v>101</v>
      </c>
      <c r="C2058">
        <v>59</v>
      </c>
      <c r="D2058" t="s">
        <v>5592</v>
      </c>
      <c r="E2058" t="s">
        <v>16955</v>
      </c>
      <c r="F2058" t="s">
        <v>101</v>
      </c>
      <c r="G2058" t="s">
        <v>16956</v>
      </c>
      <c r="H2058" t="s">
        <v>16957</v>
      </c>
    </row>
    <row r="2059" spans="1:8">
      <c r="A2059" t="s">
        <v>240</v>
      </c>
      <c r="B2059" t="s">
        <v>101</v>
      </c>
      <c r="C2059">
        <v>59</v>
      </c>
      <c r="D2059" t="s">
        <v>7140</v>
      </c>
      <c r="E2059" t="s">
        <v>16958</v>
      </c>
      <c r="F2059" t="s">
        <v>101</v>
      </c>
      <c r="G2059" t="s">
        <v>16959</v>
      </c>
      <c r="H2059" t="s">
        <v>16960</v>
      </c>
    </row>
    <row r="2060" spans="1:8">
      <c r="A2060" t="s">
        <v>240</v>
      </c>
      <c r="B2060" t="s">
        <v>101</v>
      </c>
      <c r="C2060">
        <v>59</v>
      </c>
      <c r="D2060" t="s">
        <v>909</v>
      </c>
      <c r="E2060" t="s">
        <v>16961</v>
      </c>
      <c r="F2060" t="s">
        <v>101</v>
      </c>
      <c r="G2060" t="s">
        <v>16962</v>
      </c>
      <c r="H2060" t="s">
        <v>16963</v>
      </c>
    </row>
    <row r="2061" spans="1:8">
      <c r="A2061" t="s">
        <v>240</v>
      </c>
      <c r="B2061" t="s">
        <v>101</v>
      </c>
      <c r="C2061">
        <v>59</v>
      </c>
      <c r="D2061" t="s">
        <v>7191</v>
      </c>
      <c r="E2061" t="s">
        <v>16964</v>
      </c>
      <c r="F2061" t="s">
        <v>101</v>
      </c>
      <c r="G2061" t="s">
        <v>16965</v>
      </c>
      <c r="H2061" t="s">
        <v>16966</v>
      </c>
    </row>
    <row r="2062" spans="1:8">
      <c r="A2062" t="s">
        <v>240</v>
      </c>
      <c r="B2062" t="s">
        <v>101</v>
      </c>
      <c r="C2062">
        <v>59</v>
      </c>
      <c r="D2062" t="s">
        <v>16967</v>
      </c>
      <c r="E2062" t="s">
        <v>16968</v>
      </c>
      <c r="F2062" t="s">
        <v>101</v>
      </c>
      <c r="G2062" t="s">
        <v>16969</v>
      </c>
      <c r="H2062" t="s">
        <v>16970</v>
      </c>
    </row>
    <row r="2063" spans="1:8">
      <c r="A2063" t="s">
        <v>240</v>
      </c>
      <c r="B2063" t="s">
        <v>101</v>
      </c>
      <c r="C2063">
        <v>59</v>
      </c>
      <c r="D2063" t="s">
        <v>7136</v>
      </c>
      <c r="E2063" t="s">
        <v>16762</v>
      </c>
      <c r="F2063" t="s">
        <v>101</v>
      </c>
      <c r="G2063" t="s">
        <v>16971</v>
      </c>
      <c r="H2063" t="s">
        <v>16972</v>
      </c>
    </row>
    <row r="2064" spans="1:8">
      <c r="A2064" t="s">
        <v>240</v>
      </c>
      <c r="B2064" t="s">
        <v>101</v>
      </c>
      <c r="C2064">
        <v>59</v>
      </c>
      <c r="D2064" t="s">
        <v>16973</v>
      </c>
      <c r="E2064" t="s">
        <v>16974</v>
      </c>
      <c r="F2064" t="s">
        <v>101</v>
      </c>
      <c r="G2064" t="s">
        <v>16975</v>
      </c>
      <c r="H2064" t="s">
        <v>16976</v>
      </c>
    </row>
    <row r="2065" spans="1:8">
      <c r="A2065" t="s">
        <v>240</v>
      </c>
      <c r="B2065" t="s">
        <v>101</v>
      </c>
      <c r="C2065">
        <v>59</v>
      </c>
      <c r="D2065" t="s">
        <v>15323</v>
      </c>
      <c r="E2065" t="s">
        <v>16977</v>
      </c>
      <c r="F2065" t="s">
        <v>101</v>
      </c>
      <c r="G2065" t="s">
        <v>16978</v>
      </c>
      <c r="H2065" t="s">
        <v>16979</v>
      </c>
    </row>
    <row r="2066" spans="1:8">
      <c r="A2066" t="s">
        <v>240</v>
      </c>
      <c r="B2066" t="s">
        <v>101</v>
      </c>
      <c r="C2066">
        <v>59</v>
      </c>
      <c r="D2066" t="s">
        <v>16980</v>
      </c>
      <c r="E2066" t="s">
        <v>16981</v>
      </c>
      <c r="F2066" t="s">
        <v>101</v>
      </c>
      <c r="G2066" t="s">
        <v>16982</v>
      </c>
      <c r="H2066" t="s">
        <v>16983</v>
      </c>
    </row>
    <row r="2067" spans="1:8">
      <c r="A2067" t="s">
        <v>240</v>
      </c>
      <c r="B2067" t="s">
        <v>101</v>
      </c>
      <c r="C2067">
        <v>59</v>
      </c>
      <c r="D2067" t="s">
        <v>7391</v>
      </c>
      <c r="E2067" t="s">
        <v>16984</v>
      </c>
      <c r="F2067" t="s">
        <v>101</v>
      </c>
      <c r="G2067" t="s">
        <v>16985</v>
      </c>
      <c r="H2067" t="s">
        <v>16986</v>
      </c>
    </row>
    <row r="2068" spans="1:8">
      <c r="A2068" t="s">
        <v>240</v>
      </c>
      <c r="B2068" t="s">
        <v>101</v>
      </c>
      <c r="C2068">
        <v>59</v>
      </c>
      <c r="D2068" t="s">
        <v>5190</v>
      </c>
      <c r="E2068" t="s">
        <v>16987</v>
      </c>
      <c r="F2068" t="s">
        <v>101</v>
      </c>
      <c r="G2068" t="s">
        <v>16988</v>
      </c>
      <c r="H2068" t="s">
        <v>16989</v>
      </c>
    </row>
    <row r="2069" spans="1:8">
      <c r="A2069" t="s">
        <v>240</v>
      </c>
      <c r="B2069" t="s">
        <v>101</v>
      </c>
      <c r="C2069">
        <v>59</v>
      </c>
      <c r="D2069" t="s">
        <v>4476</v>
      </c>
      <c r="E2069" t="s">
        <v>16990</v>
      </c>
      <c r="F2069" t="s">
        <v>101</v>
      </c>
      <c r="G2069" t="s">
        <v>16991</v>
      </c>
      <c r="H2069" t="s">
        <v>16992</v>
      </c>
    </row>
    <row r="2070" spans="1:8">
      <c r="A2070" t="s">
        <v>240</v>
      </c>
      <c r="B2070" t="s">
        <v>101</v>
      </c>
      <c r="C2070">
        <v>59</v>
      </c>
      <c r="D2070" t="s">
        <v>16993</v>
      </c>
      <c r="E2070" t="s">
        <v>16994</v>
      </c>
      <c r="F2070" t="s">
        <v>16731</v>
      </c>
      <c r="G2070" t="s">
        <v>16995</v>
      </c>
      <c r="H2070" t="s">
        <v>16996</v>
      </c>
    </row>
    <row r="2071" spans="1:8">
      <c r="A2071" t="s">
        <v>240</v>
      </c>
      <c r="B2071" t="s">
        <v>101</v>
      </c>
      <c r="C2071">
        <v>59</v>
      </c>
      <c r="D2071" t="s">
        <v>16997</v>
      </c>
      <c r="E2071" t="s">
        <v>16998</v>
      </c>
      <c r="F2071" t="s">
        <v>101</v>
      </c>
      <c r="G2071" t="s">
        <v>16999</v>
      </c>
      <c r="H2071" t="s">
        <v>17000</v>
      </c>
    </row>
    <row r="2072" spans="1:8">
      <c r="A2072" t="s">
        <v>240</v>
      </c>
      <c r="B2072" t="s">
        <v>101</v>
      </c>
      <c r="C2072">
        <v>59</v>
      </c>
      <c r="D2072" t="s">
        <v>7177</v>
      </c>
      <c r="E2072" t="s">
        <v>17001</v>
      </c>
      <c r="F2072" t="s">
        <v>101</v>
      </c>
      <c r="G2072" t="s">
        <v>17002</v>
      </c>
      <c r="H2072" t="s">
        <v>17003</v>
      </c>
    </row>
    <row r="2073" spans="1:8">
      <c r="A2073" t="s">
        <v>241</v>
      </c>
      <c r="B2073" t="s">
        <v>101</v>
      </c>
      <c r="C2073">
        <v>59</v>
      </c>
      <c r="D2073" t="s">
        <v>17004</v>
      </c>
      <c r="E2073" t="s">
        <v>17005</v>
      </c>
      <c r="H2073" t="s">
        <v>17006</v>
      </c>
    </row>
    <row r="2074" spans="1:8">
      <c r="A2074" t="s">
        <v>241</v>
      </c>
      <c r="B2074" t="s">
        <v>101</v>
      </c>
      <c r="C2074">
        <v>59</v>
      </c>
      <c r="D2074" t="s">
        <v>17007</v>
      </c>
      <c r="E2074" t="s">
        <v>17008</v>
      </c>
      <c r="H2074" t="s">
        <v>17009</v>
      </c>
    </row>
    <row r="2075" spans="1:8">
      <c r="A2075" t="s">
        <v>242</v>
      </c>
      <c r="B2075" t="s">
        <v>101</v>
      </c>
      <c r="C2075">
        <v>59</v>
      </c>
      <c r="D2075" t="s">
        <v>17010</v>
      </c>
      <c r="E2075" t="s">
        <v>17011</v>
      </c>
      <c r="F2075" t="s">
        <v>17012</v>
      </c>
      <c r="G2075" t="s">
        <v>17013</v>
      </c>
      <c r="H2075" t="s">
        <v>17014</v>
      </c>
    </row>
    <row r="2076" spans="1:8">
      <c r="A2076" t="s">
        <v>239</v>
      </c>
      <c r="B2076" t="s">
        <v>101</v>
      </c>
      <c r="C2076">
        <v>59</v>
      </c>
      <c r="D2076" t="s">
        <v>17015</v>
      </c>
      <c r="E2076" t="s">
        <v>17016</v>
      </c>
      <c r="F2076" t="s">
        <v>101</v>
      </c>
      <c r="H2076" t="s">
        <v>17017</v>
      </c>
    </row>
    <row r="2077" spans="1:8">
      <c r="A2077" t="s">
        <v>239</v>
      </c>
      <c r="B2077" t="s">
        <v>101</v>
      </c>
      <c r="C2077">
        <v>59</v>
      </c>
      <c r="D2077" t="s">
        <v>17018</v>
      </c>
      <c r="E2077" t="s">
        <v>17019</v>
      </c>
      <c r="F2077" t="s">
        <v>101</v>
      </c>
      <c r="H2077" t="s">
        <v>17020</v>
      </c>
    </row>
    <row r="2078" spans="1:8">
      <c r="A2078" t="s">
        <v>239</v>
      </c>
      <c r="B2078" t="s">
        <v>101</v>
      </c>
      <c r="C2078">
        <v>59</v>
      </c>
      <c r="D2078" t="s">
        <v>17021</v>
      </c>
      <c r="E2078" t="s">
        <v>17022</v>
      </c>
      <c r="F2078" t="s">
        <v>101</v>
      </c>
      <c r="H2078" t="s">
        <v>17017</v>
      </c>
    </row>
    <row r="2079" spans="1:8">
      <c r="A2079" t="s">
        <v>241</v>
      </c>
      <c r="B2079" t="s">
        <v>101</v>
      </c>
      <c r="C2079">
        <v>59</v>
      </c>
      <c r="D2079" t="s">
        <v>17023</v>
      </c>
      <c r="E2079" t="s">
        <v>17024</v>
      </c>
      <c r="F2079" t="s">
        <v>101</v>
      </c>
      <c r="H2079" t="s">
        <v>17025</v>
      </c>
    </row>
    <row r="2080" spans="1:8">
      <c r="A2080" t="s">
        <v>239</v>
      </c>
      <c r="B2080" t="s">
        <v>101</v>
      </c>
      <c r="C2080">
        <v>59</v>
      </c>
      <c r="D2080" t="s">
        <v>17026</v>
      </c>
      <c r="E2080" t="s">
        <v>17027</v>
      </c>
      <c r="F2080" t="s">
        <v>101</v>
      </c>
      <c r="H2080" t="s">
        <v>17017</v>
      </c>
    </row>
    <row r="2081" spans="1:8">
      <c r="A2081" t="s">
        <v>239</v>
      </c>
      <c r="B2081" t="s">
        <v>101</v>
      </c>
      <c r="C2081">
        <v>59</v>
      </c>
      <c r="D2081" t="s">
        <v>17028</v>
      </c>
      <c r="E2081" t="s">
        <v>17029</v>
      </c>
      <c r="F2081" t="s">
        <v>101</v>
      </c>
      <c r="H2081" t="s">
        <v>17017</v>
      </c>
    </row>
    <row r="2082" spans="1:8">
      <c r="A2082" t="s">
        <v>239</v>
      </c>
      <c r="B2082" t="s">
        <v>101</v>
      </c>
      <c r="C2082">
        <v>59</v>
      </c>
      <c r="D2082" t="s">
        <v>17030</v>
      </c>
      <c r="E2082" t="s">
        <v>17031</v>
      </c>
      <c r="F2082" t="s">
        <v>101</v>
      </c>
      <c r="H2082" t="s">
        <v>17017</v>
      </c>
    </row>
    <row r="2083" spans="1:8">
      <c r="A2083" t="s">
        <v>239</v>
      </c>
      <c r="B2083" t="s">
        <v>101</v>
      </c>
      <c r="C2083">
        <v>59</v>
      </c>
      <c r="D2083" t="s">
        <v>17032</v>
      </c>
      <c r="E2083" t="s">
        <v>17033</v>
      </c>
      <c r="F2083" t="s">
        <v>101</v>
      </c>
      <c r="H2083" t="s">
        <v>17017</v>
      </c>
    </row>
    <row r="2084" spans="1:8">
      <c r="A2084" t="s">
        <v>239</v>
      </c>
      <c r="B2084" t="s">
        <v>101</v>
      </c>
      <c r="C2084">
        <v>59</v>
      </c>
      <c r="D2084" t="s">
        <v>17034</v>
      </c>
      <c r="E2084" t="s">
        <v>17035</v>
      </c>
      <c r="F2084" t="s">
        <v>101</v>
      </c>
      <c r="H2084" t="s">
        <v>17017</v>
      </c>
    </row>
    <row r="2085" spans="1:8">
      <c r="A2085" t="s">
        <v>239</v>
      </c>
      <c r="B2085" t="s">
        <v>101</v>
      </c>
      <c r="C2085">
        <v>59</v>
      </c>
      <c r="D2085" t="s">
        <v>17036</v>
      </c>
      <c r="E2085" t="s">
        <v>17037</v>
      </c>
      <c r="F2085" t="s">
        <v>101</v>
      </c>
      <c r="H2085" t="s">
        <v>17017</v>
      </c>
    </row>
    <row r="2086" spans="1:8">
      <c r="A2086" t="s">
        <v>239</v>
      </c>
      <c r="B2086" t="s">
        <v>101</v>
      </c>
      <c r="C2086">
        <v>59</v>
      </c>
      <c r="D2086" t="s">
        <v>17038</v>
      </c>
      <c r="E2086" t="s">
        <v>17039</v>
      </c>
      <c r="F2086" t="s">
        <v>101</v>
      </c>
      <c r="H2086" t="s">
        <v>17040</v>
      </c>
    </row>
    <row r="2087" spans="1:8">
      <c r="A2087" t="s">
        <v>239</v>
      </c>
      <c r="B2087" t="s">
        <v>101</v>
      </c>
      <c r="C2087">
        <v>59</v>
      </c>
      <c r="D2087" t="s">
        <v>17041</v>
      </c>
      <c r="E2087" t="s">
        <v>17042</v>
      </c>
      <c r="F2087" t="s">
        <v>17043</v>
      </c>
      <c r="H2087" t="s">
        <v>17017</v>
      </c>
    </row>
    <row r="2088" spans="1:8">
      <c r="A2088" t="s">
        <v>239</v>
      </c>
      <c r="B2088" t="s">
        <v>101</v>
      </c>
      <c r="C2088">
        <v>59</v>
      </c>
      <c r="D2088" t="s">
        <v>17044</v>
      </c>
      <c r="E2088" t="s">
        <v>17045</v>
      </c>
      <c r="F2088" t="s">
        <v>101</v>
      </c>
      <c r="H2088" t="s">
        <v>17046</v>
      </c>
    </row>
    <row r="2089" spans="1:8">
      <c r="A2089" t="s">
        <v>239</v>
      </c>
      <c r="B2089" t="s">
        <v>101</v>
      </c>
      <c r="C2089">
        <v>59</v>
      </c>
      <c r="D2089" t="s">
        <v>17047</v>
      </c>
      <c r="E2089" t="s">
        <v>17048</v>
      </c>
      <c r="F2089" t="s">
        <v>101</v>
      </c>
      <c r="H2089" t="s">
        <v>17017</v>
      </c>
    </row>
    <row r="2090" spans="1:8">
      <c r="A2090" t="s">
        <v>239</v>
      </c>
      <c r="B2090" t="s">
        <v>101</v>
      </c>
      <c r="C2090">
        <v>59</v>
      </c>
      <c r="D2090" t="s">
        <v>17049</v>
      </c>
      <c r="E2090" t="s">
        <v>17050</v>
      </c>
      <c r="F2090" t="s">
        <v>101</v>
      </c>
      <c r="H2090" t="s">
        <v>17017</v>
      </c>
    </row>
    <row r="2091" spans="1:8">
      <c r="A2091" t="s">
        <v>239</v>
      </c>
      <c r="B2091" t="s">
        <v>101</v>
      </c>
      <c r="C2091">
        <v>59</v>
      </c>
      <c r="D2091" t="s">
        <v>17051</v>
      </c>
      <c r="E2091" t="s">
        <v>17052</v>
      </c>
      <c r="F2091" t="s">
        <v>101</v>
      </c>
      <c r="H2091" t="s">
        <v>17053</v>
      </c>
    </row>
    <row r="2092" spans="1:8">
      <c r="A2092" t="s">
        <v>239</v>
      </c>
      <c r="B2092" t="s">
        <v>101</v>
      </c>
      <c r="C2092">
        <v>59</v>
      </c>
      <c r="D2092" t="s">
        <v>17054</v>
      </c>
      <c r="E2092" t="s">
        <v>17055</v>
      </c>
      <c r="F2092" t="s">
        <v>16731</v>
      </c>
      <c r="H2092" t="s">
        <v>17056</v>
      </c>
    </row>
    <row r="2093" spans="1:8">
      <c r="A2093" t="s">
        <v>239</v>
      </c>
      <c r="B2093" t="s">
        <v>101</v>
      </c>
      <c r="C2093">
        <v>59</v>
      </c>
      <c r="D2093" t="s">
        <v>17057</v>
      </c>
      <c r="E2093" t="s">
        <v>17058</v>
      </c>
      <c r="F2093" t="s">
        <v>101</v>
      </c>
    </row>
    <row r="2094" spans="1:8">
      <c r="A2094" t="s">
        <v>239</v>
      </c>
      <c r="B2094" t="s">
        <v>101</v>
      </c>
      <c r="C2094">
        <v>59</v>
      </c>
      <c r="D2094" t="s">
        <v>17059</v>
      </c>
      <c r="E2094" t="s">
        <v>17033</v>
      </c>
      <c r="F2094" t="s">
        <v>101</v>
      </c>
      <c r="H2094" t="s">
        <v>17017</v>
      </c>
    </row>
    <row r="2095" spans="1:8">
      <c r="A2095" t="s">
        <v>239</v>
      </c>
      <c r="B2095" t="s">
        <v>101</v>
      </c>
      <c r="C2095">
        <v>59</v>
      </c>
      <c r="D2095" t="s">
        <v>17060</v>
      </c>
      <c r="E2095" t="s">
        <v>17061</v>
      </c>
      <c r="F2095" t="s">
        <v>101</v>
      </c>
      <c r="H2095" t="s">
        <v>10690</v>
      </c>
    </row>
    <row r="2096" spans="1:8">
      <c r="A2096" t="s">
        <v>239</v>
      </c>
      <c r="B2096" t="s">
        <v>101</v>
      </c>
      <c r="C2096">
        <v>59</v>
      </c>
      <c r="D2096" t="s">
        <v>17062</v>
      </c>
      <c r="E2096" t="s">
        <v>17063</v>
      </c>
      <c r="F2096" t="s">
        <v>16731</v>
      </c>
      <c r="H2096" t="s">
        <v>10690</v>
      </c>
    </row>
    <row r="2097" spans="1:8">
      <c r="A2097" t="s">
        <v>239</v>
      </c>
      <c r="B2097" t="s">
        <v>101</v>
      </c>
      <c r="C2097">
        <v>59</v>
      </c>
      <c r="D2097" t="s">
        <v>17064</v>
      </c>
      <c r="E2097" t="s">
        <v>17065</v>
      </c>
      <c r="F2097" t="s">
        <v>101</v>
      </c>
      <c r="H2097" t="s">
        <v>17017</v>
      </c>
    </row>
    <row r="2098" spans="1:8">
      <c r="A2098" t="s">
        <v>239</v>
      </c>
      <c r="B2098" t="s">
        <v>101</v>
      </c>
      <c r="C2098">
        <v>59</v>
      </c>
      <c r="D2098" t="s">
        <v>17066</v>
      </c>
      <c r="E2098" t="s">
        <v>17067</v>
      </c>
      <c r="F2098" t="s">
        <v>101</v>
      </c>
      <c r="H2098" t="s">
        <v>17068</v>
      </c>
    </row>
    <row r="2099" spans="1:8">
      <c r="A2099" t="s">
        <v>239</v>
      </c>
      <c r="B2099" t="s">
        <v>101</v>
      </c>
      <c r="C2099">
        <v>59</v>
      </c>
      <c r="D2099" t="s">
        <v>17069</v>
      </c>
      <c r="E2099" t="s">
        <v>17070</v>
      </c>
      <c r="F2099" t="s">
        <v>101</v>
      </c>
      <c r="H2099" t="s">
        <v>17017</v>
      </c>
    </row>
    <row r="2100" spans="1:8">
      <c r="A2100" t="s">
        <v>239</v>
      </c>
      <c r="B2100" t="s">
        <v>101</v>
      </c>
      <c r="C2100">
        <v>59</v>
      </c>
      <c r="D2100" t="s">
        <v>17071</v>
      </c>
      <c r="E2100" t="s">
        <v>17072</v>
      </c>
      <c r="F2100" t="s">
        <v>101</v>
      </c>
      <c r="H2100" t="s">
        <v>17017</v>
      </c>
    </row>
    <row r="2101" spans="1:8">
      <c r="A2101" t="s">
        <v>239</v>
      </c>
      <c r="B2101" t="s">
        <v>101</v>
      </c>
      <c r="C2101">
        <v>59</v>
      </c>
      <c r="D2101" t="s">
        <v>17073</v>
      </c>
      <c r="E2101" t="s">
        <v>17074</v>
      </c>
      <c r="F2101" t="s">
        <v>101</v>
      </c>
      <c r="H2101" t="s">
        <v>17017</v>
      </c>
    </row>
    <row r="2102" spans="1:8">
      <c r="A2102" t="s">
        <v>239</v>
      </c>
      <c r="B2102" t="s">
        <v>101</v>
      </c>
      <c r="C2102">
        <v>59</v>
      </c>
      <c r="D2102" t="s">
        <v>17075</v>
      </c>
      <c r="E2102" t="s">
        <v>17076</v>
      </c>
      <c r="F2102" t="s">
        <v>101</v>
      </c>
      <c r="H2102" t="s">
        <v>17017</v>
      </c>
    </row>
    <row r="2103" spans="1:8">
      <c r="A2103" t="s">
        <v>239</v>
      </c>
      <c r="B2103" t="s">
        <v>101</v>
      </c>
      <c r="C2103">
        <v>59</v>
      </c>
      <c r="D2103" t="s">
        <v>17077</v>
      </c>
      <c r="E2103" t="s">
        <v>17078</v>
      </c>
      <c r="F2103" t="s">
        <v>101</v>
      </c>
      <c r="H2103" t="s">
        <v>17079</v>
      </c>
    </row>
    <row r="2104" spans="1:8">
      <c r="A2104" t="s">
        <v>239</v>
      </c>
      <c r="B2104" t="s">
        <v>101</v>
      </c>
      <c r="C2104">
        <v>59</v>
      </c>
      <c r="D2104" t="s">
        <v>17080</v>
      </c>
      <c r="E2104" t="s">
        <v>17081</v>
      </c>
      <c r="F2104" t="s">
        <v>101</v>
      </c>
      <c r="H2104" t="s">
        <v>17082</v>
      </c>
    </row>
    <row r="2105" spans="1:8">
      <c r="A2105" t="s">
        <v>241</v>
      </c>
      <c r="B2105" t="s">
        <v>101</v>
      </c>
      <c r="C2105">
        <v>59</v>
      </c>
      <c r="D2105" t="s">
        <v>17083</v>
      </c>
      <c r="E2105" t="s">
        <v>17084</v>
      </c>
      <c r="F2105" t="s">
        <v>101</v>
      </c>
      <c r="H2105" t="s">
        <v>17085</v>
      </c>
    </row>
    <row r="2106" spans="1:8">
      <c r="A2106" t="s">
        <v>239</v>
      </c>
      <c r="B2106" t="s">
        <v>101</v>
      </c>
      <c r="C2106">
        <v>59</v>
      </c>
      <c r="D2106" t="s">
        <v>17086</v>
      </c>
      <c r="E2106" t="s">
        <v>17087</v>
      </c>
      <c r="F2106" t="s">
        <v>101</v>
      </c>
      <c r="H2106" t="s">
        <v>17053</v>
      </c>
    </row>
    <row r="2107" spans="1:8">
      <c r="A2107" t="s">
        <v>239</v>
      </c>
      <c r="B2107" t="s">
        <v>101</v>
      </c>
      <c r="C2107">
        <v>59</v>
      </c>
      <c r="D2107" t="s">
        <v>17088</v>
      </c>
      <c r="E2107" t="s">
        <v>17089</v>
      </c>
      <c r="F2107" t="s">
        <v>101</v>
      </c>
      <c r="H2107" t="s">
        <v>17017</v>
      </c>
    </row>
    <row r="2108" spans="1:8">
      <c r="A2108" t="s">
        <v>239</v>
      </c>
      <c r="B2108" t="s">
        <v>101</v>
      </c>
      <c r="C2108">
        <v>59</v>
      </c>
      <c r="D2108" t="s">
        <v>17090</v>
      </c>
      <c r="E2108" t="s">
        <v>17055</v>
      </c>
      <c r="F2108" t="s">
        <v>16731</v>
      </c>
      <c r="H2108" t="s">
        <v>17091</v>
      </c>
    </row>
    <row r="2109" spans="1:8">
      <c r="A2109" t="s">
        <v>239</v>
      </c>
      <c r="B2109" t="s">
        <v>101</v>
      </c>
      <c r="C2109">
        <v>59</v>
      </c>
      <c r="D2109" t="s">
        <v>17092</v>
      </c>
      <c r="E2109" t="s">
        <v>17093</v>
      </c>
      <c r="F2109" t="s">
        <v>101</v>
      </c>
      <c r="H2109" t="s">
        <v>17094</v>
      </c>
    </row>
    <row r="2110" spans="1:8">
      <c r="A2110" t="s">
        <v>239</v>
      </c>
      <c r="B2110" t="s">
        <v>101</v>
      </c>
      <c r="C2110">
        <v>59</v>
      </c>
      <c r="D2110" t="s">
        <v>17095</v>
      </c>
      <c r="E2110" t="s">
        <v>17096</v>
      </c>
      <c r="F2110" t="s">
        <v>101</v>
      </c>
      <c r="H2110" t="s">
        <v>17097</v>
      </c>
    </row>
    <row r="2111" spans="1:8">
      <c r="A2111" t="s">
        <v>239</v>
      </c>
      <c r="B2111" t="s">
        <v>101</v>
      </c>
      <c r="C2111">
        <v>59</v>
      </c>
      <c r="D2111" t="s">
        <v>17098</v>
      </c>
      <c r="E2111" t="s">
        <v>17099</v>
      </c>
      <c r="F2111" t="s">
        <v>101</v>
      </c>
      <c r="H2111" t="s">
        <v>17100</v>
      </c>
    </row>
    <row r="2112" spans="1:8">
      <c r="A2112" t="s">
        <v>239</v>
      </c>
      <c r="B2112" t="s">
        <v>101</v>
      </c>
      <c r="C2112">
        <v>59</v>
      </c>
      <c r="D2112" t="s">
        <v>17101</v>
      </c>
      <c r="E2112" t="s">
        <v>17102</v>
      </c>
      <c r="F2112" t="s">
        <v>101</v>
      </c>
      <c r="H2112" t="s">
        <v>17103</v>
      </c>
    </row>
    <row r="2113" spans="1:8">
      <c r="A2113" t="s">
        <v>241</v>
      </c>
      <c r="B2113" t="s">
        <v>101</v>
      </c>
      <c r="C2113">
        <v>59</v>
      </c>
      <c r="D2113" t="s">
        <v>17104</v>
      </c>
      <c r="E2113" t="s">
        <v>17105</v>
      </c>
      <c r="H2113" t="s">
        <v>17106</v>
      </c>
    </row>
    <row r="2114" spans="1:8">
      <c r="A2114" t="s">
        <v>243</v>
      </c>
      <c r="B2114" t="s">
        <v>101</v>
      </c>
      <c r="C2114">
        <v>59</v>
      </c>
      <c r="D2114" t="s">
        <v>17107</v>
      </c>
      <c r="E2114" t="s">
        <v>17108</v>
      </c>
      <c r="G2114" t="s">
        <v>17109</v>
      </c>
      <c r="H2114" t="s">
        <v>17110</v>
      </c>
    </row>
    <row r="2115" spans="1:8">
      <c r="A2115" t="s">
        <v>241</v>
      </c>
      <c r="B2115" t="s">
        <v>101</v>
      </c>
      <c r="C2115">
        <v>59</v>
      </c>
      <c r="D2115" t="s">
        <v>17111</v>
      </c>
      <c r="E2115" t="s">
        <v>17112</v>
      </c>
      <c r="H2115" t="s">
        <v>17113</v>
      </c>
    </row>
    <row r="2116" spans="1:8">
      <c r="A2116" t="s">
        <v>241</v>
      </c>
      <c r="B2116" t="s">
        <v>101</v>
      </c>
      <c r="C2116">
        <v>59</v>
      </c>
      <c r="D2116" t="s">
        <v>17114</v>
      </c>
      <c r="E2116" t="s">
        <v>17115</v>
      </c>
      <c r="F2116" t="s">
        <v>17116</v>
      </c>
      <c r="H2116" t="s">
        <v>17117</v>
      </c>
    </row>
    <row r="2117" spans="1:8">
      <c r="A2117" t="s">
        <v>248</v>
      </c>
      <c r="B2117" t="s">
        <v>101</v>
      </c>
      <c r="C2117">
        <v>59</v>
      </c>
      <c r="D2117" t="s">
        <v>17118</v>
      </c>
      <c r="E2117" t="s">
        <v>17119</v>
      </c>
      <c r="G2117" t="s">
        <v>16526</v>
      </c>
      <c r="H2117" t="s">
        <v>16527</v>
      </c>
    </row>
    <row r="2118" spans="1:8">
      <c r="A2118" t="s">
        <v>248</v>
      </c>
      <c r="B2118" t="s">
        <v>101</v>
      </c>
      <c r="C2118">
        <v>59</v>
      </c>
      <c r="D2118" t="s">
        <v>17120</v>
      </c>
      <c r="E2118" t="s">
        <v>17121</v>
      </c>
      <c r="G2118" t="s">
        <v>16526</v>
      </c>
      <c r="H2118" t="s">
        <v>16527</v>
      </c>
    </row>
    <row r="2119" spans="1:8">
      <c r="A2119" t="s">
        <v>243</v>
      </c>
      <c r="B2119" t="s">
        <v>101</v>
      </c>
      <c r="C2119">
        <v>59</v>
      </c>
      <c r="D2119" t="s">
        <v>17122</v>
      </c>
      <c r="E2119" t="s">
        <v>17123</v>
      </c>
      <c r="F2119" t="s">
        <v>101</v>
      </c>
      <c r="H2119" t="s">
        <v>17124</v>
      </c>
    </row>
    <row r="2120" spans="1:8">
      <c r="A2120" t="s">
        <v>240</v>
      </c>
      <c r="B2120" t="s">
        <v>101</v>
      </c>
      <c r="C2120">
        <v>59</v>
      </c>
      <c r="D2120" t="s">
        <v>17125</v>
      </c>
      <c r="E2120" t="s">
        <v>17126</v>
      </c>
      <c r="F2120" t="s">
        <v>101</v>
      </c>
      <c r="G2120" t="s">
        <v>17127</v>
      </c>
      <c r="H2120" t="s">
        <v>17128</v>
      </c>
    </row>
    <row r="2121" spans="1:8">
      <c r="A2121" t="s">
        <v>241</v>
      </c>
      <c r="B2121" t="s">
        <v>101</v>
      </c>
      <c r="C2121">
        <v>59</v>
      </c>
      <c r="D2121" t="s">
        <v>17129</v>
      </c>
      <c r="E2121" t="s">
        <v>17130</v>
      </c>
      <c r="H2121" t="s">
        <v>17131</v>
      </c>
    </row>
    <row r="2122" spans="1:8">
      <c r="A2122" t="s">
        <v>240</v>
      </c>
      <c r="B2122" t="s">
        <v>101</v>
      </c>
      <c r="C2122">
        <v>59</v>
      </c>
      <c r="D2122" t="s">
        <v>17132</v>
      </c>
      <c r="E2122" t="s">
        <v>17133</v>
      </c>
      <c r="G2122" t="s">
        <v>17134</v>
      </c>
      <c r="H2122" t="s">
        <v>17135</v>
      </c>
    </row>
    <row r="2123" spans="1:8">
      <c r="A2123" t="s">
        <v>241</v>
      </c>
      <c r="B2123" t="s">
        <v>101</v>
      </c>
      <c r="C2123">
        <v>59</v>
      </c>
      <c r="D2123" t="s">
        <v>17136</v>
      </c>
      <c r="E2123" t="s">
        <v>17137</v>
      </c>
      <c r="H2123" t="s">
        <v>17138</v>
      </c>
    </row>
    <row r="2124" spans="1:8">
      <c r="A2124" t="s">
        <v>240</v>
      </c>
      <c r="B2124" t="s">
        <v>101</v>
      </c>
      <c r="C2124">
        <v>59</v>
      </c>
      <c r="D2124" t="s">
        <v>17139</v>
      </c>
      <c r="E2124" t="s">
        <v>17140</v>
      </c>
      <c r="F2124" t="s">
        <v>101</v>
      </c>
      <c r="H2124" t="s">
        <v>17141</v>
      </c>
    </row>
    <row r="2125" spans="1:8">
      <c r="A2125" t="s">
        <v>238</v>
      </c>
      <c r="B2125" t="s">
        <v>101</v>
      </c>
      <c r="C2125">
        <v>59</v>
      </c>
      <c r="D2125" t="s">
        <v>17142</v>
      </c>
      <c r="E2125" t="s">
        <v>17143</v>
      </c>
      <c r="F2125" t="s">
        <v>17144</v>
      </c>
      <c r="H2125" t="s">
        <v>17145</v>
      </c>
    </row>
    <row r="2126" spans="1:8">
      <c r="A2126" t="s">
        <v>242</v>
      </c>
      <c r="B2126" t="s">
        <v>101</v>
      </c>
      <c r="C2126">
        <v>59</v>
      </c>
      <c r="D2126" t="s">
        <v>17146</v>
      </c>
      <c r="E2126" t="s">
        <v>17147</v>
      </c>
      <c r="F2126" t="s">
        <v>17116</v>
      </c>
      <c r="G2126" t="s">
        <v>17148</v>
      </c>
      <c r="H2126" t="s">
        <v>17149</v>
      </c>
    </row>
    <row r="2127" spans="1:8">
      <c r="A2127" t="s">
        <v>240</v>
      </c>
      <c r="B2127" t="s">
        <v>101</v>
      </c>
      <c r="C2127">
        <v>59</v>
      </c>
      <c r="D2127" t="s">
        <v>17150</v>
      </c>
      <c r="E2127" t="s">
        <v>17151</v>
      </c>
      <c r="F2127" t="s">
        <v>101</v>
      </c>
      <c r="H2127" t="s">
        <v>17152</v>
      </c>
    </row>
    <row r="2128" spans="1:8">
      <c r="A2128" t="s">
        <v>242</v>
      </c>
      <c r="B2128" t="s">
        <v>101</v>
      </c>
      <c r="C2128">
        <v>59</v>
      </c>
      <c r="D2128" t="s">
        <v>17153</v>
      </c>
      <c r="E2128" t="s">
        <v>17154</v>
      </c>
      <c r="G2128" t="s">
        <v>17155</v>
      </c>
      <c r="H2128" t="s">
        <v>17156</v>
      </c>
    </row>
    <row r="2129" spans="1:8">
      <c r="A2129" t="s">
        <v>239</v>
      </c>
      <c r="B2129" t="s">
        <v>101</v>
      </c>
      <c r="C2129">
        <v>59</v>
      </c>
      <c r="D2129" t="s">
        <v>17157</v>
      </c>
      <c r="E2129" t="s">
        <v>17158</v>
      </c>
      <c r="F2129" t="s">
        <v>101</v>
      </c>
      <c r="H2129" t="s">
        <v>17159</v>
      </c>
    </row>
    <row r="2130" spans="1:8">
      <c r="A2130" t="s">
        <v>238</v>
      </c>
      <c r="B2130" t="s">
        <v>101</v>
      </c>
      <c r="C2130">
        <v>59</v>
      </c>
      <c r="D2130" t="s">
        <v>17160</v>
      </c>
      <c r="E2130" t="s">
        <v>17161</v>
      </c>
      <c r="H2130" t="s">
        <v>17162</v>
      </c>
    </row>
    <row r="2131" spans="1:8">
      <c r="A2131" t="s">
        <v>243</v>
      </c>
      <c r="B2131" t="s">
        <v>101</v>
      </c>
      <c r="C2131">
        <v>59</v>
      </c>
      <c r="D2131" t="s">
        <v>17163</v>
      </c>
      <c r="E2131" t="s">
        <v>16532</v>
      </c>
      <c r="H2131" t="s">
        <v>17164</v>
      </c>
    </row>
    <row r="2132" spans="1:8">
      <c r="A2132" t="s">
        <v>239</v>
      </c>
      <c r="B2132" t="s">
        <v>101</v>
      </c>
      <c r="C2132">
        <v>59</v>
      </c>
      <c r="D2132" t="s">
        <v>17165</v>
      </c>
      <c r="E2132" t="s">
        <v>17166</v>
      </c>
      <c r="F2132" t="s">
        <v>101</v>
      </c>
      <c r="H2132" t="s">
        <v>17167</v>
      </c>
    </row>
    <row r="2133" spans="1:8">
      <c r="A2133" t="s">
        <v>239</v>
      </c>
      <c r="B2133" t="s">
        <v>101</v>
      </c>
      <c r="C2133">
        <v>59</v>
      </c>
      <c r="D2133" t="s">
        <v>17168</v>
      </c>
      <c r="E2133" t="s">
        <v>17169</v>
      </c>
      <c r="F2133" t="s">
        <v>101</v>
      </c>
      <c r="H2133" t="s">
        <v>17167</v>
      </c>
    </row>
    <row r="2134" spans="1:8">
      <c r="A2134" t="s">
        <v>239</v>
      </c>
      <c r="B2134" t="s">
        <v>101</v>
      </c>
      <c r="C2134">
        <v>59</v>
      </c>
      <c r="D2134" t="s">
        <v>17170</v>
      </c>
      <c r="E2134" t="s">
        <v>17171</v>
      </c>
      <c r="F2134" t="s">
        <v>101</v>
      </c>
      <c r="H2134" t="s">
        <v>17172</v>
      </c>
    </row>
    <row r="2135" spans="1:8">
      <c r="A2135" t="s">
        <v>239</v>
      </c>
      <c r="B2135" t="s">
        <v>101</v>
      </c>
      <c r="C2135">
        <v>59</v>
      </c>
      <c r="D2135" t="s">
        <v>17173</v>
      </c>
      <c r="E2135" t="s">
        <v>17174</v>
      </c>
      <c r="F2135" t="s">
        <v>101</v>
      </c>
      <c r="H2135" t="s">
        <v>17175</v>
      </c>
    </row>
    <row r="2136" spans="1:8">
      <c r="A2136" t="s">
        <v>239</v>
      </c>
      <c r="B2136" t="s">
        <v>101</v>
      </c>
      <c r="C2136">
        <v>59</v>
      </c>
      <c r="D2136" t="s">
        <v>17176</v>
      </c>
      <c r="E2136" t="s">
        <v>17177</v>
      </c>
      <c r="F2136" t="s">
        <v>101</v>
      </c>
      <c r="H2136" t="s">
        <v>17178</v>
      </c>
    </row>
    <row r="2137" spans="1:8">
      <c r="A2137" t="s">
        <v>239</v>
      </c>
      <c r="B2137" t="s">
        <v>101</v>
      </c>
      <c r="C2137">
        <v>59</v>
      </c>
      <c r="D2137" t="s">
        <v>17179</v>
      </c>
      <c r="E2137" t="s">
        <v>17180</v>
      </c>
      <c r="F2137" t="s">
        <v>101</v>
      </c>
      <c r="H2137" t="s">
        <v>17053</v>
      </c>
    </row>
    <row r="2138" spans="1:8">
      <c r="A2138" t="s">
        <v>239</v>
      </c>
      <c r="B2138" t="s">
        <v>101</v>
      </c>
      <c r="C2138">
        <v>59</v>
      </c>
      <c r="D2138" t="s">
        <v>17181</v>
      </c>
      <c r="E2138" t="s">
        <v>17182</v>
      </c>
      <c r="F2138" t="s">
        <v>101</v>
      </c>
      <c r="H2138" t="s">
        <v>17017</v>
      </c>
    </row>
    <row r="2139" spans="1:8">
      <c r="A2139" t="s">
        <v>239</v>
      </c>
      <c r="B2139" t="s">
        <v>101</v>
      </c>
      <c r="C2139">
        <v>59</v>
      </c>
      <c r="D2139" t="s">
        <v>17183</v>
      </c>
      <c r="E2139" t="s">
        <v>17184</v>
      </c>
      <c r="F2139" t="s">
        <v>101</v>
      </c>
      <c r="H2139" t="s">
        <v>17185</v>
      </c>
    </row>
    <row r="2140" spans="1:8">
      <c r="A2140" t="s">
        <v>239</v>
      </c>
      <c r="B2140" t="s">
        <v>101</v>
      </c>
      <c r="C2140">
        <v>59</v>
      </c>
      <c r="D2140" t="s">
        <v>17186</v>
      </c>
      <c r="E2140" t="s">
        <v>17184</v>
      </c>
      <c r="F2140" t="s">
        <v>101</v>
      </c>
      <c r="H2140" t="s">
        <v>17185</v>
      </c>
    </row>
    <row r="2141" spans="1:8">
      <c r="A2141" t="s">
        <v>239</v>
      </c>
      <c r="B2141" t="s">
        <v>101</v>
      </c>
      <c r="C2141">
        <v>59</v>
      </c>
      <c r="D2141" t="s">
        <v>17187</v>
      </c>
      <c r="E2141" t="s">
        <v>17188</v>
      </c>
      <c r="F2141" t="s">
        <v>101</v>
      </c>
      <c r="H2141" t="s">
        <v>17185</v>
      </c>
    </row>
    <row r="2142" spans="1:8">
      <c r="A2142" t="s">
        <v>241</v>
      </c>
      <c r="B2142" t="s">
        <v>101</v>
      </c>
      <c r="C2142">
        <v>59</v>
      </c>
      <c r="D2142" t="s">
        <v>17189</v>
      </c>
      <c r="E2142" t="s">
        <v>17190</v>
      </c>
      <c r="F2142" t="s">
        <v>16712</v>
      </c>
      <c r="H2142" t="s">
        <v>17191</v>
      </c>
    </row>
    <row r="2143" spans="1:8">
      <c r="A2143" t="s">
        <v>239</v>
      </c>
      <c r="B2143" t="s">
        <v>101</v>
      </c>
      <c r="C2143">
        <v>59</v>
      </c>
      <c r="D2143" t="s">
        <v>17192</v>
      </c>
      <c r="E2143" t="s">
        <v>17193</v>
      </c>
      <c r="F2143" t="s">
        <v>101</v>
      </c>
      <c r="H2143" t="s">
        <v>17194</v>
      </c>
    </row>
    <row r="2144" spans="1:8">
      <c r="A2144" t="s">
        <v>239</v>
      </c>
      <c r="B2144" t="s">
        <v>101</v>
      </c>
      <c r="C2144">
        <v>59</v>
      </c>
      <c r="D2144" t="s">
        <v>17195</v>
      </c>
      <c r="E2144" t="s">
        <v>17196</v>
      </c>
      <c r="F2144" t="s">
        <v>101</v>
      </c>
      <c r="H2144" t="s">
        <v>17197</v>
      </c>
    </row>
    <row r="2145" spans="1:8">
      <c r="A2145" t="s">
        <v>239</v>
      </c>
      <c r="B2145" t="s">
        <v>101</v>
      </c>
      <c r="C2145">
        <v>59</v>
      </c>
      <c r="D2145" t="s">
        <v>17198</v>
      </c>
      <c r="E2145" t="s">
        <v>17199</v>
      </c>
      <c r="F2145" t="s">
        <v>101</v>
      </c>
      <c r="H2145" t="s">
        <v>17200</v>
      </c>
    </row>
    <row r="2146" spans="1:8">
      <c r="A2146" t="s">
        <v>239</v>
      </c>
      <c r="B2146" t="s">
        <v>101</v>
      </c>
      <c r="C2146">
        <v>59</v>
      </c>
      <c r="D2146" t="s">
        <v>17201</v>
      </c>
      <c r="E2146" t="s">
        <v>17202</v>
      </c>
      <c r="F2146" t="s">
        <v>101</v>
      </c>
      <c r="H2146" t="s">
        <v>17200</v>
      </c>
    </row>
    <row r="2147" spans="1:8">
      <c r="A2147" t="s">
        <v>241</v>
      </c>
      <c r="B2147" t="s">
        <v>101</v>
      </c>
      <c r="C2147">
        <v>59</v>
      </c>
      <c r="D2147" t="s">
        <v>17203</v>
      </c>
      <c r="E2147" t="s">
        <v>17204</v>
      </c>
      <c r="G2147" t="s">
        <v>17205</v>
      </c>
      <c r="H2147" t="s">
        <v>17206</v>
      </c>
    </row>
    <row r="2148" spans="1:8">
      <c r="A2148" t="s">
        <v>239</v>
      </c>
      <c r="B2148" t="s">
        <v>101</v>
      </c>
      <c r="C2148">
        <v>59</v>
      </c>
      <c r="D2148" t="s">
        <v>17207</v>
      </c>
      <c r="E2148" t="s">
        <v>17208</v>
      </c>
      <c r="F2148" t="s">
        <v>101</v>
      </c>
      <c r="H2148" t="s">
        <v>17209</v>
      </c>
    </row>
    <row r="2149" spans="1:8">
      <c r="A2149" t="s">
        <v>239</v>
      </c>
      <c r="B2149" t="s">
        <v>101</v>
      </c>
      <c r="C2149">
        <v>59</v>
      </c>
      <c r="D2149" t="s">
        <v>17210</v>
      </c>
      <c r="E2149" t="s">
        <v>17211</v>
      </c>
      <c r="F2149" t="s">
        <v>101</v>
      </c>
      <c r="H2149" t="s">
        <v>17212</v>
      </c>
    </row>
    <row r="2150" spans="1:8">
      <c r="A2150" t="s">
        <v>239</v>
      </c>
      <c r="B2150" t="s">
        <v>101</v>
      </c>
      <c r="C2150">
        <v>59</v>
      </c>
      <c r="D2150" t="s">
        <v>17213</v>
      </c>
      <c r="E2150" t="s">
        <v>17214</v>
      </c>
      <c r="F2150" t="s">
        <v>101</v>
      </c>
      <c r="H2150" t="s">
        <v>17215</v>
      </c>
    </row>
    <row r="2151" spans="1:8">
      <c r="A2151" t="s">
        <v>239</v>
      </c>
      <c r="B2151" t="s">
        <v>101</v>
      </c>
      <c r="C2151">
        <v>59</v>
      </c>
      <c r="D2151" t="s">
        <v>17216</v>
      </c>
      <c r="E2151" t="s">
        <v>17217</v>
      </c>
      <c r="F2151" t="s">
        <v>101</v>
      </c>
      <c r="H2151" t="s">
        <v>17017</v>
      </c>
    </row>
    <row r="2152" spans="1:8">
      <c r="A2152" t="s">
        <v>239</v>
      </c>
      <c r="B2152" t="s">
        <v>101</v>
      </c>
      <c r="C2152">
        <v>59</v>
      </c>
      <c r="D2152" t="s">
        <v>17218</v>
      </c>
      <c r="E2152" t="s">
        <v>17219</v>
      </c>
      <c r="F2152" t="s">
        <v>101</v>
      </c>
      <c r="H2152" t="s">
        <v>17220</v>
      </c>
    </row>
    <row r="2153" spans="1:8">
      <c r="A2153" t="s">
        <v>239</v>
      </c>
      <c r="B2153" t="s">
        <v>101</v>
      </c>
      <c r="C2153">
        <v>59</v>
      </c>
      <c r="D2153" t="s">
        <v>17221</v>
      </c>
      <c r="E2153" t="s">
        <v>17222</v>
      </c>
      <c r="F2153" t="s">
        <v>101</v>
      </c>
    </row>
    <row r="2154" spans="1:8">
      <c r="A2154" t="s">
        <v>239</v>
      </c>
      <c r="B2154" t="s">
        <v>101</v>
      </c>
      <c r="C2154">
        <v>59</v>
      </c>
      <c r="D2154" t="s">
        <v>17223</v>
      </c>
      <c r="E2154" t="s">
        <v>17224</v>
      </c>
      <c r="F2154" t="s">
        <v>101</v>
      </c>
      <c r="H2154" t="s">
        <v>17017</v>
      </c>
    </row>
    <row r="2155" spans="1:8">
      <c r="A2155" t="s">
        <v>239</v>
      </c>
      <c r="B2155" t="s">
        <v>101</v>
      </c>
      <c r="C2155">
        <v>59</v>
      </c>
      <c r="D2155" t="s">
        <v>17225</v>
      </c>
      <c r="E2155" t="s">
        <v>17226</v>
      </c>
      <c r="F2155" t="s">
        <v>101</v>
      </c>
      <c r="H2155" t="s">
        <v>17227</v>
      </c>
    </row>
    <row r="2156" spans="1:8">
      <c r="A2156" t="s">
        <v>240</v>
      </c>
      <c r="B2156" t="s">
        <v>101</v>
      </c>
      <c r="C2156">
        <v>59</v>
      </c>
      <c r="D2156" t="s">
        <v>6259</v>
      </c>
      <c r="E2156" t="s">
        <v>17228</v>
      </c>
      <c r="F2156" t="s">
        <v>101</v>
      </c>
      <c r="G2156" t="s">
        <v>17229</v>
      </c>
      <c r="H2156" t="s">
        <v>17230</v>
      </c>
    </row>
    <row r="2157" spans="1:8">
      <c r="A2157" t="s">
        <v>241</v>
      </c>
      <c r="B2157" t="s">
        <v>101</v>
      </c>
      <c r="C2157">
        <v>59</v>
      </c>
      <c r="D2157" t="s">
        <v>17231</v>
      </c>
      <c r="E2157" t="s">
        <v>17232</v>
      </c>
      <c r="F2157" t="s">
        <v>101</v>
      </c>
      <c r="H2157" t="s">
        <v>17233</v>
      </c>
    </row>
    <row r="2158" spans="1:8">
      <c r="A2158" t="s">
        <v>240</v>
      </c>
      <c r="B2158" t="s">
        <v>101</v>
      </c>
      <c r="C2158">
        <v>59</v>
      </c>
      <c r="D2158" t="s">
        <v>17234</v>
      </c>
      <c r="E2158" t="s">
        <v>17235</v>
      </c>
      <c r="F2158" t="s">
        <v>101</v>
      </c>
      <c r="G2158" t="s">
        <v>17236</v>
      </c>
      <c r="H2158" t="s">
        <v>17141</v>
      </c>
    </row>
    <row r="2159" spans="1:8">
      <c r="A2159" t="s">
        <v>241</v>
      </c>
      <c r="B2159" t="s">
        <v>101</v>
      </c>
      <c r="C2159">
        <v>59</v>
      </c>
      <c r="D2159" t="s">
        <v>17237</v>
      </c>
      <c r="E2159" t="s">
        <v>17238</v>
      </c>
      <c r="F2159" t="s">
        <v>101</v>
      </c>
      <c r="H2159" t="s">
        <v>17239</v>
      </c>
    </row>
    <row r="2160" spans="1:8">
      <c r="A2160" t="s">
        <v>239</v>
      </c>
      <c r="B2160" t="s">
        <v>101</v>
      </c>
      <c r="C2160">
        <v>59</v>
      </c>
      <c r="D2160" t="s">
        <v>17240</v>
      </c>
      <c r="E2160" t="s">
        <v>17241</v>
      </c>
      <c r="F2160" t="s">
        <v>101</v>
      </c>
      <c r="H2160" t="s">
        <v>17242</v>
      </c>
    </row>
    <row r="2161" spans="1:8">
      <c r="A2161" t="s">
        <v>241</v>
      </c>
      <c r="B2161" t="s">
        <v>101</v>
      </c>
      <c r="C2161">
        <v>59</v>
      </c>
      <c r="D2161" t="s">
        <v>17243</v>
      </c>
      <c r="E2161" t="s">
        <v>17244</v>
      </c>
      <c r="F2161" t="s">
        <v>101</v>
      </c>
      <c r="H2161" t="s">
        <v>17245</v>
      </c>
    </row>
    <row r="2162" spans="1:8">
      <c r="A2162" t="s">
        <v>239</v>
      </c>
      <c r="B2162" t="s">
        <v>101</v>
      </c>
      <c r="C2162">
        <v>59</v>
      </c>
      <c r="D2162" t="s">
        <v>17246</v>
      </c>
      <c r="E2162" t="s">
        <v>17247</v>
      </c>
      <c r="F2162" t="s">
        <v>101</v>
      </c>
      <c r="H2162" t="s">
        <v>17017</v>
      </c>
    </row>
    <row r="2163" spans="1:8">
      <c r="A2163" t="s">
        <v>239</v>
      </c>
      <c r="B2163" t="s">
        <v>101</v>
      </c>
      <c r="C2163">
        <v>59</v>
      </c>
      <c r="D2163" t="s">
        <v>17248</v>
      </c>
      <c r="E2163" t="s">
        <v>17249</v>
      </c>
      <c r="F2163" t="s">
        <v>101</v>
      </c>
      <c r="H2163" t="s">
        <v>17017</v>
      </c>
    </row>
    <row r="2164" spans="1:8">
      <c r="A2164" t="s">
        <v>239</v>
      </c>
      <c r="B2164" t="s">
        <v>101</v>
      </c>
      <c r="C2164">
        <v>59</v>
      </c>
      <c r="D2164" t="s">
        <v>17250</v>
      </c>
      <c r="E2164" t="s">
        <v>17251</v>
      </c>
      <c r="F2164" t="s">
        <v>101</v>
      </c>
      <c r="H2164" t="s">
        <v>17017</v>
      </c>
    </row>
    <row r="2165" spans="1:8">
      <c r="A2165" t="s">
        <v>239</v>
      </c>
      <c r="B2165" t="s">
        <v>101</v>
      </c>
      <c r="C2165">
        <v>59</v>
      </c>
      <c r="D2165" t="s">
        <v>17252</v>
      </c>
      <c r="E2165" t="s">
        <v>17253</v>
      </c>
      <c r="F2165" t="s">
        <v>101</v>
      </c>
      <c r="H2165" t="s">
        <v>17017</v>
      </c>
    </row>
    <row r="2166" spans="1:8">
      <c r="A2166" t="s">
        <v>239</v>
      </c>
      <c r="B2166" t="s">
        <v>101</v>
      </c>
      <c r="C2166">
        <v>59</v>
      </c>
      <c r="D2166" t="s">
        <v>17254</v>
      </c>
      <c r="E2166" t="s">
        <v>17255</v>
      </c>
      <c r="F2166" t="s">
        <v>101</v>
      </c>
      <c r="H2166" t="s">
        <v>17017</v>
      </c>
    </row>
    <row r="2167" spans="1:8">
      <c r="A2167" t="s">
        <v>239</v>
      </c>
      <c r="B2167" t="s">
        <v>101</v>
      </c>
      <c r="C2167">
        <v>59</v>
      </c>
      <c r="D2167" t="s">
        <v>17256</v>
      </c>
      <c r="E2167" t="s">
        <v>17257</v>
      </c>
      <c r="F2167" t="s">
        <v>101</v>
      </c>
      <c r="H2167" t="s">
        <v>17020</v>
      </c>
    </row>
    <row r="2168" spans="1:8">
      <c r="A2168" t="s">
        <v>239</v>
      </c>
      <c r="B2168" t="s">
        <v>101</v>
      </c>
      <c r="C2168">
        <v>59</v>
      </c>
      <c r="D2168" t="s">
        <v>17258</v>
      </c>
      <c r="E2168" t="s">
        <v>17259</v>
      </c>
      <c r="F2168" t="s">
        <v>101</v>
      </c>
      <c r="H2168" t="s">
        <v>17260</v>
      </c>
    </row>
    <row r="2169" spans="1:8">
      <c r="A2169" t="s">
        <v>239</v>
      </c>
      <c r="B2169" t="s">
        <v>101</v>
      </c>
      <c r="C2169">
        <v>59</v>
      </c>
      <c r="D2169" t="s">
        <v>17261</v>
      </c>
      <c r="E2169" t="s">
        <v>17262</v>
      </c>
      <c r="F2169" t="s">
        <v>101</v>
      </c>
    </row>
    <row r="2170" spans="1:8">
      <c r="A2170" t="s">
        <v>243</v>
      </c>
      <c r="B2170" t="s">
        <v>101</v>
      </c>
      <c r="C2170">
        <v>59</v>
      </c>
      <c r="D2170" t="s">
        <v>17263</v>
      </c>
      <c r="E2170" t="s">
        <v>17264</v>
      </c>
      <c r="F2170" t="s">
        <v>101</v>
      </c>
      <c r="H2170" t="s">
        <v>17265</v>
      </c>
    </row>
    <row r="2171" spans="1:8">
      <c r="A2171" t="s">
        <v>249</v>
      </c>
      <c r="B2171" t="s">
        <v>101</v>
      </c>
      <c r="C2171">
        <v>59</v>
      </c>
      <c r="D2171" t="s">
        <v>3490</v>
      </c>
      <c r="E2171" t="s">
        <v>17266</v>
      </c>
      <c r="F2171" t="s">
        <v>101</v>
      </c>
      <c r="G2171" t="s">
        <v>17267</v>
      </c>
      <c r="H2171" t="s">
        <v>17268</v>
      </c>
    </row>
    <row r="2172" spans="1:8">
      <c r="A2172" t="s">
        <v>241</v>
      </c>
      <c r="B2172" t="s">
        <v>101</v>
      </c>
      <c r="C2172">
        <v>59</v>
      </c>
      <c r="D2172" t="s">
        <v>17269</v>
      </c>
      <c r="E2172" t="s">
        <v>17270</v>
      </c>
      <c r="H2172" t="s">
        <v>17271</v>
      </c>
    </row>
    <row r="2173" spans="1:8">
      <c r="A2173" t="s">
        <v>245</v>
      </c>
      <c r="B2173" t="s">
        <v>101</v>
      </c>
      <c r="C2173">
        <v>59</v>
      </c>
      <c r="D2173" t="s">
        <v>17272</v>
      </c>
      <c r="E2173" t="s">
        <v>16555</v>
      </c>
      <c r="F2173" t="s">
        <v>101</v>
      </c>
      <c r="G2173" t="s">
        <v>17273</v>
      </c>
      <c r="H2173" t="s">
        <v>16556</v>
      </c>
    </row>
    <row r="2174" spans="1:8">
      <c r="A2174" t="s">
        <v>243</v>
      </c>
      <c r="B2174" t="s">
        <v>101</v>
      </c>
      <c r="C2174">
        <v>59</v>
      </c>
      <c r="D2174" t="s">
        <v>17274</v>
      </c>
      <c r="E2174" t="s">
        <v>17275</v>
      </c>
      <c r="H2174" t="s">
        <v>16709</v>
      </c>
    </row>
    <row r="2175" spans="1:8">
      <c r="A2175" t="s">
        <v>243</v>
      </c>
      <c r="B2175" t="s">
        <v>101</v>
      </c>
      <c r="C2175">
        <v>59</v>
      </c>
      <c r="D2175" t="s">
        <v>17276</v>
      </c>
      <c r="E2175" t="s">
        <v>16707</v>
      </c>
      <c r="H2175" t="s">
        <v>16709</v>
      </c>
    </row>
    <row r="2176" spans="1:8">
      <c r="A2176" t="s">
        <v>240</v>
      </c>
      <c r="B2176" t="s">
        <v>101</v>
      </c>
      <c r="C2176">
        <v>59</v>
      </c>
      <c r="D2176" t="s">
        <v>17277</v>
      </c>
      <c r="E2176" t="s">
        <v>17278</v>
      </c>
      <c r="G2176" t="s">
        <v>17279</v>
      </c>
      <c r="H2176" t="s">
        <v>17280</v>
      </c>
    </row>
    <row r="2177" spans="1:8">
      <c r="A2177" t="s">
        <v>241</v>
      </c>
      <c r="B2177" t="s">
        <v>101</v>
      </c>
      <c r="C2177">
        <v>59</v>
      </c>
      <c r="D2177" t="s">
        <v>17281</v>
      </c>
      <c r="E2177" t="s">
        <v>17282</v>
      </c>
      <c r="F2177" t="s">
        <v>101</v>
      </c>
      <c r="H2177" t="s">
        <v>17283</v>
      </c>
    </row>
    <row r="2178" spans="1:8">
      <c r="A2178" t="s">
        <v>241</v>
      </c>
      <c r="B2178" t="s">
        <v>101</v>
      </c>
      <c r="C2178">
        <v>59</v>
      </c>
      <c r="D2178" t="s">
        <v>17284</v>
      </c>
      <c r="E2178" t="s">
        <v>17285</v>
      </c>
      <c r="F2178" t="s">
        <v>101</v>
      </c>
      <c r="H2178" t="s">
        <v>17286</v>
      </c>
    </row>
    <row r="2179" spans="1:8">
      <c r="A2179" t="s">
        <v>239</v>
      </c>
      <c r="B2179" t="s">
        <v>101</v>
      </c>
      <c r="C2179">
        <v>59</v>
      </c>
      <c r="D2179" t="s">
        <v>17287</v>
      </c>
      <c r="E2179" t="s">
        <v>16569</v>
      </c>
      <c r="F2179" t="s">
        <v>101</v>
      </c>
      <c r="H2179" t="s">
        <v>17017</v>
      </c>
    </row>
    <row r="2180" spans="1:8">
      <c r="A2180" t="s">
        <v>239</v>
      </c>
      <c r="B2180" t="s">
        <v>101</v>
      </c>
      <c r="C2180">
        <v>59</v>
      </c>
      <c r="D2180" t="s">
        <v>17288</v>
      </c>
      <c r="E2180" t="s">
        <v>17289</v>
      </c>
      <c r="F2180" t="s">
        <v>101</v>
      </c>
      <c r="H2180" t="s">
        <v>17017</v>
      </c>
    </row>
    <row r="2181" spans="1:8">
      <c r="A2181" t="s">
        <v>239</v>
      </c>
      <c r="B2181" t="s">
        <v>101</v>
      </c>
      <c r="C2181">
        <v>59</v>
      </c>
      <c r="D2181" t="s">
        <v>17290</v>
      </c>
      <c r="E2181" t="s">
        <v>17291</v>
      </c>
      <c r="F2181" t="s">
        <v>101</v>
      </c>
      <c r="H2181" t="s">
        <v>17292</v>
      </c>
    </row>
    <row r="2182" spans="1:8">
      <c r="A2182" t="s">
        <v>239</v>
      </c>
      <c r="B2182" t="s">
        <v>101</v>
      </c>
      <c r="C2182">
        <v>59</v>
      </c>
      <c r="D2182" t="s">
        <v>17293</v>
      </c>
      <c r="E2182" t="s">
        <v>17294</v>
      </c>
      <c r="F2182" t="s">
        <v>101</v>
      </c>
      <c r="H2182" t="s">
        <v>17295</v>
      </c>
    </row>
    <row r="2183" spans="1:8">
      <c r="A2183" t="s">
        <v>239</v>
      </c>
      <c r="B2183" t="s">
        <v>101</v>
      </c>
      <c r="C2183">
        <v>59</v>
      </c>
      <c r="D2183" t="s">
        <v>17296</v>
      </c>
      <c r="E2183" t="s">
        <v>17297</v>
      </c>
      <c r="F2183" t="s">
        <v>101</v>
      </c>
      <c r="H2183" t="s">
        <v>17017</v>
      </c>
    </row>
    <row r="2184" spans="1:8">
      <c r="A2184" t="s">
        <v>239</v>
      </c>
      <c r="B2184" t="s">
        <v>101</v>
      </c>
      <c r="C2184">
        <v>59</v>
      </c>
      <c r="D2184" t="s">
        <v>17298</v>
      </c>
      <c r="E2184" t="s">
        <v>17299</v>
      </c>
      <c r="F2184" t="s">
        <v>101</v>
      </c>
      <c r="H2184" t="s">
        <v>17017</v>
      </c>
    </row>
    <row r="2185" spans="1:8">
      <c r="A2185" t="s">
        <v>239</v>
      </c>
      <c r="B2185" t="s">
        <v>101</v>
      </c>
      <c r="C2185">
        <v>59</v>
      </c>
      <c r="D2185" t="s">
        <v>17300</v>
      </c>
      <c r="E2185" t="s">
        <v>17297</v>
      </c>
      <c r="F2185" t="s">
        <v>101</v>
      </c>
      <c r="H2185" t="s">
        <v>17017</v>
      </c>
    </row>
    <row r="2186" spans="1:8">
      <c r="A2186" t="s">
        <v>250</v>
      </c>
      <c r="B2186" t="s">
        <v>101</v>
      </c>
      <c r="C2186">
        <v>59</v>
      </c>
      <c r="D2186" t="s">
        <v>17301</v>
      </c>
      <c r="E2186" t="s">
        <v>13934</v>
      </c>
      <c r="F2186" t="s">
        <v>101</v>
      </c>
      <c r="G2186" t="s">
        <v>17302</v>
      </c>
    </row>
    <row r="2187" spans="1:8">
      <c r="A2187" t="s">
        <v>239</v>
      </c>
      <c r="B2187" t="s">
        <v>101</v>
      </c>
      <c r="C2187">
        <v>59</v>
      </c>
      <c r="D2187" t="s">
        <v>17303</v>
      </c>
      <c r="E2187" t="s">
        <v>17257</v>
      </c>
      <c r="F2187" t="s">
        <v>101</v>
      </c>
      <c r="H2187" t="s">
        <v>17017</v>
      </c>
    </row>
    <row r="2188" spans="1:8">
      <c r="A2188" t="s">
        <v>239</v>
      </c>
      <c r="B2188" t="s">
        <v>101</v>
      </c>
      <c r="C2188">
        <v>59</v>
      </c>
      <c r="D2188" t="s">
        <v>17304</v>
      </c>
      <c r="E2188" t="s">
        <v>17305</v>
      </c>
      <c r="F2188" t="s">
        <v>101</v>
      </c>
      <c r="H2188" t="s">
        <v>17306</v>
      </c>
    </row>
    <row r="2189" spans="1:8">
      <c r="A2189" t="s">
        <v>239</v>
      </c>
      <c r="B2189" t="s">
        <v>101</v>
      </c>
      <c r="C2189">
        <v>59</v>
      </c>
      <c r="D2189" t="s">
        <v>17307</v>
      </c>
      <c r="E2189" t="s">
        <v>17308</v>
      </c>
      <c r="F2189" t="s">
        <v>101</v>
      </c>
      <c r="H2189" t="s">
        <v>17309</v>
      </c>
    </row>
    <row r="2190" spans="1:8">
      <c r="A2190" t="s">
        <v>239</v>
      </c>
      <c r="B2190" t="s">
        <v>101</v>
      </c>
      <c r="C2190">
        <v>59</v>
      </c>
      <c r="D2190" t="s">
        <v>17310</v>
      </c>
      <c r="E2190" t="s">
        <v>17311</v>
      </c>
      <c r="F2190" t="s">
        <v>101</v>
      </c>
      <c r="H2190" t="s">
        <v>17312</v>
      </c>
    </row>
    <row r="2191" spans="1:8">
      <c r="A2191" t="s">
        <v>239</v>
      </c>
      <c r="B2191" t="s">
        <v>101</v>
      </c>
      <c r="C2191">
        <v>59</v>
      </c>
      <c r="D2191" t="s">
        <v>17313</v>
      </c>
      <c r="E2191" t="s">
        <v>17314</v>
      </c>
      <c r="F2191" t="s">
        <v>101</v>
      </c>
      <c r="H2191" t="s">
        <v>17017</v>
      </c>
    </row>
    <row r="2192" spans="1:8">
      <c r="A2192" t="s">
        <v>239</v>
      </c>
      <c r="B2192" t="s">
        <v>101</v>
      </c>
      <c r="C2192">
        <v>59</v>
      </c>
      <c r="D2192" t="s">
        <v>17315</v>
      </c>
      <c r="E2192" t="s">
        <v>17316</v>
      </c>
      <c r="F2192" t="s">
        <v>101</v>
      </c>
      <c r="H2192" t="s">
        <v>17317</v>
      </c>
    </row>
    <row r="2193" spans="1:8">
      <c r="A2193" t="s">
        <v>239</v>
      </c>
      <c r="B2193" t="s">
        <v>101</v>
      </c>
      <c r="C2193">
        <v>59</v>
      </c>
      <c r="D2193" t="s">
        <v>17318</v>
      </c>
      <c r="E2193" t="s">
        <v>17319</v>
      </c>
      <c r="F2193" t="s">
        <v>101</v>
      </c>
      <c r="H2193" t="s">
        <v>17017</v>
      </c>
    </row>
    <row r="2194" spans="1:8">
      <c r="A2194" t="s">
        <v>239</v>
      </c>
      <c r="B2194" t="s">
        <v>101</v>
      </c>
      <c r="C2194">
        <v>59</v>
      </c>
      <c r="D2194" t="s">
        <v>17320</v>
      </c>
      <c r="E2194" t="s">
        <v>17321</v>
      </c>
      <c r="F2194" t="s">
        <v>101</v>
      </c>
      <c r="H2194" t="s">
        <v>17322</v>
      </c>
    </row>
    <row r="2195" spans="1:8">
      <c r="A2195" t="s">
        <v>239</v>
      </c>
      <c r="B2195" t="s">
        <v>101</v>
      </c>
      <c r="C2195">
        <v>59</v>
      </c>
      <c r="D2195" t="s">
        <v>17323</v>
      </c>
      <c r="E2195" t="s">
        <v>17033</v>
      </c>
      <c r="F2195" t="s">
        <v>101</v>
      </c>
      <c r="H2195" t="s">
        <v>17324</v>
      </c>
    </row>
    <row r="2196" spans="1:8">
      <c r="A2196" t="s">
        <v>239</v>
      </c>
      <c r="B2196" t="s">
        <v>101</v>
      </c>
      <c r="C2196">
        <v>59</v>
      </c>
      <c r="D2196" t="s">
        <v>17325</v>
      </c>
      <c r="E2196" t="s">
        <v>17326</v>
      </c>
      <c r="F2196" t="s">
        <v>101</v>
      </c>
      <c r="H2196" t="s">
        <v>17017</v>
      </c>
    </row>
    <row r="2197" spans="1:8">
      <c r="A2197" t="s">
        <v>239</v>
      </c>
      <c r="B2197" t="s">
        <v>101</v>
      </c>
      <c r="C2197">
        <v>59</v>
      </c>
      <c r="D2197" t="s">
        <v>17327</v>
      </c>
      <c r="E2197" t="s">
        <v>17328</v>
      </c>
      <c r="F2197" t="s">
        <v>16816</v>
      </c>
      <c r="H2197" t="s">
        <v>17329</v>
      </c>
    </row>
    <row r="2198" spans="1:8">
      <c r="A2198" t="s">
        <v>239</v>
      </c>
      <c r="B2198" t="s">
        <v>101</v>
      </c>
      <c r="C2198">
        <v>59</v>
      </c>
      <c r="D2198" t="s">
        <v>17330</v>
      </c>
      <c r="E2198" t="s">
        <v>17331</v>
      </c>
      <c r="F2198" t="s">
        <v>101</v>
      </c>
      <c r="H2198" t="s">
        <v>17017</v>
      </c>
    </row>
    <row r="2199" spans="1:8">
      <c r="A2199" t="s">
        <v>239</v>
      </c>
      <c r="B2199" t="s">
        <v>101</v>
      </c>
      <c r="C2199">
        <v>59</v>
      </c>
      <c r="D2199" t="s">
        <v>17332</v>
      </c>
      <c r="E2199" t="s">
        <v>16569</v>
      </c>
      <c r="F2199" t="s">
        <v>101</v>
      </c>
      <c r="H2199" t="s">
        <v>17017</v>
      </c>
    </row>
    <row r="2200" spans="1:8">
      <c r="A2200" t="s">
        <v>239</v>
      </c>
      <c r="B2200" t="s">
        <v>101</v>
      </c>
      <c r="C2200">
        <v>59</v>
      </c>
      <c r="D2200" t="s">
        <v>17333</v>
      </c>
      <c r="E2200" t="s">
        <v>17334</v>
      </c>
      <c r="F2200" t="s">
        <v>101</v>
      </c>
      <c r="H2200" t="s">
        <v>17335</v>
      </c>
    </row>
    <row r="2201" spans="1:8">
      <c r="A2201" t="s">
        <v>241</v>
      </c>
      <c r="B2201" t="s">
        <v>101</v>
      </c>
      <c r="C2201">
        <v>59</v>
      </c>
      <c r="D2201" t="s">
        <v>17336</v>
      </c>
      <c r="E2201" t="s">
        <v>17337</v>
      </c>
      <c r="F2201" t="s">
        <v>101</v>
      </c>
    </row>
    <row r="2202" spans="1:8">
      <c r="A2202" t="s">
        <v>239</v>
      </c>
      <c r="B2202" t="s">
        <v>101</v>
      </c>
      <c r="C2202">
        <v>59</v>
      </c>
      <c r="D2202" t="s">
        <v>17338</v>
      </c>
      <c r="E2202" t="s">
        <v>17339</v>
      </c>
      <c r="F2202" t="s">
        <v>101</v>
      </c>
      <c r="H2202" t="s">
        <v>17215</v>
      </c>
    </row>
    <row r="2203" spans="1:8">
      <c r="A2203" t="s">
        <v>239</v>
      </c>
      <c r="B2203" t="s">
        <v>101</v>
      </c>
      <c r="C2203">
        <v>59</v>
      </c>
      <c r="D2203" t="s">
        <v>17340</v>
      </c>
      <c r="E2203" t="s">
        <v>17341</v>
      </c>
      <c r="F2203" t="s">
        <v>101</v>
      </c>
      <c r="H2203" t="s">
        <v>17215</v>
      </c>
    </row>
    <row r="2204" spans="1:8">
      <c r="A2204" t="s">
        <v>239</v>
      </c>
      <c r="B2204" t="s">
        <v>101</v>
      </c>
      <c r="C2204">
        <v>59</v>
      </c>
      <c r="D2204" t="s">
        <v>17342</v>
      </c>
      <c r="E2204" t="s">
        <v>17343</v>
      </c>
      <c r="F2204" t="s">
        <v>101</v>
      </c>
      <c r="H2204" t="s">
        <v>17344</v>
      </c>
    </row>
    <row r="2205" spans="1:8">
      <c r="A2205" t="s">
        <v>239</v>
      </c>
      <c r="B2205" t="s">
        <v>101</v>
      </c>
      <c r="C2205">
        <v>59</v>
      </c>
      <c r="D2205" t="s">
        <v>17345</v>
      </c>
      <c r="E2205" t="s">
        <v>17346</v>
      </c>
      <c r="F2205" t="s">
        <v>101</v>
      </c>
      <c r="H2205" t="s">
        <v>17017</v>
      </c>
    </row>
    <row r="2206" spans="1:8">
      <c r="A2206" t="s">
        <v>239</v>
      </c>
      <c r="B2206" t="s">
        <v>101</v>
      </c>
      <c r="C2206">
        <v>59</v>
      </c>
      <c r="D2206" t="s">
        <v>17347</v>
      </c>
      <c r="E2206" t="s">
        <v>17348</v>
      </c>
      <c r="F2206" t="s">
        <v>101</v>
      </c>
      <c r="H2206" t="s">
        <v>17344</v>
      </c>
    </row>
    <row r="2207" spans="1:8">
      <c r="A2207" t="s">
        <v>239</v>
      </c>
      <c r="B2207" t="s">
        <v>101</v>
      </c>
      <c r="C2207">
        <v>59</v>
      </c>
      <c r="D2207" t="s">
        <v>17349</v>
      </c>
      <c r="E2207" t="s">
        <v>17350</v>
      </c>
      <c r="F2207" t="s">
        <v>101</v>
      </c>
      <c r="H2207" t="s">
        <v>17017</v>
      </c>
    </row>
    <row r="2208" spans="1:8">
      <c r="A2208" t="s">
        <v>239</v>
      </c>
      <c r="B2208" t="s">
        <v>101</v>
      </c>
      <c r="C2208">
        <v>59</v>
      </c>
      <c r="D2208" t="s">
        <v>17351</v>
      </c>
      <c r="E2208" t="s">
        <v>17352</v>
      </c>
      <c r="F2208" t="s">
        <v>101</v>
      </c>
      <c r="H2208" t="s">
        <v>17017</v>
      </c>
    </row>
    <row r="2209" spans="1:8">
      <c r="A2209" t="s">
        <v>239</v>
      </c>
      <c r="B2209" t="s">
        <v>101</v>
      </c>
      <c r="C2209">
        <v>59</v>
      </c>
      <c r="D2209" t="s">
        <v>17353</v>
      </c>
      <c r="E2209" t="s">
        <v>17257</v>
      </c>
      <c r="F2209" t="s">
        <v>101</v>
      </c>
      <c r="H2209" t="s">
        <v>17020</v>
      </c>
    </row>
    <row r="2210" spans="1:8">
      <c r="A2210" t="s">
        <v>239</v>
      </c>
      <c r="B2210" t="s">
        <v>101</v>
      </c>
      <c r="C2210">
        <v>59</v>
      </c>
      <c r="D2210" t="s">
        <v>17354</v>
      </c>
      <c r="E2210" t="s">
        <v>17355</v>
      </c>
      <c r="F2210" t="s">
        <v>101</v>
      </c>
      <c r="H2210" t="s">
        <v>17356</v>
      </c>
    </row>
    <row r="2211" spans="1:8">
      <c r="A2211" t="s">
        <v>239</v>
      </c>
      <c r="B2211" t="s">
        <v>101</v>
      </c>
      <c r="C2211">
        <v>59</v>
      </c>
      <c r="D2211" t="s">
        <v>17357</v>
      </c>
      <c r="E2211" t="s">
        <v>17358</v>
      </c>
      <c r="F2211" t="s">
        <v>101</v>
      </c>
      <c r="H2211" t="s">
        <v>17017</v>
      </c>
    </row>
    <row r="2212" spans="1:8">
      <c r="A2212" t="s">
        <v>239</v>
      </c>
      <c r="B2212" t="s">
        <v>101</v>
      </c>
      <c r="C2212">
        <v>59</v>
      </c>
      <c r="D2212" t="s">
        <v>17359</v>
      </c>
      <c r="E2212" t="s">
        <v>17360</v>
      </c>
      <c r="F2212" t="s">
        <v>101</v>
      </c>
      <c r="H2212" t="s">
        <v>17361</v>
      </c>
    </row>
    <row r="2213" spans="1:8">
      <c r="A2213" t="s">
        <v>239</v>
      </c>
      <c r="B2213" t="s">
        <v>101</v>
      </c>
      <c r="C2213">
        <v>59</v>
      </c>
      <c r="D2213" t="s">
        <v>17362</v>
      </c>
      <c r="E2213" t="s">
        <v>17363</v>
      </c>
      <c r="F2213" t="s">
        <v>101</v>
      </c>
      <c r="H2213" t="s">
        <v>17364</v>
      </c>
    </row>
    <row r="2214" spans="1:8">
      <c r="A2214" t="s">
        <v>239</v>
      </c>
      <c r="B2214" t="s">
        <v>101</v>
      </c>
      <c r="C2214">
        <v>59</v>
      </c>
      <c r="D2214" t="s">
        <v>17365</v>
      </c>
      <c r="E2214" t="s">
        <v>17366</v>
      </c>
      <c r="F2214" t="s">
        <v>101</v>
      </c>
      <c r="H2214" t="s">
        <v>17367</v>
      </c>
    </row>
    <row r="2215" spans="1:8">
      <c r="A2215" t="s">
        <v>239</v>
      </c>
      <c r="B2215" t="s">
        <v>101</v>
      </c>
      <c r="C2215">
        <v>59</v>
      </c>
      <c r="D2215" t="s">
        <v>17368</v>
      </c>
      <c r="E2215" t="s">
        <v>17369</v>
      </c>
      <c r="F2215" t="s">
        <v>101</v>
      </c>
      <c r="H2215" t="s">
        <v>17370</v>
      </c>
    </row>
    <row r="2216" spans="1:8">
      <c r="A2216" t="s">
        <v>239</v>
      </c>
      <c r="B2216" t="s">
        <v>101</v>
      </c>
      <c r="C2216">
        <v>59</v>
      </c>
      <c r="D2216" t="s">
        <v>17371</v>
      </c>
      <c r="E2216" t="s">
        <v>17372</v>
      </c>
      <c r="F2216" t="s">
        <v>101</v>
      </c>
      <c r="H2216" t="s">
        <v>17373</v>
      </c>
    </row>
    <row r="2217" spans="1:8">
      <c r="A2217" t="s">
        <v>239</v>
      </c>
      <c r="B2217" t="s">
        <v>101</v>
      </c>
      <c r="C2217">
        <v>59</v>
      </c>
      <c r="D2217" t="s">
        <v>17374</v>
      </c>
      <c r="E2217" t="s">
        <v>17375</v>
      </c>
      <c r="F2217" t="s">
        <v>101</v>
      </c>
      <c r="H2217" t="s">
        <v>17017</v>
      </c>
    </row>
    <row r="2218" spans="1:8">
      <c r="A2218" t="s">
        <v>239</v>
      </c>
      <c r="B2218" t="s">
        <v>101</v>
      </c>
      <c r="C2218">
        <v>59</v>
      </c>
      <c r="D2218" t="s">
        <v>17376</v>
      </c>
      <c r="E2218" t="s">
        <v>17377</v>
      </c>
      <c r="F2218" t="s">
        <v>101</v>
      </c>
      <c r="H2218" t="s">
        <v>17378</v>
      </c>
    </row>
    <row r="2219" spans="1:8">
      <c r="A2219" t="s">
        <v>239</v>
      </c>
      <c r="B2219" t="s">
        <v>101</v>
      </c>
      <c r="C2219">
        <v>59</v>
      </c>
      <c r="D2219" t="s">
        <v>17379</v>
      </c>
      <c r="E2219" t="s">
        <v>17380</v>
      </c>
      <c r="F2219" t="s">
        <v>101</v>
      </c>
      <c r="H2219" t="s">
        <v>17378</v>
      </c>
    </row>
    <row r="2220" spans="1:8">
      <c r="A2220" t="s">
        <v>239</v>
      </c>
      <c r="B2220" t="s">
        <v>101</v>
      </c>
      <c r="C2220">
        <v>59</v>
      </c>
      <c r="D2220" t="s">
        <v>17381</v>
      </c>
      <c r="E2220" t="s">
        <v>17257</v>
      </c>
      <c r="F2220" t="s">
        <v>101</v>
      </c>
      <c r="H2220" t="s">
        <v>17017</v>
      </c>
    </row>
    <row r="2221" spans="1:8">
      <c r="A2221" t="s">
        <v>239</v>
      </c>
      <c r="B2221" t="s">
        <v>101</v>
      </c>
      <c r="C2221">
        <v>59</v>
      </c>
      <c r="D2221" t="s">
        <v>17382</v>
      </c>
      <c r="E2221" t="s">
        <v>17383</v>
      </c>
      <c r="F2221" t="s">
        <v>101</v>
      </c>
      <c r="H2221" t="s">
        <v>17384</v>
      </c>
    </row>
    <row r="2222" spans="1:8">
      <c r="A2222" t="s">
        <v>239</v>
      </c>
      <c r="B2222" t="s">
        <v>101</v>
      </c>
      <c r="C2222">
        <v>59</v>
      </c>
      <c r="D2222" t="s">
        <v>17385</v>
      </c>
      <c r="E2222" t="s">
        <v>17386</v>
      </c>
      <c r="F2222" t="s">
        <v>101</v>
      </c>
      <c r="H2222" t="s">
        <v>17387</v>
      </c>
    </row>
    <row r="2223" spans="1:8">
      <c r="A2223" t="s">
        <v>239</v>
      </c>
      <c r="B2223" t="s">
        <v>101</v>
      </c>
      <c r="C2223">
        <v>59</v>
      </c>
      <c r="D2223" t="s">
        <v>17388</v>
      </c>
      <c r="E2223" t="s">
        <v>17389</v>
      </c>
      <c r="F2223" t="s">
        <v>101</v>
      </c>
      <c r="H2223" t="s">
        <v>17017</v>
      </c>
    </row>
    <row r="2224" spans="1:8">
      <c r="A2224" t="s">
        <v>250</v>
      </c>
      <c r="B2224" t="s">
        <v>101</v>
      </c>
      <c r="C2224">
        <v>59</v>
      </c>
      <c r="D2224" t="s">
        <v>17390</v>
      </c>
      <c r="E2224" t="s">
        <v>17391</v>
      </c>
      <c r="F2224" t="s">
        <v>101</v>
      </c>
    </row>
    <row r="2225" spans="1:8">
      <c r="A2225" t="s">
        <v>250</v>
      </c>
      <c r="B2225" t="s">
        <v>101</v>
      </c>
      <c r="C2225">
        <v>59</v>
      </c>
      <c r="D2225" t="s">
        <v>17392</v>
      </c>
      <c r="E2225" t="s">
        <v>13934</v>
      </c>
      <c r="F2225" t="s">
        <v>101</v>
      </c>
      <c r="H2225" t="s">
        <v>17393</v>
      </c>
    </row>
    <row r="2226" spans="1:8">
      <c r="A2226" t="s">
        <v>250</v>
      </c>
      <c r="B2226" t="s">
        <v>101</v>
      </c>
      <c r="C2226">
        <v>59</v>
      </c>
      <c r="D2226" t="s">
        <v>17394</v>
      </c>
      <c r="E2226" t="s">
        <v>17395</v>
      </c>
      <c r="F2226" t="s">
        <v>101</v>
      </c>
    </row>
    <row r="2227" spans="1:8">
      <c r="A2227" t="s">
        <v>250</v>
      </c>
      <c r="B2227" t="s">
        <v>101</v>
      </c>
      <c r="C2227">
        <v>59</v>
      </c>
      <c r="D2227" t="s">
        <v>17396</v>
      </c>
      <c r="E2227" t="s">
        <v>13934</v>
      </c>
      <c r="F2227" t="s">
        <v>101</v>
      </c>
      <c r="G2227" t="s">
        <v>17397</v>
      </c>
      <c r="H2227" t="s">
        <v>17398</v>
      </c>
    </row>
    <row r="2228" spans="1:8">
      <c r="A2228" t="s">
        <v>250</v>
      </c>
      <c r="B2228" t="s">
        <v>101</v>
      </c>
      <c r="C2228">
        <v>59</v>
      </c>
      <c r="D2228" t="s">
        <v>17399</v>
      </c>
      <c r="E2228" t="s">
        <v>17400</v>
      </c>
      <c r="F2228" t="s">
        <v>101</v>
      </c>
    </row>
    <row r="2229" spans="1:8">
      <c r="A2229" t="s">
        <v>250</v>
      </c>
      <c r="B2229" t="s">
        <v>101</v>
      </c>
      <c r="C2229">
        <v>59</v>
      </c>
      <c r="D2229" t="s">
        <v>17401</v>
      </c>
      <c r="E2229" t="s">
        <v>17402</v>
      </c>
      <c r="F2229" t="s">
        <v>101</v>
      </c>
    </row>
    <row r="2230" spans="1:8">
      <c r="A2230" t="s">
        <v>250</v>
      </c>
      <c r="B2230" t="s">
        <v>101</v>
      </c>
      <c r="C2230">
        <v>59</v>
      </c>
      <c r="D2230" t="s">
        <v>17403</v>
      </c>
      <c r="E2230" t="s">
        <v>17404</v>
      </c>
      <c r="F2230" t="s">
        <v>101</v>
      </c>
      <c r="G2230" t="s">
        <v>16979</v>
      </c>
      <c r="H2230" t="s">
        <v>16978</v>
      </c>
    </row>
    <row r="2231" spans="1:8">
      <c r="A2231" t="s">
        <v>250</v>
      </c>
      <c r="B2231" t="s">
        <v>101</v>
      </c>
      <c r="C2231">
        <v>59</v>
      </c>
      <c r="D2231" t="s">
        <v>17405</v>
      </c>
      <c r="E2231" t="s">
        <v>13934</v>
      </c>
      <c r="F2231" t="s">
        <v>101</v>
      </c>
    </row>
    <row r="2232" spans="1:8">
      <c r="A2232" t="s">
        <v>250</v>
      </c>
      <c r="B2232" t="s">
        <v>101</v>
      </c>
      <c r="C2232">
        <v>59</v>
      </c>
      <c r="D2232" t="s">
        <v>17406</v>
      </c>
      <c r="E2232" t="s">
        <v>17407</v>
      </c>
      <c r="F2232" t="s">
        <v>101</v>
      </c>
    </row>
    <row r="2233" spans="1:8">
      <c r="A2233" t="s">
        <v>250</v>
      </c>
      <c r="B2233" t="s">
        <v>101</v>
      </c>
      <c r="C2233">
        <v>59</v>
      </c>
      <c r="D2233" t="s">
        <v>17408</v>
      </c>
      <c r="E2233" t="s">
        <v>17409</v>
      </c>
      <c r="F2233" t="s">
        <v>101</v>
      </c>
    </row>
    <row r="2234" spans="1:8">
      <c r="A2234" t="s">
        <v>250</v>
      </c>
      <c r="B2234" t="s">
        <v>101</v>
      </c>
      <c r="C2234">
        <v>59</v>
      </c>
      <c r="D2234" t="s">
        <v>17410</v>
      </c>
      <c r="E2234" t="s">
        <v>17411</v>
      </c>
      <c r="F2234" t="s">
        <v>101</v>
      </c>
    </row>
    <row r="2235" spans="1:8">
      <c r="A2235" t="s">
        <v>250</v>
      </c>
      <c r="B2235" t="s">
        <v>101</v>
      </c>
      <c r="C2235">
        <v>59</v>
      </c>
      <c r="D2235" t="s">
        <v>17412</v>
      </c>
      <c r="E2235" t="s">
        <v>13934</v>
      </c>
      <c r="F2235" t="s">
        <v>101</v>
      </c>
    </row>
    <row r="2236" spans="1:8">
      <c r="A2236" t="s">
        <v>250</v>
      </c>
      <c r="B2236" t="s">
        <v>101</v>
      </c>
      <c r="C2236">
        <v>59</v>
      </c>
      <c r="D2236" t="s">
        <v>17413</v>
      </c>
      <c r="E2236" t="s">
        <v>17414</v>
      </c>
      <c r="F2236" t="s">
        <v>101</v>
      </c>
    </row>
    <row r="2237" spans="1:8">
      <c r="A2237" t="s">
        <v>250</v>
      </c>
      <c r="B2237" t="s">
        <v>101</v>
      </c>
      <c r="C2237">
        <v>59</v>
      </c>
      <c r="D2237" t="s">
        <v>17415</v>
      </c>
      <c r="E2237" t="s">
        <v>13934</v>
      </c>
      <c r="F2237" t="s">
        <v>101</v>
      </c>
    </row>
    <row r="2238" spans="1:8">
      <c r="A2238" t="s">
        <v>250</v>
      </c>
      <c r="B2238" t="s">
        <v>101</v>
      </c>
      <c r="C2238">
        <v>59</v>
      </c>
      <c r="D2238" t="s">
        <v>17416</v>
      </c>
      <c r="E2238" t="s">
        <v>17417</v>
      </c>
      <c r="F2238" t="s">
        <v>101</v>
      </c>
      <c r="G2238" t="s">
        <v>16649</v>
      </c>
      <c r="H2238" t="s">
        <v>16648</v>
      </c>
    </row>
    <row r="2239" spans="1:8">
      <c r="A2239" t="s">
        <v>250</v>
      </c>
      <c r="B2239" t="s">
        <v>101</v>
      </c>
      <c r="C2239">
        <v>59</v>
      </c>
      <c r="D2239" t="s">
        <v>17418</v>
      </c>
      <c r="E2239" t="s">
        <v>14706</v>
      </c>
      <c r="F2239" t="s">
        <v>101</v>
      </c>
    </row>
    <row r="2240" spans="1:8">
      <c r="A2240" t="s">
        <v>250</v>
      </c>
      <c r="B2240" t="s">
        <v>101</v>
      </c>
      <c r="C2240">
        <v>59</v>
      </c>
      <c r="D2240" t="s">
        <v>17419</v>
      </c>
      <c r="E2240" t="s">
        <v>17420</v>
      </c>
      <c r="F2240" t="s">
        <v>101</v>
      </c>
    </row>
    <row r="2241" spans="1:8">
      <c r="A2241" t="s">
        <v>250</v>
      </c>
      <c r="B2241" t="s">
        <v>101</v>
      </c>
      <c r="C2241">
        <v>59</v>
      </c>
      <c r="D2241" t="s">
        <v>17421</v>
      </c>
      <c r="E2241" t="s">
        <v>17422</v>
      </c>
      <c r="F2241" t="s">
        <v>101</v>
      </c>
    </row>
    <row r="2242" spans="1:8">
      <c r="A2242" t="s">
        <v>250</v>
      </c>
      <c r="B2242" t="s">
        <v>101</v>
      </c>
      <c r="C2242">
        <v>59</v>
      </c>
      <c r="D2242" t="s">
        <v>17423</v>
      </c>
      <c r="E2242" t="s">
        <v>17417</v>
      </c>
      <c r="F2242" t="s">
        <v>101</v>
      </c>
      <c r="H2242" t="s">
        <v>17424</v>
      </c>
    </row>
    <row r="2243" spans="1:8">
      <c r="A2243" t="s">
        <v>250</v>
      </c>
      <c r="B2243" t="s">
        <v>101</v>
      </c>
      <c r="C2243">
        <v>59</v>
      </c>
      <c r="D2243" t="s">
        <v>17425</v>
      </c>
      <c r="E2243" t="s">
        <v>17426</v>
      </c>
      <c r="F2243" t="s">
        <v>101</v>
      </c>
    </row>
    <row r="2244" spans="1:8">
      <c r="A2244" t="s">
        <v>250</v>
      </c>
      <c r="B2244" t="s">
        <v>101</v>
      </c>
      <c r="C2244">
        <v>59</v>
      </c>
      <c r="D2244" t="s">
        <v>17427</v>
      </c>
      <c r="E2244" t="s">
        <v>17428</v>
      </c>
      <c r="F2244" t="s">
        <v>101</v>
      </c>
    </row>
    <row r="2245" spans="1:8">
      <c r="A2245" t="s">
        <v>250</v>
      </c>
      <c r="B2245" t="s">
        <v>101</v>
      </c>
      <c r="C2245">
        <v>59</v>
      </c>
      <c r="D2245" t="s">
        <v>17429</v>
      </c>
      <c r="E2245" t="s">
        <v>17417</v>
      </c>
      <c r="F2245" t="s">
        <v>101</v>
      </c>
    </row>
    <row r="2246" spans="1:8">
      <c r="A2246" t="s">
        <v>250</v>
      </c>
      <c r="B2246" t="s">
        <v>101</v>
      </c>
      <c r="C2246">
        <v>59</v>
      </c>
      <c r="D2246" t="s">
        <v>17430</v>
      </c>
      <c r="E2246" t="s">
        <v>13934</v>
      </c>
      <c r="F2246" t="s">
        <v>101</v>
      </c>
      <c r="H2246" t="s">
        <v>16575</v>
      </c>
    </row>
    <row r="2247" spans="1:8">
      <c r="A2247" t="s">
        <v>250</v>
      </c>
      <c r="B2247" t="s">
        <v>101</v>
      </c>
      <c r="C2247">
        <v>59</v>
      </c>
      <c r="D2247" t="s">
        <v>17431</v>
      </c>
      <c r="E2247" t="s">
        <v>17432</v>
      </c>
      <c r="F2247" t="s">
        <v>101</v>
      </c>
    </row>
    <row r="2248" spans="1:8">
      <c r="A2248" t="s">
        <v>250</v>
      </c>
      <c r="B2248" t="s">
        <v>101</v>
      </c>
      <c r="C2248">
        <v>59</v>
      </c>
      <c r="D2248" t="s">
        <v>17433</v>
      </c>
      <c r="E2248" t="s">
        <v>13934</v>
      </c>
      <c r="F2248" t="s">
        <v>101</v>
      </c>
    </row>
    <row r="2249" spans="1:8">
      <c r="A2249" t="s">
        <v>250</v>
      </c>
      <c r="B2249" t="s">
        <v>101</v>
      </c>
      <c r="C2249">
        <v>59</v>
      </c>
      <c r="D2249" t="s">
        <v>17434</v>
      </c>
      <c r="E2249" t="s">
        <v>17435</v>
      </c>
      <c r="F2249" t="s">
        <v>101</v>
      </c>
      <c r="G2249" t="s">
        <v>16814</v>
      </c>
      <c r="H2249" t="s">
        <v>16813</v>
      </c>
    </row>
    <row r="2250" spans="1:8">
      <c r="A2250" t="s">
        <v>250</v>
      </c>
      <c r="B2250" t="s">
        <v>101</v>
      </c>
      <c r="C2250">
        <v>59</v>
      </c>
      <c r="D2250" t="s">
        <v>17436</v>
      </c>
      <c r="E2250" t="s">
        <v>17437</v>
      </c>
      <c r="F2250" t="s">
        <v>101</v>
      </c>
      <c r="H2250" t="s">
        <v>17438</v>
      </c>
    </row>
    <row r="2251" spans="1:8">
      <c r="A2251" t="s">
        <v>250</v>
      </c>
      <c r="B2251" t="s">
        <v>101</v>
      </c>
      <c r="C2251">
        <v>59</v>
      </c>
      <c r="D2251" t="s">
        <v>17439</v>
      </c>
      <c r="E2251" t="s">
        <v>13934</v>
      </c>
      <c r="F2251" t="s">
        <v>101</v>
      </c>
      <c r="G2251" t="s">
        <v>16959</v>
      </c>
      <c r="H2251" t="s">
        <v>16960</v>
      </c>
    </row>
    <row r="2252" spans="1:8">
      <c r="A2252" t="s">
        <v>250</v>
      </c>
      <c r="B2252" t="s">
        <v>101</v>
      </c>
      <c r="C2252">
        <v>59</v>
      </c>
      <c r="D2252" t="s">
        <v>17440</v>
      </c>
      <c r="E2252" t="s">
        <v>17417</v>
      </c>
      <c r="F2252" t="s">
        <v>101</v>
      </c>
    </row>
    <row r="2253" spans="1:8">
      <c r="A2253" t="s">
        <v>250</v>
      </c>
      <c r="B2253" t="s">
        <v>101</v>
      </c>
      <c r="C2253">
        <v>59</v>
      </c>
      <c r="D2253" t="s">
        <v>17441</v>
      </c>
      <c r="E2253" t="s">
        <v>17442</v>
      </c>
      <c r="F2253" t="s">
        <v>101</v>
      </c>
      <c r="G2253" t="s">
        <v>17443</v>
      </c>
    </row>
    <row r="2254" spans="1:8">
      <c r="A2254" t="s">
        <v>250</v>
      </c>
      <c r="B2254" t="s">
        <v>101</v>
      </c>
      <c r="C2254">
        <v>59</v>
      </c>
      <c r="D2254" t="s">
        <v>17444</v>
      </c>
      <c r="E2254" t="s">
        <v>16833</v>
      </c>
      <c r="F2254" t="s">
        <v>101</v>
      </c>
    </row>
    <row r="2255" spans="1:8">
      <c r="A2255" t="s">
        <v>250</v>
      </c>
      <c r="B2255" t="s">
        <v>101</v>
      </c>
      <c r="C2255">
        <v>59</v>
      </c>
      <c r="D2255" t="s">
        <v>17445</v>
      </c>
      <c r="E2255" t="s">
        <v>13934</v>
      </c>
      <c r="F2255" t="s">
        <v>101</v>
      </c>
      <c r="H2255" t="s">
        <v>17446</v>
      </c>
    </row>
    <row r="2256" spans="1:8">
      <c r="A2256" t="s">
        <v>250</v>
      </c>
      <c r="B2256" t="s">
        <v>101</v>
      </c>
      <c r="C2256">
        <v>59</v>
      </c>
      <c r="D2256" t="s">
        <v>17447</v>
      </c>
      <c r="E2256" t="s">
        <v>16835</v>
      </c>
      <c r="F2256" t="s">
        <v>101</v>
      </c>
    </row>
    <row r="2257" spans="1:8">
      <c r="A2257" t="s">
        <v>250</v>
      </c>
      <c r="B2257" t="s">
        <v>101</v>
      </c>
      <c r="C2257">
        <v>59</v>
      </c>
      <c r="D2257" t="s">
        <v>17448</v>
      </c>
      <c r="E2257" t="s">
        <v>13934</v>
      </c>
      <c r="F2257" t="s">
        <v>101</v>
      </c>
    </row>
    <row r="2258" spans="1:8">
      <c r="A2258" t="s">
        <v>250</v>
      </c>
      <c r="B2258" t="s">
        <v>101</v>
      </c>
      <c r="C2258">
        <v>59</v>
      </c>
      <c r="D2258" t="s">
        <v>17449</v>
      </c>
      <c r="E2258" t="s">
        <v>17417</v>
      </c>
      <c r="F2258" t="s">
        <v>101</v>
      </c>
      <c r="H2258" t="s">
        <v>17450</v>
      </c>
    </row>
    <row r="2259" spans="1:8">
      <c r="A2259" t="s">
        <v>250</v>
      </c>
      <c r="B2259" t="s">
        <v>101</v>
      </c>
      <c r="C2259">
        <v>59</v>
      </c>
      <c r="D2259" t="s">
        <v>17451</v>
      </c>
      <c r="E2259" t="s">
        <v>14706</v>
      </c>
      <c r="F2259" t="s">
        <v>101</v>
      </c>
    </row>
    <row r="2260" spans="1:8">
      <c r="A2260" t="s">
        <v>250</v>
      </c>
      <c r="B2260" t="s">
        <v>101</v>
      </c>
      <c r="C2260">
        <v>59</v>
      </c>
      <c r="D2260" t="s">
        <v>17452</v>
      </c>
      <c r="E2260" t="s">
        <v>13934</v>
      </c>
      <c r="F2260" t="s">
        <v>101</v>
      </c>
    </row>
    <row r="2261" spans="1:8">
      <c r="A2261" t="s">
        <v>250</v>
      </c>
      <c r="B2261" t="s">
        <v>101</v>
      </c>
      <c r="C2261">
        <v>59</v>
      </c>
      <c r="D2261" t="s">
        <v>17453</v>
      </c>
      <c r="E2261" t="s">
        <v>14706</v>
      </c>
      <c r="F2261" t="s">
        <v>101</v>
      </c>
    </row>
    <row r="2262" spans="1:8">
      <c r="A2262" t="s">
        <v>250</v>
      </c>
      <c r="B2262" t="s">
        <v>101</v>
      </c>
      <c r="C2262">
        <v>59</v>
      </c>
      <c r="D2262" t="s">
        <v>17454</v>
      </c>
      <c r="E2262" t="s">
        <v>17455</v>
      </c>
      <c r="F2262" t="s">
        <v>101</v>
      </c>
    </row>
    <row r="2263" spans="1:8">
      <c r="A2263" t="s">
        <v>250</v>
      </c>
      <c r="B2263" t="s">
        <v>101</v>
      </c>
      <c r="C2263">
        <v>59</v>
      </c>
      <c r="D2263" t="s">
        <v>17456</v>
      </c>
      <c r="E2263" t="s">
        <v>17457</v>
      </c>
      <c r="F2263" t="s">
        <v>101</v>
      </c>
    </row>
    <row r="2264" spans="1:8">
      <c r="A2264" t="s">
        <v>250</v>
      </c>
      <c r="B2264" t="s">
        <v>101</v>
      </c>
      <c r="C2264">
        <v>59</v>
      </c>
      <c r="D2264" t="s">
        <v>17458</v>
      </c>
      <c r="E2264" t="s">
        <v>13934</v>
      </c>
      <c r="F2264" t="s">
        <v>101</v>
      </c>
    </row>
    <row r="2265" spans="1:8">
      <c r="A2265" t="s">
        <v>250</v>
      </c>
      <c r="B2265" t="s">
        <v>101</v>
      </c>
      <c r="C2265">
        <v>59</v>
      </c>
      <c r="D2265" t="s">
        <v>17459</v>
      </c>
      <c r="E2265" t="s">
        <v>13934</v>
      </c>
      <c r="F2265" t="s">
        <v>101</v>
      </c>
    </row>
    <row r="2266" spans="1:8">
      <c r="A2266" t="s">
        <v>250</v>
      </c>
      <c r="B2266" t="s">
        <v>101</v>
      </c>
      <c r="C2266">
        <v>59</v>
      </c>
      <c r="D2266" t="s">
        <v>17460</v>
      </c>
      <c r="E2266" t="s">
        <v>17461</v>
      </c>
      <c r="F2266" t="s">
        <v>101</v>
      </c>
    </row>
    <row r="2267" spans="1:8">
      <c r="A2267" t="s">
        <v>250</v>
      </c>
      <c r="B2267" t="s">
        <v>101</v>
      </c>
      <c r="C2267">
        <v>59</v>
      </c>
      <c r="D2267" t="s">
        <v>17462</v>
      </c>
      <c r="E2267" t="s">
        <v>13934</v>
      </c>
      <c r="F2267" t="s">
        <v>101</v>
      </c>
    </row>
    <row r="2268" spans="1:8">
      <c r="A2268" t="s">
        <v>250</v>
      </c>
      <c r="B2268" t="s">
        <v>101</v>
      </c>
      <c r="C2268">
        <v>59</v>
      </c>
      <c r="D2268" t="s">
        <v>17463</v>
      </c>
      <c r="E2268" t="s">
        <v>17417</v>
      </c>
      <c r="F2268" t="s">
        <v>101</v>
      </c>
      <c r="H2268" t="s">
        <v>17464</v>
      </c>
    </row>
    <row r="2269" spans="1:8">
      <c r="A2269" t="s">
        <v>250</v>
      </c>
      <c r="B2269" t="s">
        <v>101</v>
      </c>
      <c r="C2269">
        <v>59</v>
      </c>
      <c r="D2269" t="s">
        <v>17465</v>
      </c>
      <c r="E2269" t="s">
        <v>17466</v>
      </c>
      <c r="F2269" t="s">
        <v>101</v>
      </c>
      <c r="G2269" t="s">
        <v>17467</v>
      </c>
      <c r="H2269" t="s">
        <v>17468</v>
      </c>
    </row>
    <row r="2270" spans="1:8">
      <c r="A2270" t="s">
        <v>250</v>
      </c>
      <c r="B2270" t="s">
        <v>101</v>
      </c>
      <c r="C2270">
        <v>59</v>
      </c>
      <c r="D2270" t="s">
        <v>17469</v>
      </c>
      <c r="E2270" t="s">
        <v>13934</v>
      </c>
      <c r="F2270" t="s">
        <v>101</v>
      </c>
    </row>
    <row r="2271" spans="1:8">
      <c r="A2271" t="s">
        <v>250</v>
      </c>
      <c r="B2271" t="s">
        <v>101</v>
      </c>
      <c r="C2271">
        <v>59</v>
      </c>
      <c r="D2271" t="s">
        <v>17470</v>
      </c>
      <c r="E2271" t="s">
        <v>17471</v>
      </c>
      <c r="F2271" t="s">
        <v>101</v>
      </c>
    </row>
    <row r="2272" spans="1:8">
      <c r="A2272" t="s">
        <v>250</v>
      </c>
      <c r="B2272" t="s">
        <v>101</v>
      </c>
      <c r="C2272">
        <v>59</v>
      </c>
      <c r="D2272" t="s">
        <v>17472</v>
      </c>
      <c r="E2272" t="s">
        <v>17417</v>
      </c>
      <c r="F2272" t="s">
        <v>101</v>
      </c>
    </row>
    <row r="2273" spans="1:8">
      <c r="A2273" t="s">
        <v>250</v>
      </c>
      <c r="B2273" t="s">
        <v>101</v>
      </c>
      <c r="C2273">
        <v>59</v>
      </c>
      <c r="D2273" t="s">
        <v>17473</v>
      </c>
      <c r="E2273" t="s">
        <v>17474</v>
      </c>
      <c r="F2273" t="s">
        <v>101</v>
      </c>
      <c r="H2273" t="s">
        <v>17475</v>
      </c>
    </row>
    <row r="2274" spans="1:8">
      <c r="A2274" t="s">
        <v>250</v>
      </c>
      <c r="B2274" t="s">
        <v>101</v>
      </c>
      <c r="C2274">
        <v>59</v>
      </c>
      <c r="D2274" t="s">
        <v>17476</v>
      </c>
      <c r="E2274" t="s">
        <v>17417</v>
      </c>
      <c r="F2274" t="s">
        <v>101</v>
      </c>
    </row>
    <row r="2275" spans="1:8">
      <c r="A2275" t="s">
        <v>250</v>
      </c>
      <c r="B2275" t="s">
        <v>101</v>
      </c>
      <c r="C2275">
        <v>59</v>
      </c>
      <c r="D2275" t="s">
        <v>17477</v>
      </c>
      <c r="E2275" t="s">
        <v>17478</v>
      </c>
      <c r="F2275" t="s">
        <v>101</v>
      </c>
    </row>
    <row r="2276" spans="1:8">
      <c r="A2276" t="s">
        <v>250</v>
      </c>
      <c r="B2276" t="s">
        <v>101</v>
      </c>
      <c r="C2276">
        <v>59</v>
      </c>
      <c r="D2276" t="s">
        <v>17479</v>
      </c>
      <c r="E2276" t="s">
        <v>13934</v>
      </c>
      <c r="F2276" t="s">
        <v>101</v>
      </c>
    </row>
    <row r="2277" spans="1:8">
      <c r="A2277" t="s">
        <v>250</v>
      </c>
      <c r="B2277" t="s">
        <v>101</v>
      </c>
      <c r="C2277">
        <v>59</v>
      </c>
      <c r="D2277" t="s">
        <v>17480</v>
      </c>
      <c r="E2277" t="s">
        <v>17481</v>
      </c>
      <c r="F2277" t="s">
        <v>101</v>
      </c>
    </row>
    <row r="2278" spans="1:8">
      <c r="A2278" t="s">
        <v>250</v>
      </c>
      <c r="B2278" t="s">
        <v>101</v>
      </c>
      <c r="C2278">
        <v>59</v>
      </c>
      <c r="D2278" t="s">
        <v>17482</v>
      </c>
      <c r="E2278" t="s">
        <v>16833</v>
      </c>
      <c r="F2278" t="s">
        <v>101</v>
      </c>
    </row>
    <row r="2279" spans="1:8">
      <c r="A2279" t="s">
        <v>250</v>
      </c>
      <c r="B2279" t="s">
        <v>101</v>
      </c>
      <c r="C2279">
        <v>59</v>
      </c>
      <c r="D2279" t="s">
        <v>17483</v>
      </c>
      <c r="E2279" t="s">
        <v>17484</v>
      </c>
      <c r="F2279" t="s">
        <v>101</v>
      </c>
    </row>
    <row r="2280" spans="1:8">
      <c r="A2280" t="s">
        <v>250</v>
      </c>
      <c r="B2280" t="s">
        <v>101</v>
      </c>
      <c r="C2280">
        <v>59</v>
      </c>
      <c r="D2280" t="s">
        <v>17485</v>
      </c>
      <c r="E2280" t="s">
        <v>17417</v>
      </c>
      <c r="F2280" t="s">
        <v>101</v>
      </c>
    </row>
    <row r="2281" spans="1:8">
      <c r="A2281" t="s">
        <v>250</v>
      </c>
      <c r="B2281" t="s">
        <v>101</v>
      </c>
      <c r="C2281">
        <v>59</v>
      </c>
      <c r="D2281" t="s">
        <v>17486</v>
      </c>
      <c r="E2281" t="s">
        <v>17487</v>
      </c>
      <c r="F2281" t="s">
        <v>101</v>
      </c>
    </row>
    <row r="2282" spans="1:8">
      <c r="A2282" t="s">
        <v>250</v>
      </c>
      <c r="B2282" t="s">
        <v>101</v>
      </c>
      <c r="C2282">
        <v>59</v>
      </c>
      <c r="D2282" t="s">
        <v>17488</v>
      </c>
      <c r="E2282" t="s">
        <v>14706</v>
      </c>
      <c r="F2282" t="s">
        <v>101</v>
      </c>
    </row>
    <row r="2283" spans="1:8">
      <c r="A2283" t="s">
        <v>250</v>
      </c>
      <c r="B2283" t="s">
        <v>101</v>
      </c>
      <c r="C2283">
        <v>59</v>
      </c>
      <c r="D2283" t="s">
        <v>17489</v>
      </c>
      <c r="E2283" t="s">
        <v>17417</v>
      </c>
      <c r="F2283" t="s">
        <v>101</v>
      </c>
    </row>
    <row r="2284" spans="1:8">
      <c r="A2284" t="s">
        <v>250</v>
      </c>
      <c r="B2284" t="s">
        <v>101</v>
      </c>
      <c r="C2284">
        <v>59</v>
      </c>
      <c r="D2284" t="s">
        <v>17490</v>
      </c>
      <c r="E2284" t="s">
        <v>17491</v>
      </c>
      <c r="F2284" t="s">
        <v>101</v>
      </c>
      <c r="G2284" t="s">
        <v>17492</v>
      </c>
      <c r="H2284" t="s">
        <v>17493</v>
      </c>
    </row>
    <row r="2285" spans="1:8">
      <c r="A2285" t="s">
        <v>250</v>
      </c>
      <c r="B2285" t="s">
        <v>101</v>
      </c>
      <c r="C2285">
        <v>59</v>
      </c>
      <c r="D2285" t="s">
        <v>17494</v>
      </c>
      <c r="E2285" t="s">
        <v>17417</v>
      </c>
      <c r="F2285" t="s">
        <v>101</v>
      </c>
    </row>
    <row r="2286" spans="1:8">
      <c r="A2286" t="s">
        <v>250</v>
      </c>
      <c r="B2286" t="s">
        <v>101</v>
      </c>
      <c r="C2286">
        <v>59</v>
      </c>
      <c r="D2286" t="s">
        <v>17495</v>
      </c>
      <c r="E2286" t="s">
        <v>17496</v>
      </c>
      <c r="F2286" t="s">
        <v>101</v>
      </c>
      <c r="G2286" t="s">
        <v>16912</v>
      </c>
      <c r="H2286" t="s">
        <v>17497</v>
      </c>
    </row>
    <row r="2287" spans="1:8">
      <c r="A2287" t="s">
        <v>250</v>
      </c>
      <c r="B2287" t="s">
        <v>101</v>
      </c>
      <c r="C2287">
        <v>59</v>
      </c>
      <c r="D2287" t="s">
        <v>17498</v>
      </c>
      <c r="E2287" t="s">
        <v>17499</v>
      </c>
      <c r="F2287" t="s">
        <v>101</v>
      </c>
      <c r="G2287" t="s">
        <v>16904</v>
      </c>
      <c r="H2287" t="s">
        <v>16903</v>
      </c>
    </row>
    <row r="2288" spans="1:8">
      <c r="A2288" t="s">
        <v>250</v>
      </c>
      <c r="B2288" t="s">
        <v>101</v>
      </c>
      <c r="C2288">
        <v>59</v>
      </c>
      <c r="D2288" t="s">
        <v>17500</v>
      </c>
      <c r="E2288" t="s">
        <v>17417</v>
      </c>
      <c r="F2288" t="s">
        <v>101</v>
      </c>
    </row>
    <row r="2289" spans="1:8">
      <c r="A2289" t="s">
        <v>250</v>
      </c>
      <c r="B2289" t="s">
        <v>101</v>
      </c>
      <c r="C2289">
        <v>59</v>
      </c>
      <c r="D2289" t="s">
        <v>17501</v>
      </c>
      <c r="E2289" t="s">
        <v>16833</v>
      </c>
      <c r="F2289" t="s">
        <v>101</v>
      </c>
      <c r="G2289" t="s">
        <v>17502</v>
      </c>
    </row>
    <row r="2290" spans="1:8">
      <c r="A2290" t="s">
        <v>250</v>
      </c>
      <c r="B2290" t="s">
        <v>101</v>
      </c>
      <c r="C2290">
        <v>59</v>
      </c>
      <c r="D2290" t="s">
        <v>17503</v>
      </c>
      <c r="E2290" t="s">
        <v>17504</v>
      </c>
      <c r="F2290" t="s">
        <v>101</v>
      </c>
    </row>
    <row r="2291" spans="1:8">
      <c r="A2291" t="s">
        <v>250</v>
      </c>
      <c r="B2291" t="s">
        <v>101</v>
      </c>
      <c r="C2291">
        <v>59</v>
      </c>
      <c r="D2291" t="s">
        <v>17505</v>
      </c>
      <c r="E2291" t="s">
        <v>17506</v>
      </c>
      <c r="F2291" t="s">
        <v>101</v>
      </c>
    </row>
    <row r="2292" spans="1:8">
      <c r="A2292" t="s">
        <v>238</v>
      </c>
      <c r="B2292" t="s">
        <v>101</v>
      </c>
      <c r="C2292">
        <v>59</v>
      </c>
      <c r="D2292" t="s">
        <v>6256</v>
      </c>
      <c r="E2292" t="s">
        <v>17507</v>
      </c>
      <c r="F2292" t="s">
        <v>17508</v>
      </c>
      <c r="H2292" t="s">
        <v>17509</v>
      </c>
    </row>
    <row r="2293" spans="1:8">
      <c r="A2293" t="s">
        <v>250</v>
      </c>
      <c r="B2293" t="s">
        <v>101</v>
      </c>
      <c r="C2293">
        <v>59</v>
      </c>
      <c r="D2293" t="s">
        <v>17510</v>
      </c>
      <c r="E2293" t="s">
        <v>17511</v>
      </c>
      <c r="F2293" t="s">
        <v>101</v>
      </c>
    </row>
    <row r="2294" spans="1:8">
      <c r="A2294" t="s">
        <v>250</v>
      </c>
      <c r="B2294" t="s">
        <v>101</v>
      </c>
      <c r="C2294">
        <v>59</v>
      </c>
      <c r="D2294" t="s">
        <v>17512</v>
      </c>
      <c r="F2294" t="s">
        <v>101</v>
      </c>
      <c r="G2294" t="s">
        <v>17513</v>
      </c>
    </row>
    <row r="2295" spans="1:8">
      <c r="A2295" t="s">
        <v>250</v>
      </c>
      <c r="B2295" t="s">
        <v>101</v>
      </c>
      <c r="C2295">
        <v>59</v>
      </c>
      <c r="D2295" t="s">
        <v>17514</v>
      </c>
      <c r="F2295" t="s">
        <v>101</v>
      </c>
    </row>
    <row r="2296" spans="1:8">
      <c r="A2296" t="s">
        <v>250</v>
      </c>
      <c r="B2296" t="s">
        <v>101</v>
      </c>
      <c r="C2296">
        <v>59</v>
      </c>
      <c r="D2296" t="s">
        <v>17515</v>
      </c>
      <c r="E2296" t="s">
        <v>17516</v>
      </c>
      <c r="F2296" t="s">
        <v>101</v>
      </c>
    </row>
    <row r="2297" spans="1:8">
      <c r="A2297" t="s">
        <v>238</v>
      </c>
      <c r="B2297" t="s">
        <v>101</v>
      </c>
      <c r="C2297">
        <v>59</v>
      </c>
      <c r="D2297" t="s">
        <v>17517</v>
      </c>
      <c r="E2297" t="s">
        <v>17518</v>
      </c>
      <c r="F2297" t="s">
        <v>101</v>
      </c>
    </row>
    <row r="2298" spans="1:8">
      <c r="A2298" t="s">
        <v>250</v>
      </c>
      <c r="B2298" t="s">
        <v>101</v>
      </c>
      <c r="C2298">
        <v>59</v>
      </c>
      <c r="D2298" t="s">
        <v>17519</v>
      </c>
      <c r="E2298" t="s">
        <v>17520</v>
      </c>
      <c r="F2298" t="s">
        <v>101</v>
      </c>
    </row>
    <row r="2299" spans="1:8">
      <c r="A2299" t="s">
        <v>250</v>
      </c>
      <c r="B2299" t="s">
        <v>101</v>
      </c>
      <c r="C2299">
        <v>59</v>
      </c>
      <c r="D2299" t="s">
        <v>17521</v>
      </c>
      <c r="E2299" t="s">
        <v>17522</v>
      </c>
      <c r="F2299" t="s">
        <v>101</v>
      </c>
    </row>
    <row r="2300" spans="1:8">
      <c r="A2300" t="s">
        <v>250</v>
      </c>
      <c r="B2300" t="s">
        <v>101</v>
      </c>
      <c r="C2300">
        <v>59</v>
      </c>
      <c r="D2300" t="s">
        <v>17523</v>
      </c>
      <c r="E2300" t="s">
        <v>14706</v>
      </c>
      <c r="F2300" t="s">
        <v>101</v>
      </c>
    </row>
    <row r="2301" spans="1:8">
      <c r="A2301" t="s">
        <v>250</v>
      </c>
      <c r="B2301" t="s">
        <v>101</v>
      </c>
      <c r="C2301">
        <v>59</v>
      </c>
      <c r="D2301" t="s">
        <v>17524</v>
      </c>
      <c r="E2301" t="s">
        <v>13934</v>
      </c>
      <c r="F2301" t="s">
        <v>101</v>
      </c>
    </row>
    <row r="2302" spans="1:8">
      <c r="A2302" t="s">
        <v>250</v>
      </c>
      <c r="B2302" t="s">
        <v>101</v>
      </c>
      <c r="C2302">
        <v>59</v>
      </c>
      <c r="D2302" t="s">
        <v>17525</v>
      </c>
      <c r="E2302" t="s">
        <v>17526</v>
      </c>
      <c r="F2302" t="s">
        <v>101</v>
      </c>
    </row>
    <row r="2303" spans="1:8">
      <c r="A2303" t="s">
        <v>250</v>
      </c>
      <c r="B2303" t="s">
        <v>101</v>
      </c>
      <c r="C2303">
        <v>59</v>
      </c>
      <c r="D2303" t="s">
        <v>17527</v>
      </c>
      <c r="E2303" t="s">
        <v>17528</v>
      </c>
      <c r="F2303" t="s">
        <v>101</v>
      </c>
    </row>
    <row r="2304" spans="1:8">
      <c r="A2304" t="s">
        <v>250</v>
      </c>
      <c r="B2304" t="s">
        <v>101</v>
      </c>
      <c r="C2304">
        <v>59</v>
      </c>
      <c r="D2304" t="s">
        <v>17529</v>
      </c>
      <c r="E2304" t="s">
        <v>17530</v>
      </c>
      <c r="F2304" t="s">
        <v>101</v>
      </c>
      <c r="G2304" t="s">
        <v>17531</v>
      </c>
      <c r="H2304" t="s">
        <v>17532</v>
      </c>
    </row>
    <row r="2305" spans="1:8">
      <c r="A2305" t="s">
        <v>250</v>
      </c>
      <c r="B2305" t="s">
        <v>101</v>
      </c>
      <c r="C2305">
        <v>59</v>
      </c>
      <c r="D2305" t="s">
        <v>17533</v>
      </c>
      <c r="E2305" t="s">
        <v>17534</v>
      </c>
      <c r="F2305" t="s">
        <v>101</v>
      </c>
    </row>
    <row r="2306" spans="1:8">
      <c r="A2306" t="s">
        <v>250</v>
      </c>
      <c r="B2306" t="s">
        <v>101</v>
      </c>
      <c r="C2306">
        <v>59</v>
      </c>
      <c r="D2306" t="s">
        <v>17535</v>
      </c>
      <c r="E2306" t="s">
        <v>17536</v>
      </c>
      <c r="F2306" t="s">
        <v>101</v>
      </c>
      <c r="G2306" t="s">
        <v>17537</v>
      </c>
    </row>
    <row r="2307" spans="1:8">
      <c r="A2307" t="s">
        <v>250</v>
      </c>
      <c r="B2307" t="s">
        <v>101</v>
      </c>
      <c r="C2307">
        <v>59</v>
      </c>
      <c r="D2307" t="s">
        <v>17538</v>
      </c>
      <c r="E2307" t="s">
        <v>13934</v>
      </c>
      <c r="F2307" t="s">
        <v>101</v>
      </c>
    </row>
    <row r="2308" spans="1:8">
      <c r="A2308" t="s">
        <v>250</v>
      </c>
      <c r="B2308" t="s">
        <v>101</v>
      </c>
      <c r="C2308">
        <v>59</v>
      </c>
      <c r="D2308" t="s">
        <v>17539</v>
      </c>
      <c r="E2308" t="s">
        <v>17540</v>
      </c>
      <c r="F2308" t="s">
        <v>101</v>
      </c>
    </row>
    <row r="2309" spans="1:8">
      <c r="A2309" t="s">
        <v>250</v>
      </c>
      <c r="B2309" t="s">
        <v>101</v>
      </c>
      <c r="C2309">
        <v>59</v>
      </c>
      <c r="D2309" t="s">
        <v>17541</v>
      </c>
      <c r="E2309" t="s">
        <v>17542</v>
      </c>
      <c r="F2309" t="s">
        <v>101</v>
      </c>
    </row>
    <row r="2310" spans="1:8">
      <c r="A2310" t="s">
        <v>250</v>
      </c>
      <c r="B2310" t="s">
        <v>101</v>
      </c>
      <c r="C2310">
        <v>59</v>
      </c>
      <c r="D2310" t="s">
        <v>17543</v>
      </c>
      <c r="E2310" t="s">
        <v>14706</v>
      </c>
      <c r="F2310" t="s">
        <v>101</v>
      </c>
    </row>
    <row r="2311" spans="1:8">
      <c r="A2311" t="s">
        <v>250</v>
      </c>
      <c r="B2311" t="s">
        <v>101</v>
      </c>
      <c r="C2311">
        <v>59</v>
      </c>
      <c r="D2311" t="s">
        <v>17544</v>
      </c>
      <c r="E2311" t="s">
        <v>17545</v>
      </c>
      <c r="F2311" t="s">
        <v>101</v>
      </c>
    </row>
    <row r="2312" spans="1:8">
      <c r="A2312" t="s">
        <v>250</v>
      </c>
      <c r="B2312" t="s">
        <v>101</v>
      </c>
      <c r="C2312">
        <v>59</v>
      </c>
      <c r="D2312" t="s">
        <v>17546</v>
      </c>
      <c r="E2312" t="s">
        <v>17547</v>
      </c>
      <c r="F2312" t="s">
        <v>101</v>
      </c>
    </row>
    <row r="2313" spans="1:8">
      <c r="A2313" t="s">
        <v>250</v>
      </c>
      <c r="B2313" t="s">
        <v>101</v>
      </c>
      <c r="C2313">
        <v>59</v>
      </c>
      <c r="D2313" t="s">
        <v>17548</v>
      </c>
      <c r="E2313" t="s">
        <v>13934</v>
      </c>
      <c r="F2313" t="s">
        <v>101</v>
      </c>
    </row>
    <row r="2314" spans="1:8">
      <c r="A2314" t="s">
        <v>250</v>
      </c>
      <c r="B2314" t="s">
        <v>101</v>
      </c>
      <c r="C2314">
        <v>59</v>
      </c>
      <c r="D2314" t="s">
        <v>17549</v>
      </c>
      <c r="E2314" t="s">
        <v>16833</v>
      </c>
      <c r="F2314" t="s">
        <v>101</v>
      </c>
    </row>
    <row r="2315" spans="1:8">
      <c r="A2315" t="s">
        <v>250</v>
      </c>
      <c r="B2315" t="s">
        <v>101</v>
      </c>
      <c r="C2315">
        <v>59</v>
      </c>
      <c r="D2315" t="s">
        <v>17550</v>
      </c>
      <c r="E2315" t="s">
        <v>17551</v>
      </c>
      <c r="F2315" t="s">
        <v>101</v>
      </c>
      <c r="G2315" t="s">
        <v>17552</v>
      </c>
      <c r="H2315" t="s">
        <v>17553</v>
      </c>
    </row>
    <row r="2316" spans="1:8">
      <c r="A2316" t="s">
        <v>250</v>
      </c>
      <c r="B2316" t="s">
        <v>101</v>
      </c>
      <c r="C2316">
        <v>59</v>
      </c>
      <c r="D2316" t="s">
        <v>17554</v>
      </c>
      <c r="E2316" t="s">
        <v>17417</v>
      </c>
      <c r="F2316" t="s">
        <v>101</v>
      </c>
    </row>
    <row r="2317" spans="1:8">
      <c r="A2317" t="s">
        <v>250</v>
      </c>
      <c r="B2317" t="s">
        <v>101</v>
      </c>
      <c r="C2317">
        <v>59</v>
      </c>
      <c r="D2317" t="s">
        <v>17555</v>
      </c>
      <c r="E2317" t="s">
        <v>17556</v>
      </c>
      <c r="F2317" t="s">
        <v>101</v>
      </c>
      <c r="G2317" t="s">
        <v>17557</v>
      </c>
    </row>
    <row r="2318" spans="1:8">
      <c r="A2318" t="s">
        <v>250</v>
      </c>
      <c r="B2318" t="s">
        <v>101</v>
      </c>
      <c r="C2318">
        <v>59</v>
      </c>
      <c r="D2318" t="s">
        <v>17558</v>
      </c>
      <c r="E2318" t="s">
        <v>17417</v>
      </c>
      <c r="F2318" t="s">
        <v>101</v>
      </c>
    </row>
    <row r="2319" spans="1:8">
      <c r="A2319" t="s">
        <v>250</v>
      </c>
      <c r="B2319" t="s">
        <v>101</v>
      </c>
      <c r="C2319">
        <v>59</v>
      </c>
      <c r="D2319" t="s">
        <v>17559</v>
      </c>
      <c r="E2319" t="s">
        <v>17417</v>
      </c>
      <c r="F2319" t="s">
        <v>101</v>
      </c>
    </row>
    <row r="2320" spans="1:8">
      <c r="A2320" t="s">
        <v>250</v>
      </c>
      <c r="B2320" t="s">
        <v>101</v>
      </c>
      <c r="C2320">
        <v>59</v>
      </c>
      <c r="D2320" t="s">
        <v>17560</v>
      </c>
      <c r="E2320" t="s">
        <v>17561</v>
      </c>
      <c r="F2320" t="s">
        <v>101</v>
      </c>
    </row>
    <row r="2321" spans="1:8">
      <c r="A2321" t="s">
        <v>250</v>
      </c>
      <c r="B2321" t="s">
        <v>101</v>
      </c>
      <c r="C2321">
        <v>59</v>
      </c>
      <c r="D2321" t="s">
        <v>17562</v>
      </c>
      <c r="E2321" t="s">
        <v>13934</v>
      </c>
      <c r="F2321" t="s">
        <v>101</v>
      </c>
    </row>
    <row r="2322" spans="1:8">
      <c r="A2322" t="s">
        <v>250</v>
      </c>
      <c r="B2322" t="s">
        <v>101</v>
      </c>
      <c r="C2322">
        <v>59</v>
      </c>
      <c r="D2322" t="s">
        <v>17563</v>
      </c>
      <c r="E2322" t="s">
        <v>16833</v>
      </c>
      <c r="F2322" t="s">
        <v>16731</v>
      </c>
      <c r="G2322" t="s">
        <v>17502</v>
      </c>
    </row>
    <row r="2323" spans="1:8">
      <c r="A2323" t="s">
        <v>250</v>
      </c>
      <c r="B2323" t="s">
        <v>101</v>
      </c>
      <c r="C2323">
        <v>59</v>
      </c>
      <c r="D2323" t="s">
        <v>17564</v>
      </c>
      <c r="E2323" t="s">
        <v>17565</v>
      </c>
      <c r="F2323" t="s">
        <v>101</v>
      </c>
      <c r="G2323" t="s">
        <v>16771</v>
      </c>
      <c r="H2323" t="s">
        <v>16770</v>
      </c>
    </row>
    <row r="2324" spans="1:8">
      <c r="A2324" t="s">
        <v>250</v>
      </c>
      <c r="B2324" t="s">
        <v>101</v>
      </c>
      <c r="C2324">
        <v>59</v>
      </c>
      <c r="D2324" t="s">
        <v>17566</v>
      </c>
      <c r="E2324" t="s">
        <v>17567</v>
      </c>
      <c r="F2324" t="s">
        <v>101</v>
      </c>
      <c r="G2324" t="s">
        <v>17568</v>
      </c>
      <c r="H2324" t="s">
        <v>17569</v>
      </c>
    </row>
    <row r="2325" spans="1:8">
      <c r="A2325" t="s">
        <v>250</v>
      </c>
      <c r="B2325" t="s">
        <v>101</v>
      </c>
      <c r="C2325">
        <v>59</v>
      </c>
      <c r="D2325" t="s">
        <v>17570</v>
      </c>
      <c r="E2325" t="s">
        <v>14706</v>
      </c>
      <c r="F2325" t="s">
        <v>101</v>
      </c>
    </row>
    <row r="2326" spans="1:8">
      <c r="A2326" t="s">
        <v>250</v>
      </c>
      <c r="B2326" t="s">
        <v>101</v>
      </c>
      <c r="C2326">
        <v>59</v>
      </c>
      <c r="D2326" t="s">
        <v>17571</v>
      </c>
      <c r="E2326" t="s">
        <v>14706</v>
      </c>
      <c r="F2326" t="s">
        <v>101</v>
      </c>
    </row>
    <row r="2327" spans="1:8">
      <c r="A2327" t="s">
        <v>250</v>
      </c>
      <c r="B2327" t="s">
        <v>101</v>
      </c>
      <c r="C2327">
        <v>59</v>
      </c>
      <c r="D2327" t="s">
        <v>17572</v>
      </c>
      <c r="E2327" t="s">
        <v>13934</v>
      </c>
      <c r="F2327" t="s">
        <v>101</v>
      </c>
      <c r="G2327" t="s">
        <v>17573</v>
      </c>
      <c r="H2327" t="s">
        <v>17574</v>
      </c>
    </row>
    <row r="2328" spans="1:8">
      <c r="A2328" t="s">
        <v>250</v>
      </c>
      <c r="B2328" t="s">
        <v>101</v>
      </c>
      <c r="C2328">
        <v>59</v>
      </c>
      <c r="D2328" t="s">
        <v>17575</v>
      </c>
      <c r="E2328" t="s">
        <v>17576</v>
      </c>
      <c r="F2328" t="s">
        <v>101</v>
      </c>
      <c r="G2328" t="s">
        <v>17577</v>
      </c>
    </row>
    <row r="2329" spans="1:8">
      <c r="A2329" t="s">
        <v>250</v>
      </c>
      <c r="B2329" t="s">
        <v>101</v>
      </c>
      <c r="C2329">
        <v>59</v>
      </c>
      <c r="D2329" t="s">
        <v>17578</v>
      </c>
      <c r="E2329" t="s">
        <v>13934</v>
      </c>
      <c r="F2329" t="s">
        <v>101</v>
      </c>
    </row>
    <row r="2330" spans="1:8">
      <c r="A2330" t="s">
        <v>250</v>
      </c>
      <c r="B2330" t="s">
        <v>101</v>
      </c>
      <c r="C2330">
        <v>59</v>
      </c>
      <c r="D2330" t="s">
        <v>17579</v>
      </c>
      <c r="E2330" t="s">
        <v>17580</v>
      </c>
      <c r="F2330" t="s">
        <v>101</v>
      </c>
      <c r="G2330" t="s">
        <v>17581</v>
      </c>
      <c r="H2330" t="s">
        <v>16537</v>
      </c>
    </row>
    <row r="2331" spans="1:8">
      <c r="A2331" t="s">
        <v>250</v>
      </c>
      <c r="B2331" t="s">
        <v>101</v>
      </c>
      <c r="C2331">
        <v>59</v>
      </c>
      <c r="D2331" t="s">
        <v>17582</v>
      </c>
      <c r="E2331" t="s">
        <v>17583</v>
      </c>
      <c r="F2331" t="s">
        <v>101</v>
      </c>
    </row>
    <row r="2332" spans="1:8">
      <c r="A2332" t="s">
        <v>250</v>
      </c>
      <c r="B2332" t="s">
        <v>101</v>
      </c>
      <c r="C2332">
        <v>59</v>
      </c>
      <c r="D2332" t="s">
        <v>17584</v>
      </c>
      <c r="F2332" t="s">
        <v>101</v>
      </c>
    </row>
    <row r="2333" spans="1:8">
      <c r="A2333" t="s">
        <v>250</v>
      </c>
      <c r="B2333" t="s">
        <v>101</v>
      </c>
      <c r="C2333">
        <v>59</v>
      </c>
      <c r="D2333" t="s">
        <v>17585</v>
      </c>
      <c r="E2333" t="s">
        <v>17586</v>
      </c>
      <c r="F2333" t="s">
        <v>101</v>
      </c>
      <c r="G2333" t="s">
        <v>16944</v>
      </c>
      <c r="H2333" t="s">
        <v>16943</v>
      </c>
    </row>
    <row r="2334" spans="1:8">
      <c r="A2334" t="s">
        <v>250</v>
      </c>
      <c r="B2334" t="s">
        <v>101</v>
      </c>
      <c r="C2334">
        <v>59</v>
      </c>
      <c r="D2334" t="s">
        <v>17587</v>
      </c>
      <c r="E2334" t="s">
        <v>17588</v>
      </c>
      <c r="F2334" t="s">
        <v>101</v>
      </c>
      <c r="G2334" t="s">
        <v>17589</v>
      </c>
      <c r="H2334" t="s">
        <v>17590</v>
      </c>
    </row>
    <row r="2335" spans="1:8">
      <c r="A2335" t="s">
        <v>250</v>
      </c>
      <c r="B2335" t="s">
        <v>101</v>
      </c>
      <c r="C2335">
        <v>59</v>
      </c>
      <c r="D2335" t="s">
        <v>17591</v>
      </c>
      <c r="E2335" t="s">
        <v>17592</v>
      </c>
      <c r="F2335" t="s">
        <v>101</v>
      </c>
    </row>
    <row r="2336" spans="1:8">
      <c r="A2336" t="s">
        <v>250</v>
      </c>
      <c r="B2336" t="s">
        <v>101</v>
      </c>
      <c r="C2336">
        <v>59</v>
      </c>
      <c r="D2336" t="s">
        <v>17593</v>
      </c>
      <c r="E2336" t="s">
        <v>17594</v>
      </c>
      <c r="F2336" t="s">
        <v>16816</v>
      </c>
    </row>
    <row r="2337" spans="1:8">
      <c r="A2337" t="s">
        <v>250</v>
      </c>
      <c r="B2337" t="s">
        <v>101</v>
      </c>
      <c r="C2337">
        <v>59</v>
      </c>
      <c r="D2337" t="s">
        <v>17595</v>
      </c>
      <c r="E2337" t="s">
        <v>17596</v>
      </c>
      <c r="F2337" t="s">
        <v>101</v>
      </c>
    </row>
    <row r="2338" spans="1:8">
      <c r="A2338" t="s">
        <v>250</v>
      </c>
      <c r="B2338" t="s">
        <v>101</v>
      </c>
      <c r="C2338">
        <v>59</v>
      </c>
      <c r="D2338" t="s">
        <v>17597</v>
      </c>
      <c r="E2338" t="s">
        <v>17598</v>
      </c>
      <c r="F2338" t="s">
        <v>101</v>
      </c>
    </row>
    <row r="2339" spans="1:8">
      <c r="A2339" t="s">
        <v>250</v>
      </c>
      <c r="B2339" t="s">
        <v>101</v>
      </c>
      <c r="C2339">
        <v>59</v>
      </c>
      <c r="D2339" t="s">
        <v>17599</v>
      </c>
      <c r="E2339" t="s">
        <v>17600</v>
      </c>
      <c r="F2339" t="s">
        <v>101</v>
      </c>
    </row>
    <row r="2340" spans="1:8">
      <c r="A2340" t="s">
        <v>250</v>
      </c>
      <c r="B2340" t="s">
        <v>101</v>
      </c>
      <c r="C2340">
        <v>59</v>
      </c>
      <c r="D2340" t="s">
        <v>17601</v>
      </c>
      <c r="E2340" t="s">
        <v>17602</v>
      </c>
      <c r="F2340" t="s">
        <v>101</v>
      </c>
    </row>
    <row r="2341" spans="1:8">
      <c r="A2341" t="s">
        <v>250</v>
      </c>
      <c r="B2341" t="s">
        <v>101</v>
      </c>
      <c r="C2341">
        <v>59</v>
      </c>
      <c r="D2341" t="s">
        <v>17603</v>
      </c>
      <c r="E2341" t="s">
        <v>17604</v>
      </c>
      <c r="F2341" t="s">
        <v>101</v>
      </c>
      <c r="G2341" t="s">
        <v>16817</v>
      </c>
      <c r="H2341" t="s">
        <v>16818</v>
      </c>
    </row>
    <row r="2342" spans="1:8">
      <c r="A2342" t="s">
        <v>250</v>
      </c>
      <c r="B2342" t="s">
        <v>101</v>
      </c>
      <c r="C2342">
        <v>59</v>
      </c>
      <c r="D2342" t="s">
        <v>17605</v>
      </c>
      <c r="E2342" t="s">
        <v>17606</v>
      </c>
      <c r="F2342" t="s">
        <v>101</v>
      </c>
    </row>
    <row r="2343" spans="1:8">
      <c r="A2343" t="s">
        <v>250</v>
      </c>
      <c r="B2343" t="s">
        <v>101</v>
      </c>
      <c r="C2343">
        <v>59</v>
      </c>
      <c r="D2343" t="s">
        <v>17607</v>
      </c>
      <c r="E2343" t="s">
        <v>13934</v>
      </c>
      <c r="F2343" t="s">
        <v>101</v>
      </c>
    </row>
    <row r="2344" spans="1:8">
      <c r="A2344" t="s">
        <v>238</v>
      </c>
      <c r="B2344" t="s">
        <v>77</v>
      </c>
      <c r="C2344">
        <v>60</v>
      </c>
      <c r="D2344" t="s">
        <v>6739</v>
      </c>
      <c r="E2344" t="s">
        <v>6740</v>
      </c>
      <c r="F2344" t="s">
        <v>77</v>
      </c>
      <c r="G2344" t="s">
        <v>6741</v>
      </c>
      <c r="H2344" t="s">
        <v>6742</v>
      </c>
    </row>
    <row r="2345" spans="1:8">
      <c r="A2345" t="s">
        <v>243</v>
      </c>
      <c r="B2345" t="s">
        <v>77</v>
      </c>
      <c r="C2345">
        <v>60</v>
      </c>
      <c r="D2345" t="s">
        <v>6743</v>
      </c>
      <c r="E2345" t="s">
        <v>6744</v>
      </c>
      <c r="F2345" t="s">
        <v>77</v>
      </c>
      <c r="H2345" t="s">
        <v>6745</v>
      </c>
    </row>
    <row r="2346" spans="1:8">
      <c r="A2346" t="s">
        <v>241</v>
      </c>
      <c r="B2346" t="s">
        <v>77</v>
      </c>
      <c r="C2346">
        <v>60</v>
      </c>
      <c r="D2346" t="s">
        <v>6746</v>
      </c>
      <c r="E2346" t="s">
        <v>6747</v>
      </c>
      <c r="H2346" t="s">
        <v>6748</v>
      </c>
    </row>
    <row r="2347" spans="1:8">
      <c r="A2347" t="s">
        <v>242</v>
      </c>
      <c r="B2347" t="s">
        <v>77</v>
      </c>
      <c r="C2347">
        <v>60</v>
      </c>
      <c r="D2347" t="s">
        <v>6749</v>
      </c>
      <c r="E2347" t="s">
        <v>6750</v>
      </c>
      <c r="F2347" t="s">
        <v>77</v>
      </c>
      <c r="G2347" t="s">
        <v>6751</v>
      </c>
      <c r="H2347" t="s">
        <v>6752</v>
      </c>
    </row>
    <row r="2348" spans="1:8">
      <c r="A2348" t="s">
        <v>241</v>
      </c>
      <c r="B2348" t="s">
        <v>77</v>
      </c>
      <c r="C2348">
        <v>60</v>
      </c>
      <c r="D2348" t="s">
        <v>6753</v>
      </c>
      <c r="E2348" t="s">
        <v>6754</v>
      </c>
      <c r="F2348" t="s">
        <v>77</v>
      </c>
      <c r="G2348" t="s">
        <v>6755</v>
      </c>
      <c r="H2348" t="s">
        <v>6756</v>
      </c>
    </row>
    <row r="2349" spans="1:8">
      <c r="A2349" t="s">
        <v>242</v>
      </c>
      <c r="B2349" t="s">
        <v>77</v>
      </c>
      <c r="C2349">
        <v>60</v>
      </c>
      <c r="D2349" t="s">
        <v>6757</v>
      </c>
      <c r="E2349" t="s">
        <v>6758</v>
      </c>
      <c r="F2349" t="s">
        <v>77</v>
      </c>
      <c r="G2349" t="s">
        <v>6759</v>
      </c>
      <c r="H2349" t="s">
        <v>6760</v>
      </c>
    </row>
    <row r="2350" spans="1:8">
      <c r="A2350" t="s">
        <v>240</v>
      </c>
      <c r="B2350" t="s">
        <v>77</v>
      </c>
      <c r="C2350">
        <v>60</v>
      </c>
      <c r="D2350" t="s">
        <v>6761</v>
      </c>
      <c r="E2350" t="s">
        <v>6762</v>
      </c>
      <c r="F2350" t="s">
        <v>77</v>
      </c>
      <c r="G2350" t="s">
        <v>6763</v>
      </c>
      <c r="H2350" t="s">
        <v>6764</v>
      </c>
    </row>
    <row r="2351" spans="1:8">
      <c r="A2351" t="s">
        <v>241</v>
      </c>
      <c r="B2351" t="s">
        <v>77</v>
      </c>
      <c r="C2351">
        <v>60</v>
      </c>
      <c r="D2351" t="s">
        <v>6765</v>
      </c>
      <c r="E2351" t="s">
        <v>6766</v>
      </c>
      <c r="F2351" t="s">
        <v>6767</v>
      </c>
      <c r="G2351" t="s">
        <v>6768</v>
      </c>
      <c r="H2351" t="s">
        <v>6769</v>
      </c>
    </row>
    <row r="2352" spans="1:8">
      <c r="A2352" t="s">
        <v>241</v>
      </c>
      <c r="B2352" t="s">
        <v>77</v>
      </c>
      <c r="C2352">
        <v>60</v>
      </c>
      <c r="D2352" t="s">
        <v>6770</v>
      </c>
      <c r="E2352" t="s">
        <v>6771</v>
      </c>
      <c r="F2352" t="s">
        <v>77</v>
      </c>
      <c r="H2352" t="s">
        <v>6772</v>
      </c>
    </row>
    <row r="2353" spans="1:8">
      <c r="A2353" t="s">
        <v>241</v>
      </c>
      <c r="B2353" t="s">
        <v>77</v>
      </c>
      <c r="C2353">
        <v>60</v>
      </c>
      <c r="D2353" t="s">
        <v>6773</v>
      </c>
      <c r="E2353" t="s">
        <v>6774</v>
      </c>
      <c r="F2353" t="s">
        <v>77</v>
      </c>
      <c r="H2353" t="s">
        <v>6775</v>
      </c>
    </row>
    <row r="2354" spans="1:8">
      <c r="A2354" t="s">
        <v>240</v>
      </c>
      <c r="B2354" t="s">
        <v>164</v>
      </c>
      <c r="C2354">
        <v>61</v>
      </c>
      <c r="D2354" t="s">
        <v>430</v>
      </c>
      <c r="E2354" t="s">
        <v>431</v>
      </c>
      <c r="F2354" t="s">
        <v>164</v>
      </c>
      <c r="G2354" t="s">
        <v>432</v>
      </c>
      <c r="H2354" t="s">
        <v>433</v>
      </c>
    </row>
    <row r="2355" spans="1:8">
      <c r="A2355" t="s">
        <v>240</v>
      </c>
      <c r="B2355" t="s">
        <v>164</v>
      </c>
      <c r="C2355">
        <v>61</v>
      </c>
      <c r="D2355" t="s">
        <v>434</v>
      </c>
      <c r="E2355" t="s">
        <v>435</v>
      </c>
      <c r="F2355" t="s">
        <v>164</v>
      </c>
      <c r="G2355" t="s">
        <v>436</v>
      </c>
      <c r="H2355" t="s">
        <v>437</v>
      </c>
    </row>
    <row r="2356" spans="1:8">
      <c r="A2356" t="s">
        <v>241</v>
      </c>
      <c r="B2356" t="s">
        <v>164</v>
      </c>
      <c r="C2356">
        <v>61</v>
      </c>
      <c r="D2356" t="s">
        <v>438</v>
      </c>
      <c r="E2356" t="s">
        <v>439</v>
      </c>
      <c r="F2356" t="s">
        <v>164</v>
      </c>
      <c r="G2356" t="s">
        <v>440</v>
      </c>
      <c r="H2356" t="s">
        <v>441</v>
      </c>
    </row>
    <row r="2357" spans="1:8">
      <c r="A2357" t="s">
        <v>241</v>
      </c>
      <c r="B2357" t="s">
        <v>164</v>
      </c>
      <c r="C2357">
        <v>61</v>
      </c>
      <c r="D2357" t="s">
        <v>442</v>
      </c>
      <c r="E2357" t="s">
        <v>443</v>
      </c>
      <c r="F2357" t="s">
        <v>164</v>
      </c>
      <c r="G2357" t="s">
        <v>444</v>
      </c>
      <c r="H2357" t="s">
        <v>445</v>
      </c>
    </row>
    <row r="2358" spans="1:8">
      <c r="A2358" t="s">
        <v>241</v>
      </c>
      <c r="B2358" t="s">
        <v>164</v>
      </c>
      <c r="C2358">
        <v>61</v>
      </c>
      <c r="D2358" t="s">
        <v>446</v>
      </c>
      <c r="E2358" t="s">
        <v>447</v>
      </c>
      <c r="F2358" t="s">
        <v>164</v>
      </c>
      <c r="G2358" t="s">
        <v>448</v>
      </c>
      <c r="H2358" t="s">
        <v>449</v>
      </c>
    </row>
    <row r="2359" spans="1:8">
      <c r="A2359" t="s">
        <v>241</v>
      </c>
      <c r="B2359" t="s">
        <v>164</v>
      </c>
      <c r="C2359">
        <v>61</v>
      </c>
      <c r="D2359" t="s">
        <v>450</v>
      </c>
      <c r="E2359" t="s">
        <v>451</v>
      </c>
      <c r="H2359" t="s">
        <v>452</v>
      </c>
    </row>
    <row r="2360" spans="1:8">
      <c r="A2360" t="s">
        <v>241</v>
      </c>
      <c r="B2360" t="s">
        <v>164</v>
      </c>
      <c r="C2360">
        <v>61</v>
      </c>
      <c r="D2360" t="s">
        <v>453</v>
      </c>
      <c r="E2360" t="s">
        <v>454</v>
      </c>
      <c r="G2360" t="s">
        <v>455</v>
      </c>
      <c r="H2360" t="s">
        <v>456</v>
      </c>
    </row>
    <row r="2361" spans="1:8">
      <c r="A2361" t="s">
        <v>240</v>
      </c>
      <c r="B2361" t="s">
        <v>164</v>
      </c>
      <c r="C2361">
        <v>61</v>
      </c>
      <c r="D2361" t="s">
        <v>457</v>
      </c>
      <c r="E2361" t="s">
        <v>458</v>
      </c>
      <c r="H2361" t="s">
        <v>459</v>
      </c>
    </row>
    <row r="2362" spans="1:8">
      <c r="A2362" t="s">
        <v>238</v>
      </c>
      <c r="B2362" t="s">
        <v>164</v>
      </c>
      <c r="C2362">
        <v>61</v>
      </c>
      <c r="D2362" t="s">
        <v>460</v>
      </c>
      <c r="F2362" t="s">
        <v>164</v>
      </c>
      <c r="H2362" t="s">
        <v>461</v>
      </c>
    </row>
    <row r="2363" spans="1:8">
      <c r="A2363" t="s">
        <v>242</v>
      </c>
      <c r="B2363" t="s">
        <v>164</v>
      </c>
      <c r="C2363">
        <v>61</v>
      </c>
      <c r="D2363" t="s">
        <v>462</v>
      </c>
      <c r="E2363" t="s">
        <v>463</v>
      </c>
      <c r="F2363" t="s">
        <v>164</v>
      </c>
      <c r="G2363" t="s">
        <v>464</v>
      </c>
      <c r="H2363" t="s">
        <v>465</v>
      </c>
    </row>
    <row r="2364" spans="1:8">
      <c r="A2364" t="s">
        <v>241</v>
      </c>
      <c r="B2364" t="s">
        <v>164</v>
      </c>
      <c r="C2364">
        <v>61</v>
      </c>
      <c r="D2364" t="s">
        <v>466</v>
      </c>
      <c r="E2364" t="s">
        <v>467</v>
      </c>
      <c r="F2364" t="s">
        <v>164</v>
      </c>
      <c r="H2364" t="s">
        <v>468</v>
      </c>
    </row>
    <row r="2365" spans="1:8">
      <c r="A2365" t="s">
        <v>241</v>
      </c>
      <c r="B2365" t="s">
        <v>164</v>
      </c>
      <c r="C2365">
        <v>61</v>
      </c>
      <c r="D2365" t="s">
        <v>469</v>
      </c>
      <c r="E2365" t="s">
        <v>470</v>
      </c>
      <c r="F2365" t="s">
        <v>164</v>
      </c>
      <c r="G2365" t="s">
        <v>471</v>
      </c>
      <c r="H2365" t="s">
        <v>472</v>
      </c>
    </row>
    <row r="2366" spans="1:8">
      <c r="A2366" t="s">
        <v>241</v>
      </c>
      <c r="B2366" t="s">
        <v>164</v>
      </c>
      <c r="C2366">
        <v>61</v>
      </c>
      <c r="D2366" t="s">
        <v>473</v>
      </c>
      <c r="E2366" t="s">
        <v>474</v>
      </c>
      <c r="F2366" t="s">
        <v>164</v>
      </c>
      <c r="G2366" t="s">
        <v>475</v>
      </c>
      <c r="H2366" t="s">
        <v>476</v>
      </c>
    </row>
    <row r="2367" spans="1:8">
      <c r="A2367" t="s">
        <v>241</v>
      </c>
      <c r="B2367" t="s">
        <v>164</v>
      </c>
      <c r="C2367">
        <v>61</v>
      </c>
      <c r="D2367" t="s">
        <v>477</v>
      </c>
      <c r="E2367" t="s">
        <v>478</v>
      </c>
      <c r="G2367" t="s">
        <v>479</v>
      </c>
      <c r="H2367" t="s">
        <v>480</v>
      </c>
    </row>
    <row r="2368" spans="1:8">
      <c r="A2368" t="s">
        <v>241</v>
      </c>
      <c r="B2368" t="s">
        <v>164</v>
      </c>
      <c r="C2368">
        <v>61</v>
      </c>
      <c r="D2368" t="s">
        <v>481</v>
      </c>
      <c r="E2368" t="s">
        <v>482</v>
      </c>
      <c r="G2368" t="s">
        <v>483</v>
      </c>
      <c r="H2368" t="s">
        <v>484</v>
      </c>
    </row>
    <row r="2369" spans="1:8">
      <c r="A2369" t="s">
        <v>241</v>
      </c>
      <c r="B2369" t="s">
        <v>164</v>
      </c>
      <c r="C2369">
        <v>61</v>
      </c>
      <c r="D2369" t="s">
        <v>485</v>
      </c>
      <c r="E2369" t="s">
        <v>486</v>
      </c>
      <c r="F2369" t="s">
        <v>164</v>
      </c>
      <c r="G2369" t="s">
        <v>487</v>
      </c>
      <c r="H2369" t="s">
        <v>488</v>
      </c>
    </row>
    <row r="2370" spans="1:8">
      <c r="A2370" t="s">
        <v>241</v>
      </c>
      <c r="B2370" t="s">
        <v>164</v>
      </c>
      <c r="C2370">
        <v>61</v>
      </c>
      <c r="D2370" t="s">
        <v>489</v>
      </c>
      <c r="E2370" t="s">
        <v>490</v>
      </c>
      <c r="F2370" t="s">
        <v>164</v>
      </c>
      <c r="H2370" t="s">
        <v>491</v>
      </c>
    </row>
    <row r="2371" spans="1:8">
      <c r="A2371" t="s">
        <v>241</v>
      </c>
      <c r="B2371" t="s">
        <v>164</v>
      </c>
      <c r="C2371">
        <v>61</v>
      </c>
      <c r="D2371" t="s">
        <v>492</v>
      </c>
      <c r="E2371" t="s">
        <v>493</v>
      </c>
      <c r="F2371" t="s">
        <v>164</v>
      </c>
      <c r="G2371" t="s">
        <v>494</v>
      </c>
      <c r="H2371" t="s">
        <v>495</v>
      </c>
    </row>
    <row r="2372" spans="1:8">
      <c r="A2372" t="s">
        <v>241</v>
      </c>
      <c r="B2372" t="s">
        <v>164</v>
      </c>
      <c r="C2372">
        <v>61</v>
      </c>
      <c r="D2372" t="s">
        <v>496</v>
      </c>
      <c r="E2372" t="s">
        <v>497</v>
      </c>
      <c r="F2372" t="s">
        <v>164</v>
      </c>
    </row>
    <row r="2373" spans="1:8">
      <c r="A2373" t="s">
        <v>238</v>
      </c>
      <c r="B2373" t="s">
        <v>33</v>
      </c>
      <c r="C2373">
        <v>61</v>
      </c>
      <c r="D2373" t="s">
        <v>10246</v>
      </c>
      <c r="E2373" t="s">
        <v>10247</v>
      </c>
      <c r="F2373" t="s">
        <v>10248</v>
      </c>
      <c r="G2373" t="s">
        <v>10249</v>
      </c>
      <c r="H2373" t="s">
        <v>10250</v>
      </c>
    </row>
    <row r="2374" spans="1:8">
      <c r="A2374" t="s">
        <v>242</v>
      </c>
      <c r="B2374" t="s">
        <v>33</v>
      </c>
      <c r="C2374">
        <v>61</v>
      </c>
      <c r="D2374" t="s">
        <v>10251</v>
      </c>
      <c r="E2374" t="s">
        <v>10252</v>
      </c>
      <c r="G2374" t="s">
        <v>10253</v>
      </c>
      <c r="H2374" t="s">
        <v>10254</v>
      </c>
    </row>
    <row r="2375" spans="1:8">
      <c r="A2375" t="s">
        <v>241</v>
      </c>
      <c r="B2375" t="s">
        <v>33</v>
      </c>
      <c r="C2375">
        <v>61</v>
      </c>
      <c r="D2375" t="s">
        <v>10255</v>
      </c>
      <c r="E2375" t="s">
        <v>10256</v>
      </c>
      <c r="H2375" t="s">
        <v>10257</v>
      </c>
    </row>
    <row r="2376" spans="1:8">
      <c r="A2376" t="s">
        <v>241</v>
      </c>
      <c r="B2376" t="s">
        <v>33</v>
      </c>
      <c r="C2376">
        <v>61</v>
      </c>
      <c r="D2376" t="s">
        <v>5143</v>
      </c>
      <c r="E2376" t="s">
        <v>10258</v>
      </c>
      <c r="F2376" t="s">
        <v>10259</v>
      </c>
      <c r="H2376" t="s">
        <v>10260</v>
      </c>
    </row>
    <row r="2377" spans="1:8">
      <c r="A2377" t="s">
        <v>239</v>
      </c>
      <c r="B2377" t="s">
        <v>33</v>
      </c>
      <c r="C2377">
        <v>61</v>
      </c>
      <c r="D2377" t="s">
        <v>10261</v>
      </c>
      <c r="E2377" t="s">
        <v>10262</v>
      </c>
      <c r="H2377" t="s">
        <v>5374</v>
      </c>
    </row>
    <row r="2378" spans="1:8">
      <c r="A2378" t="s">
        <v>242</v>
      </c>
      <c r="B2378" t="s">
        <v>33</v>
      </c>
      <c r="C2378">
        <v>61</v>
      </c>
      <c r="D2378" t="s">
        <v>10263</v>
      </c>
      <c r="F2378" t="s">
        <v>33</v>
      </c>
      <c r="H2378" t="s">
        <v>10264</v>
      </c>
    </row>
    <row r="2379" spans="1:8">
      <c r="A2379" t="s">
        <v>238</v>
      </c>
      <c r="B2379" t="s">
        <v>33</v>
      </c>
      <c r="C2379">
        <v>61</v>
      </c>
      <c r="D2379" t="s">
        <v>10265</v>
      </c>
      <c r="E2379" t="s">
        <v>10266</v>
      </c>
      <c r="F2379" t="s">
        <v>10267</v>
      </c>
      <c r="G2379" t="s">
        <v>10268</v>
      </c>
      <c r="H2379" t="s">
        <v>10269</v>
      </c>
    </row>
    <row r="2380" spans="1:8">
      <c r="A2380" t="s">
        <v>242</v>
      </c>
      <c r="B2380" t="s">
        <v>33</v>
      </c>
      <c r="C2380">
        <v>61</v>
      </c>
      <c r="D2380" t="s">
        <v>10270</v>
      </c>
      <c r="E2380" t="s">
        <v>10271</v>
      </c>
      <c r="F2380" t="s">
        <v>33</v>
      </c>
      <c r="G2380" t="s">
        <v>10272</v>
      </c>
    </row>
    <row r="2381" spans="1:8">
      <c r="A2381" t="s">
        <v>241</v>
      </c>
      <c r="B2381" t="s">
        <v>97</v>
      </c>
      <c r="C2381">
        <v>61</v>
      </c>
      <c r="D2381" t="s">
        <v>15758</v>
      </c>
      <c r="E2381" t="s">
        <v>15759</v>
      </c>
      <c r="H2381" t="s">
        <v>15760</v>
      </c>
    </row>
    <row r="2382" spans="1:8">
      <c r="A2382" t="s">
        <v>241</v>
      </c>
      <c r="B2382" t="s">
        <v>97</v>
      </c>
      <c r="C2382">
        <v>61</v>
      </c>
      <c r="D2382" t="s">
        <v>15761</v>
      </c>
      <c r="E2382" t="s">
        <v>15762</v>
      </c>
      <c r="H2382" t="s">
        <v>15763</v>
      </c>
    </row>
    <row r="2383" spans="1:8">
      <c r="A2383" t="s">
        <v>242</v>
      </c>
      <c r="B2383" t="s">
        <v>97</v>
      </c>
      <c r="C2383">
        <v>61</v>
      </c>
      <c r="D2383" t="s">
        <v>15764</v>
      </c>
      <c r="E2383" t="s">
        <v>15765</v>
      </c>
      <c r="G2383" t="s">
        <v>15766</v>
      </c>
      <c r="H2383" t="s">
        <v>15767</v>
      </c>
    </row>
    <row r="2384" spans="1:8">
      <c r="A2384" t="s">
        <v>242</v>
      </c>
      <c r="B2384" t="s">
        <v>97</v>
      </c>
      <c r="C2384">
        <v>61</v>
      </c>
      <c r="D2384" t="s">
        <v>15768</v>
      </c>
      <c r="E2384" t="s">
        <v>15769</v>
      </c>
      <c r="F2384" t="s">
        <v>97</v>
      </c>
      <c r="G2384" t="s">
        <v>15770</v>
      </c>
      <c r="H2384" t="s">
        <v>15771</v>
      </c>
    </row>
    <row r="2385" spans="1:8">
      <c r="A2385" t="s">
        <v>240</v>
      </c>
      <c r="B2385" t="s">
        <v>97</v>
      </c>
      <c r="C2385">
        <v>61</v>
      </c>
      <c r="D2385" t="s">
        <v>15772</v>
      </c>
      <c r="E2385" t="s">
        <v>15773</v>
      </c>
      <c r="F2385" t="s">
        <v>97</v>
      </c>
      <c r="G2385" t="s">
        <v>15774</v>
      </c>
      <c r="H2385" t="s">
        <v>15775</v>
      </c>
    </row>
    <row r="2386" spans="1:8">
      <c r="A2386" t="s">
        <v>239</v>
      </c>
      <c r="B2386" t="s">
        <v>97</v>
      </c>
      <c r="C2386">
        <v>61</v>
      </c>
      <c r="D2386" t="s">
        <v>15776</v>
      </c>
      <c r="E2386" t="s">
        <v>15777</v>
      </c>
      <c r="F2386" t="s">
        <v>97</v>
      </c>
      <c r="H2386" t="s">
        <v>15778</v>
      </c>
    </row>
    <row r="2387" spans="1:8">
      <c r="A2387" t="s">
        <v>242</v>
      </c>
      <c r="B2387" t="s">
        <v>97</v>
      </c>
      <c r="C2387">
        <v>61</v>
      </c>
      <c r="D2387" t="s">
        <v>15779</v>
      </c>
      <c r="E2387" t="s">
        <v>15780</v>
      </c>
      <c r="F2387" t="s">
        <v>97</v>
      </c>
      <c r="G2387" t="s">
        <v>15781</v>
      </c>
      <c r="H2387" t="s">
        <v>15782</v>
      </c>
    </row>
    <row r="2388" spans="1:8">
      <c r="A2388" t="s">
        <v>241</v>
      </c>
      <c r="B2388" t="s">
        <v>97</v>
      </c>
      <c r="C2388">
        <v>61</v>
      </c>
      <c r="D2388" t="s">
        <v>15783</v>
      </c>
      <c r="E2388" t="s">
        <v>15784</v>
      </c>
      <c r="G2388" t="s">
        <v>15785</v>
      </c>
      <c r="H2388" t="s">
        <v>15786</v>
      </c>
    </row>
    <row r="2389" spans="1:8">
      <c r="A2389" t="s">
        <v>241</v>
      </c>
      <c r="B2389" t="s">
        <v>211</v>
      </c>
      <c r="C2389">
        <v>62</v>
      </c>
      <c r="D2389" t="s">
        <v>9720</v>
      </c>
      <c r="E2389" t="s">
        <v>9721</v>
      </c>
      <c r="F2389" t="s">
        <v>211</v>
      </c>
    </row>
    <row r="2390" spans="1:8">
      <c r="A2390" t="s">
        <v>241</v>
      </c>
      <c r="B2390" t="s">
        <v>211</v>
      </c>
      <c r="C2390">
        <v>62</v>
      </c>
      <c r="D2390" t="s">
        <v>9722</v>
      </c>
      <c r="E2390" t="s">
        <v>9723</v>
      </c>
      <c r="F2390" t="s">
        <v>211</v>
      </c>
      <c r="G2390" t="s">
        <v>9724</v>
      </c>
      <c r="H2390" t="s">
        <v>9725</v>
      </c>
    </row>
    <row r="2391" spans="1:8">
      <c r="A2391" t="s">
        <v>241</v>
      </c>
      <c r="B2391" t="s">
        <v>211</v>
      </c>
      <c r="C2391">
        <v>62</v>
      </c>
      <c r="D2391" t="s">
        <v>9726</v>
      </c>
      <c r="E2391" t="s">
        <v>9727</v>
      </c>
      <c r="F2391" t="s">
        <v>211</v>
      </c>
      <c r="H2391" t="s">
        <v>9728</v>
      </c>
    </row>
    <row r="2392" spans="1:8">
      <c r="A2392" t="s">
        <v>242</v>
      </c>
      <c r="B2392" t="s">
        <v>211</v>
      </c>
      <c r="C2392">
        <v>62</v>
      </c>
      <c r="D2392" t="s">
        <v>9729</v>
      </c>
      <c r="E2392" t="s">
        <v>9730</v>
      </c>
      <c r="F2392" t="s">
        <v>211</v>
      </c>
      <c r="G2392" t="s">
        <v>9731</v>
      </c>
      <c r="H2392" t="s">
        <v>9732</v>
      </c>
    </row>
    <row r="2393" spans="1:8">
      <c r="A2393" t="s">
        <v>241</v>
      </c>
      <c r="B2393" t="s">
        <v>211</v>
      </c>
      <c r="C2393">
        <v>62</v>
      </c>
      <c r="D2393" t="s">
        <v>8298</v>
      </c>
      <c r="E2393" t="s">
        <v>9733</v>
      </c>
      <c r="H2393" t="s">
        <v>9734</v>
      </c>
    </row>
    <row r="2394" spans="1:8">
      <c r="A2394" t="s">
        <v>242</v>
      </c>
      <c r="B2394" t="s">
        <v>211</v>
      </c>
      <c r="C2394">
        <v>62</v>
      </c>
      <c r="D2394" t="s">
        <v>9735</v>
      </c>
      <c r="E2394" t="s">
        <v>9736</v>
      </c>
      <c r="F2394" t="s">
        <v>211</v>
      </c>
      <c r="G2394" t="s">
        <v>9737</v>
      </c>
      <c r="H2394" t="s">
        <v>9738</v>
      </c>
    </row>
    <row r="2395" spans="1:8">
      <c r="A2395" t="s">
        <v>242</v>
      </c>
      <c r="B2395" t="s">
        <v>211</v>
      </c>
      <c r="C2395">
        <v>62</v>
      </c>
      <c r="D2395" t="s">
        <v>9739</v>
      </c>
      <c r="E2395" t="s">
        <v>9740</v>
      </c>
      <c r="H2395" t="s">
        <v>9741</v>
      </c>
    </row>
    <row r="2396" spans="1:8">
      <c r="A2396" t="s">
        <v>242</v>
      </c>
      <c r="B2396" t="s">
        <v>211</v>
      </c>
      <c r="C2396">
        <v>62</v>
      </c>
      <c r="D2396" t="s">
        <v>9742</v>
      </c>
      <c r="E2396" t="s">
        <v>9743</v>
      </c>
      <c r="F2396" t="s">
        <v>211</v>
      </c>
      <c r="H2396" t="s">
        <v>9744</v>
      </c>
    </row>
    <row r="2397" spans="1:8">
      <c r="A2397" t="s">
        <v>241</v>
      </c>
      <c r="B2397" t="s">
        <v>211</v>
      </c>
      <c r="C2397">
        <v>62</v>
      </c>
      <c r="D2397" t="s">
        <v>9745</v>
      </c>
      <c r="E2397" t="s">
        <v>9723</v>
      </c>
      <c r="F2397" t="s">
        <v>211</v>
      </c>
      <c r="G2397" t="s">
        <v>9724</v>
      </c>
      <c r="H2397" t="s">
        <v>9725</v>
      </c>
    </row>
    <row r="2398" spans="1:8">
      <c r="A2398" t="s">
        <v>241</v>
      </c>
      <c r="B2398" t="s">
        <v>211</v>
      </c>
      <c r="C2398">
        <v>62</v>
      </c>
      <c r="D2398" t="s">
        <v>9746</v>
      </c>
      <c r="E2398" t="s">
        <v>9747</v>
      </c>
      <c r="F2398" t="s">
        <v>211</v>
      </c>
    </row>
    <row r="2399" spans="1:8">
      <c r="A2399" t="s">
        <v>242</v>
      </c>
      <c r="B2399" t="s">
        <v>156</v>
      </c>
      <c r="C2399">
        <v>62</v>
      </c>
      <c r="D2399" t="s">
        <v>17762</v>
      </c>
      <c r="E2399" t="s">
        <v>17763</v>
      </c>
      <c r="F2399" t="s">
        <v>156</v>
      </c>
      <c r="G2399" t="s">
        <v>17764</v>
      </c>
      <c r="H2399" t="s">
        <v>17765</v>
      </c>
    </row>
    <row r="2400" spans="1:8">
      <c r="A2400" t="s">
        <v>239</v>
      </c>
      <c r="B2400" t="s">
        <v>156</v>
      </c>
      <c r="C2400">
        <v>62</v>
      </c>
      <c r="D2400" t="s">
        <v>17766</v>
      </c>
      <c r="E2400" t="s">
        <v>17767</v>
      </c>
      <c r="H2400" t="s">
        <v>17768</v>
      </c>
    </row>
    <row r="2401" spans="1:8">
      <c r="A2401" t="s">
        <v>241</v>
      </c>
      <c r="B2401" t="s">
        <v>156</v>
      </c>
      <c r="C2401">
        <v>62</v>
      </c>
      <c r="D2401" t="s">
        <v>17769</v>
      </c>
      <c r="E2401" t="s">
        <v>17770</v>
      </c>
      <c r="F2401" t="s">
        <v>156</v>
      </c>
      <c r="H2401" t="s">
        <v>17771</v>
      </c>
    </row>
    <row r="2402" spans="1:8">
      <c r="A2402" t="s">
        <v>242</v>
      </c>
      <c r="B2402" t="s">
        <v>156</v>
      </c>
      <c r="C2402">
        <v>62</v>
      </c>
      <c r="D2402" t="s">
        <v>17772</v>
      </c>
      <c r="E2402" t="s">
        <v>17773</v>
      </c>
      <c r="F2402" t="s">
        <v>156</v>
      </c>
      <c r="H2402" t="s">
        <v>17774</v>
      </c>
    </row>
    <row r="2403" spans="1:8">
      <c r="A2403" t="s">
        <v>242</v>
      </c>
      <c r="B2403" t="s">
        <v>156</v>
      </c>
      <c r="C2403">
        <v>62</v>
      </c>
      <c r="D2403" t="s">
        <v>17775</v>
      </c>
      <c r="E2403" t="s">
        <v>17776</v>
      </c>
      <c r="F2403" t="s">
        <v>156</v>
      </c>
      <c r="G2403" t="s">
        <v>17777</v>
      </c>
      <c r="H2403" t="s">
        <v>17778</v>
      </c>
    </row>
    <row r="2404" spans="1:8">
      <c r="A2404" t="s">
        <v>240</v>
      </c>
      <c r="B2404" t="s">
        <v>156</v>
      </c>
      <c r="C2404">
        <v>62</v>
      </c>
      <c r="D2404" t="s">
        <v>17779</v>
      </c>
      <c r="E2404" t="s">
        <v>17780</v>
      </c>
      <c r="F2404" t="s">
        <v>156</v>
      </c>
      <c r="G2404" t="s">
        <v>17781</v>
      </c>
      <c r="H2404" t="s">
        <v>17782</v>
      </c>
    </row>
    <row r="2405" spans="1:8">
      <c r="A2405" t="s">
        <v>242</v>
      </c>
      <c r="B2405" t="s">
        <v>156</v>
      </c>
      <c r="C2405">
        <v>62</v>
      </c>
      <c r="D2405" t="s">
        <v>17783</v>
      </c>
      <c r="E2405" t="s">
        <v>17784</v>
      </c>
      <c r="F2405" t="s">
        <v>156</v>
      </c>
      <c r="H2405" t="s">
        <v>17785</v>
      </c>
    </row>
    <row r="2406" spans="1:8">
      <c r="A2406" t="s">
        <v>238</v>
      </c>
      <c r="B2406" t="s">
        <v>156</v>
      </c>
      <c r="C2406">
        <v>62</v>
      </c>
      <c r="D2406" t="s">
        <v>17786</v>
      </c>
      <c r="E2406" t="s">
        <v>17787</v>
      </c>
      <c r="F2406" t="s">
        <v>156</v>
      </c>
      <c r="G2406" t="s">
        <v>17788</v>
      </c>
      <c r="H2406" t="s">
        <v>17789</v>
      </c>
    </row>
    <row r="2407" spans="1:8">
      <c r="A2407" t="s">
        <v>241</v>
      </c>
      <c r="B2407" t="s">
        <v>156</v>
      </c>
      <c r="C2407">
        <v>62</v>
      </c>
      <c r="D2407" t="s">
        <v>505</v>
      </c>
      <c r="E2407" t="s">
        <v>17790</v>
      </c>
      <c r="F2407" t="s">
        <v>17791</v>
      </c>
      <c r="G2407" t="s">
        <v>17792</v>
      </c>
      <c r="H2407" t="s">
        <v>17793</v>
      </c>
    </row>
    <row r="2408" spans="1:8">
      <c r="A2408" t="s">
        <v>240</v>
      </c>
      <c r="B2408" t="s">
        <v>156</v>
      </c>
      <c r="C2408">
        <v>62</v>
      </c>
      <c r="D2408" t="s">
        <v>17794</v>
      </c>
      <c r="E2408" t="s">
        <v>17795</v>
      </c>
      <c r="F2408" t="s">
        <v>156</v>
      </c>
      <c r="H2408" t="s">
        <v>17796</v>
      </c>
    </row>
    <row r="2409" spans="1:8">
      <c r="A2409" t="s">
        <v>241</v>
      </c>
      <c r="B2409" t="s">
        <v>159</v>
      </c>
      <c r="C2409">
        <v>63</v>
      </c>
      <c r="D2409" t="s">
        <v>18549</v>
      </c>
      <c r="E2409" t="s">
        <v>18550</v>
      </c>
      <c r="G2409" t="s">
        <v>6727</v>
      </c>
      <c r="H2409" t="s">
        <v>18551</v>
      </c>
    </row>
    <row r="2410" spans="1:8">
      <c r="A2410" t="s">
        <v>243</v>
      </c>
      <c r="B2410" t="s">
        <v>159</v>
      </c>
      <c r="C2410">
        <v>63</v>
      </c>
      <c r="D2410" t="s">
        <v>18552</v>
      </c>
      <c r="E2410" t="s">
        <v>18553</v>
      </c>
    </row>
    <row r="2411" spans="1:8">
      <c r="A2411" t="s">
        <v>240</v>
      </c>
      <c r="B2411" t="s">
        <v>159</v>
      </c>
      <c r="C2411">
        <v>63</v>
      </c>
      <c r="D2411" t="s">
        <v>18554</v>
      </c>
      <c r="E2411" t="s">
        <v>18555</v>
      </c>
      <c r="G2411" t="s">
        <v>18556</v>
      </c>
      <c r="H2411" t="s">
        <v>18557</v>
      </c>
    </row>
    <row r="2412" spans="1:8">
      <c r="A2412" t="s">
        <v>239</v>
      </c>
      <c r="B2412" t="s">
        <v>159</v>
      </c>
      <c r="C2412">
        <v>63</v>
      </c>
      <c r="D2412" t="s">
        <v>18558</v>
      </c>
      <c r="E2412" t="s">
        <v>18559</v>
      </c>
      <c r="H2412" t="s">
        <v>18560</v>
      </c>
    </row>
    <row r="2413" spans="1:8">
      <c r="A2413" t="s">
        <v>245</v>
      </c>
      <c r="B2413" t="s">
        <v>159</v>
      </c>
      <c r="C2413">
        <v>63</v>
      </c>
      <c r="D2413" t="s">
        <v>2397</v>
      </c>
      <c r="E2413" t="s">
        <v>18561</v>
      </c>
      <c r="G2413" t="s">
        <v>18556</v>
      </c>
      <c r="H2413" t="s">
        <v>18557</v>
      </c>
    </row>
    <row r="2414" spans="1:8">
      <c r="A2414" t="s">
        <v>242</v>
      </c>
      <c r="B2414" t="s">
        <v>159</v>
      </c>
      <c r="C2414">
        <v>63</v>
      </c>
      <c r="D2414" t="s">
        <v>18562</v>
      </c>
      <c r="E2414" t="s">
        <v>18563</v>
      </c>
      <c r="F2414" t="s">
        <v>18564</v>
      </c>
      <c r="G2414" t="s">
        <v>18565</v>
      </c>
      <c r="H2414" t="s">
        <v>18566</v>
      </c>
    </row>
    <row r="2415" spans="1:8">
      <c r="A2415" t="s">
        <v>242</v>
      </c>
      <c r="B2415" t="s">
        <v>159</v>
      </c>
      <c r="C2415">
        <v>63</v>
      </c>
      <c r="D2415" t="s">
        <v>18567</v>
      </c>
      <c r="E2415" t="s">
        <v>18568</v>
      </c>
      <c r="H2415" t="s">
        <v>18569</v>
      </c>
    </row>
    <row r="2416" spans="1:8">
      <c r="A2416" t="s">
        <v>239</v>
      </c>
      <c r="B2416" t="s">
        <v>159</v>
      </c>
      <c r="C2416">
        <v>63</v>
      </c>
      <c r="D2416" t="s">
        <v>18570</v>
      </c>
      <c r="E2416" t="s">
        <v>18571</v>
      </c>
      <c r="H2416" t="s">
        <v>18572</v>
      </c>
    </row>
    <row r="2417" spans="1:8">
      <c r="A2417" t="s">
        <v>242</v>
      </c>
      <c r="B2417" t="s">
        <v>159</v>
      </c>
      <c r="C2417">
        <v>63</v>
      </c>
      <c r="D2417" t="s">
        <v>18573</v>
      </c>
      <c r="E2417" t="s">
        <v>18574</v>
      </c>
      <c r="H2417" t="s">
        <v>18575</v>
      </c>
    </row>
    <row r="2418" spans="1:8">
      <c r="A2418" t="s">
        <v>241</v>
      </c>
      <c r="B2418" t="s">
        <v>159</v>
      </c>
      <c r="C2418">
        <v>63</v>
      </c>
      <c r="D2418" t="s">
        <v>18576</v>
      </c>
      <c r="E2418" t="s">
        <v>18577</v>
      </c>
      <c r="H2418" t="s">
        <v>18578</v>
      </c>
    </row>
    <row r="2419" spans="1:8">
      <c r="A2419" t="s">
        <v>239</v>
      </c>
      <c r="B2419" t="s">
        <v>159</v>
      </c>
      <c r="C2419">
        <v>63</v>
      </c>
      <c r="D2419" t="s">
        <v>18579</v>
      </c>
      <c r="E2419" t="s">
        <v>18580</v>
      </c>
      <c r="H2419" t="s">
        <v>18581</v>
      </c>
    </row>
    <row r="2420" spans="1:8">
      <c r="A2420" t="s">
        <v>239</v>
      </c>
      <c r="B2420" t="s">
        <v>159</v>
      </c>
      <c r="C2420">
        <v>63</v>
      </c>
      <c r="D2420" t="s">
        <v>18582</v>
      </c>
      <c r="E2420" t="s">
        <v>8401</v>
      </c>
      <c r="H2420" t="s">
        <v>18583</v>
      </c>
    </row>
    <row r="2421" spans="1:8">
      <c r="A2421" t="s">
        <v>241</v>
      </c>
      <c r="B2421" t="s">
        <v>159</v>
      </c>
      <c r="C2421">
        <v>63</v>
      </c>
      <c r="D2421" t="s">
        <v>18584</v>
      </c>
      <c r="E2421" t="s">
        <v>18585</v>
      </c>
      <c r="G2421" t="s">
        <v>18586</v>
      </c>
      <c r="H2421" t="s">
        <v>18587</v>
      </c>
    </row>
    <row r="2422" spans="1:8">
      <c r="A2422" t="s">
        <v>241</v>
      </c>
      <c r="B2422" t="s">
        <v>159</v>
      </c>
      <c r="C2422">
        <v>63</v>
      </c>
      <c r="D2422" t="s">
        <v>18588</v>
      </c>
      <c r="E2422" t="s">
        <v>18589</v>
      </c>
      <c r="G2422" t="s">
        <v>18590</v>
      </c>
      <c r="H2422" t="s">
        <v>18591</v>
      </c>
    </row>
    <row r="2423" spans="1:8">
      <c r="A2423" t="s">
        <v>242</v>
      </c>
      <c r="B2423" t="s">
        <v>159</v>
      </c>
      <c r="C2423">
        <v>63</v>
      </c>
      <c r="D2423" t="s">
        <v>18592</v>
      </c>
      <c r="E2423" t="s">
        <v>18593</v>
      </c>
      <c r="H2423" t="s">
        <v>18594</v>
      </c>
    </row>
    <row r="2424" spans="1:8">
      <c r="A2424" t="s">
        <v>242</v>
      </c>
      <c r="B2424" t="s">
        <v>159</v>
      </c>
      <c r="C2424">
        <v>63</v>
      </c>
      <c r="D2424" t="s">
        <v>18595</v>
      </c>
      <c r="E2424" t="s">
        <v>18596</v>
      </c>
      <c r="F2424" t="s">
        <v>159</v>
      </c>
      <c r="G2424" t="s">
        <v>18597</v>
      </c>
      <c r="H2424" t="s">
        <v>18598</v>
      </c>
    </row>
    <row r="2425" spans="1:8">
      <c r="A2425" t="s">
        <v>241</v>
      </c>
      <c r="B2425" t="s">
        <v>159</v>
      </c>
      <c r="C2425">
        <v>63</v>
      </c>
      <c r="D2425" t="s">
        <v>18599</v>
      </c>
      <c r="E2425" t="s">
        <v>18600</v>
      </c>
      <c r="F2425" t="s">
        <v>159</v>
      </c>
    </row>
    <row r="2426" spans="1:8">
      <c r="A2426" t="s">
        <v>242</v>
      </c>
      <c r="B2426" t="s">
        <v>159</v>
      </c>
      <c r="C2426">
        <v>63</v>
      </c>
      <c r="D2426" t="s">
        <v>18601</v>
      </c>
      <c r="E2426" t="s">
        <v>18602</v>
      </c>
      <c r="F2426" t="s">
        <v>159</v>
      </c>
    </row>
    <row r="2427" spans="1:8">
      <c r="A2427" t="s">
        <v>242</v>
      </c>
      <c r="B2427" t="s">
        <v>159</v>
      </c>
      <c r="C2427">
        <v>63</v>
      </c>
      <c r="D2427" t="s">
        <v>18603</v>
      </c>
      <c r="E2427" t="s">
        <v>18604</v>
      </c>
      <c r="F2427" t="s">
        <v>18605</v>
      </c>
      <c r="H2427" t="s">
        <v>18606</v>
      </c>
    </row>
    <row r="2428" spans="1:8">
      <c r="A2428" t="s">
        <v>241</v>
      </c>
      <c r="B2428" t="s">
        <v>159</v>
      </c>
      <c r="C2428">
        <v>63</v>
      </c>
      <c r="D2428" t="s">
        <v>18607</v>
      </c>
      <c r="E2428" t="s">
        <v>18608</v>
      </c>
      <c r="H2428" t="s">
        <v>18609</v>
      </c>
    </row>
    <row r="2429" spans="1:8">
      <c r="A2429" t="s">
        <v>238</v>
      </c>
      <c r="B2429" t="s">
        <v>159</v>
      </c>
      <c r="C2429">
        <v>63</v>
      </c>
      <c r="D2429" t="s">
        <v>18610</v>
      </c>
      <c r="E2429" t="s">
        <v>18611</v>
      </c>
      <c r="F2429" t="s">
        <v>159</v>
      </c>
      <c r="G2429" t="s">
        <v>18612</v>
      </c>
    </row>
    <row r="2430" spans="1:8">
      <c r="A2430" t="s">
        <v>238</v>
      </c>
      <c r="B2430" t="s">
        <v>159</v>
      </c>
      <c r="C2430">
        <v>63</v>
      </c>
      <c r="D2430" t="s">
        <v>18613</v>
      </c>
      <c r="E2430" t="s">
        <v>18614</v>
      </c>
      <c r="F2430" t="s">
        <v>159</v>
      </c>
      <c r="G2430" t="s">
        <v>18615</v>
      </c>
      <c r="H2430" t="s">
        <v>18616</v>
      </c>
    </row>
    <row r="2431" spans="1:8">
      <c r="A2431" t="s">
        <v>242</v>
      </c>
      <c r="B2431" t="s">
        <v>159</v>
      </c>
      <c r="C2431">
        <v>63</v>
      </c>
      <c r="D2431" t="s">
        <v>18617</v>
      </c>
      <c r="E2431" t="s">
        <v>18618</v>
      </c>
      <c r="F2431" t="s">
        <v>159</v>
      </c>
      <c r="G2431" t="s">
        <v>18619</v>
      </c>
      <c r="H2431" t="s">
        <v>18620</v>
      </c>
    </row>
    <row r="2432" spans="1:8">
      <c r="A2432" t="s">
        <v>240</v>
      </c>
      <c r="B2432" t="s">
        <v>159</v>
      </c>
      <c r="C2432">
        <v>63</v>
      </c>
      <c r="D2432" t="s">
        <v>18621</v>
      </c>
      <c r="E2432" t="s">
        <v>18622</v>
      </c>
      <c r="F2432" t="s">
        <v>159</v>
      </c>
      <c r="G2432" t="s">
        <v>18623</v>
      </c>
      <c r="H2432" t="s">
        <v>18569</v>
      </c>
    </row>
    <row r="2433" spans="1:8">
      <c r="A2433" t="s">
        <v>242</v>
      </c>
      <c r="B2433" t="s">
        <v>159</v>
      </c>
      <c r="C2433">
        <v>63</v>
      </c>
      <c r="D2433" t="s">
        <v>18624</v>
      </c>
      <c r="E2433" t="s">
        <v>18625</v>
      </c>
      <c r="F2433" t="s">
        <v>159</v>
      </c>
      <c r="G2433" t="s">
        <v>18626</v>
      </c>
      <c r="H2433" t="s">
        <v>18627</v>
      </c>
    </row>
    <row r="2434" spans="1:8">
      <c r="A2434" t="s">
        <v>241</v>
      </c>
      <c r="B2434" t="s">
        <v>159</v>
      </c>
      <c r="C2434">
        <v>63</v>
      </c>
      <c r="D2434" t="s">
        <v>18628</v>
      </c>
      <c r="E2434" t="s">
        <v>18629</v>
      </c>
      <c r="F2434" t="s">
        <v>159</v>
      </c>
      <c r="G2434" t="s">
        <v>18630</v>
      </c>
      <c r="H2434" t="s">
        <v>18631</v>
      </c>
    </row>
    <row r="2435" spans="1:8">
      <c r="A2435" t="s">
        <v>242</v>
      </c>
      <c r="B2435" t="s">
        <v>159</v>
      </c>
      <c r="C2435">
        <v>63</v>
      </c>
      <c r="D2435" t="s">
        <v>18632</v>
      </c>
      <c r="E2435" t="s">
        <v>18633</v>
      </c>
      <c r="F2435" t="s">
        <v>159</v>
      </c>
    </row>
    <row r="2436" spans="1:8">
      <c r="A2436" t="s">
        <v>242</v>
      </c>
      <c r="B2436" t="s">
        <v>159</v>
      </c>
      <c r="C2436">
        <v>63</v>
      </c>
      <c r="D2436" t="s">
        <v>18634</v>
      </c>
      <c r="E2436" t="s">
        <v>18635</v>
      </c>
      <c r="F2436" t="s">
        <v>159</v>
      </c>
      <c r="G2436" t="s">
        <v>18636</v>
      </c>
      <c r="H2436" t="s">
        <v>18637</v>
      </c>
    </row>
    <row r="2437" spans="1:8">
      <c r="A2437" t="s">
        <v>242</v>
      </c>
      <c r="B2437" t="s">
        <v>159</v>
      </c>
      <c r="C2437">
        <v>63</v>
      </c>
      <c r="D2437" t="s">
        <v>18638</v>
      </c>
      <c r="E2437" t="s">
        <v>18639</v>
      </c>
      <c r="F2437" t="s">
        <v>159</v>
      </c>
    </row>
    <row r="2438" spans="1:8">
      <c r="A2438" t="s">
        <v>242</v>
      </c>
      <c r="B2438" t="s">
        <v>159</v>
      </c>
      <c r="C2438">
        <v>63</v>
      </c>
      <c r="D2438" t="s">
        <v>18640</v>
      </c>
      <c r="E2438" t="s">
        <v>18641</v>
      </c>
      <c r="F2438" t="s">
        <v>159</v>
      </c>
      <c r="G2438" t="s">
        <v>18642</v>
      </c>
      <c r="H2438" t="s">
        <v>18643</v>
      </c>
    </row>
    <row r="2439" spans="1:8">
      <c r="A2439" t="s">
        <v>242</v>
      </c>
      <c r="B2439" t="s">
        <v>159</v>
      </c>
      <c r="C2439">
        <v>63</v>
      </c>
      <c r="D2439" t="s">
        <v>18644</v>
      </c>
      <c r="E2439" t="s">
        <v>18645</v>
      </c>
      <c r="F2439" t="s">
        <v>159</v>
      </c>
    </row>
    <row r="2440" spans="1:8">
      <c r="A2440" t="s">
        <v>242</v>
      </c>
      <c r="B2440" t="s">
        <v>159</v>
      </c>
      <c r="C2440">
        <v>63</v>
      </c>
      <c r="D2440" t="s">
        <v>18646</v>
      </c>
      <c r="E2440" t="s">
        <v>18647</v>
      </c>
      <c r="F2440" t="s">
        <v>159</v>
      </c>
      <c r="H2440" t="s">
        <v>18648</v>
      </c>
    </row>
    <row r="2441" spans="1:8">
      <c r="A2441" t="s">
        <v>244</v>
      </c>
      <c r="B2441" t="s">
        <v>159</v>
      </c>
      <c r="C2441">
        <v>63</v>
      </c>
      <c r="D2441" t="s">
        <v>1282</v>
      </c>
      <c r="F2441" t="s">
        <v>18649</v>
      </c>
    </row>
    <row r="2442" spans="1:8">
      <c r="A2442" t="s">
        <v>241</v>
      </c>
      <c r="B2442" t="s">
        <v>159</v>
      </c>
      <c r="C2442">
        <v>63</v>
      </c>
      <c r="D2442" t="s">
        <v>18650</v>
      </c>
      <c r="E2442" t="s">
        <v>18651</v>
      </c>
      <c r="H2442" t="s">
        <v>18652</v>
      </c>
    </row>
    <row r="2443" spans="1:8">
      <c r="A2443" t="s">
        <v>242</v>
      </c>
      <c r="B2443" t="s">
        <v>159</v>
      </c>
      <c r="C2443">
        <v>63</v>
      </c>
      <c r="D2443" t="s">
        <v>18653</v>
      </c>
      <c r="E2443" t="s">
        <v>18654</v>
      </c>
      <c r="F2443" t="s">
        <v>5003</v>
      </c>
      <c r="G2443" t="s">
        <v>18655</v>
      </c>
      <c r="H2443" t="s">
        <v>18656</v>
      </c>
    </row>
    <row r="2444" spans="1:8">
      <c r="A2444" t="s">
        <v>241</v>
      </c>
      <c r="B2444" t="s">
        <v>159</v>
      </c>
      <c r="C2444">
        <v>63</v>
      </c>
      <c r="D2444" t="s">
        <v>18657</v>
      </c>
      <c r="E2444" t="s">
        <v>18658</v>
      </c>
      <c r="F2444" t="s">
        <v>159</v>
      </c>
      <c r="H2444" t="s">
        <v>18659</v>
      </c>
    </row>
    <row r="2445" spans="1:8">
      <c r="A2445" t="s">
        <v>242</v>
      </c>
      <c r="B2445" t="s">
        <v>159</v>
      </c>
      <c r="C2445">
        <v>63</v>
      </c>
      <c r="D2445" t="s">
        <v>18660</v>
      </c>
      <c r="E2445" t="s">
        <v>18661</v>
      </c>
      <c r="F2445" t="s">
        <v>159</v>
      </c>
      <c r="H2445" t="s">
        <v>18662</v>
      </c>
    </row>
    <row r="2446" spans="1:8">
      <c r="A2446" t="s">
        <v>242</v>
      </c>
      <c r="B2446" t="s">
        <v>159</v>
      </c>
      <c r="C2446">
        <v>63</v>
      </c>
      <c r="D2446" t="s">
        <v>18663</v>
      </c>
      <c r="E2446" t="s">
        <v>18664</v>
      </c>
      <c r="F2446" t="s">
        <v>159</v>
      </c>
    </row>
    <row r="2447" spans="1:8">
      <c r="A2447" t="s">
        <v>242</v>
      </c>
      <c r="B2447" t="s">
        <v>159</v>
      </c>
      <c r="C2447">
        <v>63</v>
      </c>
      <c r="D2447" t="s">
        <v>18665</v>
      </c>
      <c r="E2447" t="s">
        <v>18666</v>
      </c>
      <c r="F2447" t="s">
        <v>159</v>
      </c>
      <c r="G2447" t="s">
        <v>18667</v>
      </c>
      <c r="H2447" t="s">
        <v>18668</v>
      </c>
    </row>
    <row r="2448" spans="1:8">
      <c r="A2448" t="s">
        <v>238</v>
      </c>
      <c r="B2448" t="s">
        <v>159</v>
      </c>
      <c r="C2448">
        <v>63</v>
      </c>
      <c r="D2448" t="s">
        <v>18669</v>
      </c>
      <c r="E2448" t="s">
        <v>18670</v>
      </c>
      <c r="F2448" t="s">
        <v>159</v>
      </c>
      <c r="G2448" t="s">
        <v>18671</v>
      </c>
      <c r="H2448" t="s">
        <v>18672</v>
      </c>
    </row>
    <row r="2449" spans="1:8">
      <c r="A2449" t="s">
        <v>238</v>
      </c>
      <c r="B2449" t="s">
        <v>159</v>
      </c>
      <c r="C2449">
        <v>63</v>
      </c>
      <c r="D2449" t="s">
        <v>18673</v>
      </c>
      <c r="E2449" t="s">
        <v>18674</v>
      </c>
      <c r="F2449" t="s">
        <v>159</v>
      </c>
    </row>
    <row r="2450" spans="1:8">
      <c r="A2450" t="s">
        <v>243</v>
      </c>
      <c r="B2450" t="s">
        <v>159</v>
      </c>
      <c r="C2450">
        <v>63</v>
      </c>
      <c r="D2450" t="s">
        <v>18675</v>
      </c>
      <c r="E2450" t="s">
        <v>18676</v>
      </c>
      <c r="F2450" t="s">
        <v>159</v>
      </c>
      <c r="H2450" t="s">
        <v>18672</v>
      </c>
    </row>
    <row r="2451" spans="1:8">
      <c r="A2451" t="s">
        <v>242</v>
      </c>
      <c r="B2451" t="s">
        <v>9</v>
      </c>
      <c r="C2451">
        <v>64</v>
      </c>
      <c r="D2451" t="s">
        <v>2408</v>
      </c>
      <c r="F2451" t="s">
        <v>2409</v>
      </c>
      <c r="G2451" t="s">
        <v>2410</v>
      </c>
      <c r="H2451" t="s">
        <v>2411</v>
      </c>
    </row>
    <row r="2452" spans="1:8">
      <c r="A2452" t="s">
        <v>243</v>
      </c>
      <c r="B2452" t="s">
        <v>9</v>
      </c>
      <c r="C2452">
        <v>64</v>
      </c>
      <c r="D2452" t="s">
        <v>2412</v>
      </c>
      <c r="E2452" t="s">
        <v>2413</v>
      </c>
      <c r="F2452" t="s">
        <v>9</v>
      </c>
      <c r="G2452" t="s">
        <v>2414</v>
      </c>
      <c r="H2452" t="s">
        <v>2415</v>
      </c>
    </row>
    <row r="2453" spans="1:8">
      <c r="A2453" t="s">
        <v>241</v>
      </c>
      <c r="B2453" t="s">
        <v>9</v>
      </c>
      <c r="C2453">
        <v>64</v>
      </c>
      <c r="D2453" t="s">
        <v>2416</v>
      </c>
      <c r="E2453" t="s">
        <v>2417</v>
      </c>
      <c r="H2453" t="s">
        <v>2418</v>
      </c>
    </row>
    <row r="2454" spans="1:8">
      <c r="A2454" t="s">
        <v>242</v>
      </c>
      <c r="B2454" t="s">
        <v>9</v>
      </c>
      <c r="C2454">
        <v>64</v>
      </c>
      <c r="D2454" t="s">
        <v>2419</v>
      </c>
      <c r="E2454" t="s">
        <v>2420</v>
      </c>
      <c r="H2454" t="s">
        <v>2421</v>
      </c>
    </row>
    <row r="2455" spans="1:8">
      <c r="A2455" t="s">
        <v>239</v>
      </c>
      <c r="B2455" t="s">
        <v>9</v>
      </c>
      <c r="C2455">
        <v>64</v>
      </c>
      <c r="D2455" t="s">
        <v>2422</v>
      </c>
      <c r="E2455" t="s">
        <v>2423</v>
      </c>
      <c r="F2455" t="s">
        <v>2424</v>
      </c>
      <c r="G2455" t="s">
        <v>2425</v>
      </c>
      <c r="H2455" t="s">
        <v>2426</v>
      </c>
    </row>
    <row r="2456" spans="1:8">
      <c r="A2456" t="s">
        <v>242</v>
      </c>
      <c r="B2456" t="s">
        <v>9</v>
      </c>
      <c r="C2456">
        <v>64</v>
      </c>
      <c r="D2456" t="s">
        <v>2427</v>
      </c>
      <c r="E2456" t="s">
        <v>2428</v>
      </c>
      <c r="G2456" t="s">
        <v>2429</v>
      </c>
      <c r="H2456" t="s">
        <v>2430</v>
      </c>
    </row>
    <row r="2457" spans="1:8">
      <c r="A2457" t="s">
        <v>239</v>
      </c>
      <c r="B2457" t="s">
        <v>9</v>
      </c>
      <c r="C2457">
        <v>64</v>
      </c>
      <c r="D2457" t="s">
        <v>2431</v>
      </c>
      <c r="E2457" t="s">
        <v>2432</v>
      </c>
      <c r="F2457" t="s">
        <v>2433</v>
      </c>
      <c r="H2457" t="s">
        <v>2434</v>
      </c>
    </row>
    <row r="2458" spans="1:8">
      <c r="A2458" t="s">
        <v>239</v>
      </c>
      <c r="B2458" t="s">
        <v>9</v>
      </c>
      <c r="C2458">
        <v>64</v>
      </c>
      <c r="D2458" t="s">
        <v>2435</v>
      </c>
      <c r="H2458" t="s">
        <v>2436</v>
      </c>
    </row>
    <row r="2459" spans="1:8">
      <c r="A2459" t="s">
        <v>239</v>
      </c>
      <c r="B2459" t="s">
        <v>9</v>
      </c>
      <c r="C2459">
        <v>64</v>
      </c>
      <c r="D2459" t="s">
        <v>2437</v>
      </c>
      <c r="F2459" t="s">
        <v>2438</v>
      </c>
      <c r="G2459" t="s">
        <v>2439</v>
      </c>
      <c r="H2459" t="s">
        <v>2440</v>
      </c>
    </row>
    <row r="2460" spans="1:8">
      <c r="A2460" t="s">
        <v>243</v>
      </c>
      <c r="B2460" t="s">
        <v>9</v>
      </c>
      <c r="C2460">
        <v>64</v>
      </c>
      <c r="D2460" t="s">
        <v>2441</v>
      </c>
      <c r="E2460" t="s">
        <v>2442</v>
      </c>
      <c r="F2460" t="s">
        <v>9</v>
      </c>
    </row>
    <row r="2461" spans="1:8">
      <c r="A2461" t="s">
        <v>239</v>
      </c>
      <c r="B2461" t="s">
        <v>9</v>
      </c>
      <c r="C2461">
        <v>64</v>
      </c>
      <c r="D2461" t="s">
        <v>2443</v>
      </c>
      <c r="E2461" t="s">
        <v>2444</v>
      </c>
      <c r="F2461" t="s">
        <v>2445</v>
      </c>
      <c r="G2461" t="s">
        <v>2446</v>
      </c>
      <c r="H2461" t="s">
        <v>2447</v>
      </c>
    </row>
    <row r="2462" spans="1:8">
      <c r="A2462" t="s">
        <v>238</v>
      </c>
      <c r="B2462" t="s">
        <v>9</v>
      </c>
      <c r="C2462">
        <v>64</v>
      </c>
      <c r="D2462" t="s">
        <v>2448</v>
      </c>
      <c r="E2462" t="s">
        <v>2449</v>
      </c>
      <c r="F2462" t="s">
        <v>9</v>
      </c>
      <c r="H2462" t="s">
        <v>2450</v>
      </c>
    </row>
    <row r="2463" spans="1:8">
      <c r="A2463" t="s">
        <v>242</v>
      </c>
      <c r="B2463" t="s">
        <v>9</v>
      </c>
      <c r="C2463">
        <v>64</v>
      </c>
      <c r="D2463" t="s">
        <v>2451</v>
      </c>
      <c r="E2463" t="s">
        <v>2452</v>
      </c>
      <c r="G2463" t="s">
        <v>2453</v>
      </c>
      <c r="H2463" t="s">
        <v>2454</v>
      </c>
    </row>
    <row r="2464" spans="1:8">
      <c r="A2464" t="s">
        <v>242</v>
      </c>
      <c r="B2464" t="s">
        <v>9</v>
      </c>
      <c r="C2464">
        <v>64</v>
      </c>
      <c r="D2464" t="s">
        <v>2455</v>
      </c>
      <c r="E2464" t="s">
        <v>2456</v>
      </c>
      <c r="F2464" t="s">
        <v>9</v>
      </c>
    </row>
    <row r="2465" spans="1:8">
      <c r="A2465" t="s">
        <v>242</v>
      </c>
      <c r="B2465" t="s">
        <v>9</v>
      </c>
      <c r="C2465">
        <v>64</v>
      </c>
      <c r="D2465" t="s">
        <v>2457</v>
      </c>
      <c r="E2465" t="s">
        <v>2458</v>
      </c>
      <c r="F2465" t="s">
        <v>9</v>
      </c>
      <c r="H2465" t="s">
        <v>2459</v>
      </c>
    </row>
    <row r="2466" spans="1:8">
      <c r="A2466" t="s">
        <v>243</v>
      </c>
      <c r="B2466" t="s">
        <v>9</v>
      </c>
      <c r="C2466">
        <v>64</v>
      </c>
      <c r="D2466" t="s">
        <v>2460</v>
      </c>
      <c r="E2466" t="s">
        <v>2461</v>
      </c>
      <c r="F2466" t="s">
        <v>9</v>
      </c>
      <c r="G2466" t="s">
        <v>2462</v>
      </c>
      <c r="H2466" t="s">
        <v>2463</v>
      </c>
    </row>
    <row r="2467" spans="1:8">
      <c r="A2467" t="s">
        <v>242</v>
      </c>
      <c r="B2467" t="s">
        <v>9</v>
      </c>
      <c r="C2467">
        <v>64</v>
      </c>
      <c r="D2467" t="s">
        <v>2464</v>
      </c>
      <c r="E2467" t="s">
        <v>2465</v>
      </c>
      <c r="F2467" t="s">
        <v>9</v>
      </c>
      <c r="G2467" t="s">
        <v>2429</v>
      </c>
      <c r="H2467" t="s">
        <v>2430</v>
      </c>
    </row>
    <row r="2468" spans="1:8">
      <c r="A2468" t="s">
        <v>242</v>
      </c>
      <c r="B2468" t="s">
        <v>9</v>
      </c>
      <c r="C2468">
        <v>64</v>
      </c>
      <c r="D2468" t="s">
        <v>2466</v>
      </c>
      <c r="E2468" t="s">
        <v>2467</v>
      </c>
      <c r="F2468" t="s">
        <v>9</v>
      </c>
      <c r="G2468" t="s">
        <v>2468</v>
      </c>
      <c r="H2468" t="s">
        <v>2469</v>
      </c>
    </row>
    <row r="2469" spans="1:8">
      <c r="A2469" t="s">
        <v>242</v>
      </c>
      <c r="B2469" t="s">
        <v>9</v>
      </c>
      <c r="C2469">
        <v>64</v>
      </c>
      <c r="D2469" t="s">
        <v>2470</v>
      </c>
      <c r="E2469" t="s">
        <v>2471</v>
      </c>
      <c r="F2469" t="s">
        <v>9</v>
      </c>
      <c r="G2469" t="s">
        <v>2472</v>
      </c>
      <c r="H2469" t="s">
        <v>2473</v>
      </c>
    </row>
    <row r="2470" spans="1:8">
      <c r="A2470" t="s">
        <v>242</v>
      </c>
      <c r="B2470" t="s">
        <v>9</v>
      </c>
      <c r="C2470">
        <v>64</v>
      </c>
      <c r="D2470" t="s">
        <v>2474</v>
      </c>
      <c r="E2470" t="s">
        <v>2475</v>
      </c>
      <c r="F2470" t="s">
        <v>9</v>
      </c>
    </row>
    <row r="2471" spans="1:8">
      <c r="A2471" t="s">
        <v>243</v>
      </c>
      <c r="B2471" t="s">
        <v>9</v>
      </c>
      <c r="C2471">
        <v>64</v>
      </c>
      <c r="D2471" t="s">
        <v>2476</v>
      </c>
      <c r="E2471" t="s">
        <v>2477</v>
      </c>
      <c r="F2471" t="s">
        <v>9</v>
      </c>
    </row>
    <row r="2472" spans="1:8">
      <c r="A2472" t="s">
        <v>239</v>
      </c>
      <c r="B2472" t="s">
        <v>9</v>
      </c>
      <c r="C2472">
        <v>64</v>
      </c>
      <c r="D2472" t="s">
        <v>2478</v>
      </c>
      <c r="E2472" t="s">
        <v>2479</v>
      </c>
      <c r="F2472" t="s">
        <v>2480</v>
      </c>
      <c r="H2472" t="s">
        <v>2481</v>
      </c>
    </row>
    <row r="2473" spans="1:8">
      <c r="A2473" t="s">
        <v>242</v>
      </c>
      <c r="B2473" t="s">
        <v>9</v>
      </c>
      <c r="C2473">
        <v>64</v>
      </c>
      <c r="D2473" t="s">
        <v>2482</v>
      </c>
      <c r="E2473" t="s">
        <v>2483</v>
      </c>
      <c r="F2473" t="s">
        <v>9</v>
      </c>
      <c r="G2473" t="s">
        <v>2484</v>
      </c>
      <c r="H2473" t="s">
        <v>2485</v>
      </c>
    </row>
    <row r="2474" spans="1:8">
      <c r="A2474" t="s">
        <v>242</v>
      </c>
      <c r="B2474" t="s">
        <v>9</v>
      </c>
      <c r="C2474">
        <v>64</v>
      </c>
      <c r="D2474" t="s">
        <v>2486</v>
      </c>
      <c r="E2474" t="s">
        <v>2487</v>
      </c>
      <c r="F2474" t="s">
        <v>9</v>
      </c>
      <c r="G2474" t="s">
        <v>2488</v>
      </c>
      <c r="H2474" t="s">
        <v>2485</v>
      </c>
    </row>
    <row r="2475" spans="1:8">
      <c r="A2475" t="s">
        <v>239</v>
      </c>
      <c r="B2475" t="s">
        <v>9</v>
      </c>
      <c r="C2475">
        <v>64</v>
      </c>
      <c r="D2475" t="s">
        <v>2489</v>
      </c>
      <c r="E2475" t="s">
        <v>2490</v>
      </c>
      <c r="F2475" t="s">
        <v>9</v>
      </c>
      <c r="G2475" t="s">
        <v>2491</v>
      </c>
      <c r="H2475" t="s">
        <v>2492</v>
      </c>
    </row>
    <row r="2476" spans="1:8">
      <c r="A2476" t="s">
        <v>243</v>
      </c>
      <c r="B2476" t="s">
        <v>9</v>
      </c>
      <c r="C2476">
        <v>64</v>
      </c>
      <c r="D2476" t="s">
        <v>2493</v>
      </c>
      <c r="E2476" t="s">
        <v>2494</v>
      </c>
      <c r="F2476" t="s">
        <v>9</v>
      </c>
    </row>
    <row r="2477" spans="1:8">
      <c r="A2477" t="s">
        <v>239</v>
      </c>
      <c r="B2477" t="s">
        <v>9</v>
      </c>
      <c r="C2477">
        <v>64</v>
      </c>
      <c r="D2477" t="s">
        <v>2495</v>
      </c>
      <c r="E2477" t="s">
        <v>2496</v>
      </c>
      <c r="F2477" t="s">
        <v>18</v>
      </c>
      <c r="H2477" t="s">
        <v>2497</v>
      </c>
    </row>
    <row r="2478" spans="1:8">
      <c r="A2478" t="s">
        <v>241</v>
      </c>
      <c r="B2478" t="s">
        <v>9</v>
      </c>
      <c r="C2478">
        <v>64</v>
      </c>
      <c r="D2478" t="s">
        <v>2498</v>
      </c>
      <c r="E2478" t="s">
        <v>2499</v>
      </c>
      <c r="F2478" t="s">
        <v>2500</v>
      </c>
      <c r="H2478" t="s">
        <v>2501</v>
      </c>
    </row>
    <row r="2479" spans="1:8">
      <c r="A2479" t="s">
        <v>241</v>
      </c>
      <c r="B2479" t="s">
        <v>9</v>
      </c>
      <c r="C2479">
        <v>64</v>
      </c>
      <c r="D2479" t="s">
        <v>2502</v>
      </c>
      <c r="E2479" t="s">
        <v>2503</v>
      </c>
      <c r="H2479" t="s">
        <v>2504</v>
      </c>
    </row>
    <row r="2480" spans="1:8">
      <c r="A2480" t="s">
        <v>243</v>
      </c>
      <c r="B2480" t="s">
        <v>9</v>
      </c>
      <c r="C2480">
        <v>64</v>
      </c>
      <c r="D2480" t="s">
        <v>2505</v>
      </c>
      <c r="E2480" t="s">
        <v>2506</v>
      </c>
      <c r="G2480" t="s">
        <v>2507</v>
      </c>
      <c r="H2480" t="s">
        <v>2508</v>
      </c>
    </row>
    <row r="2481" spans="1:8">
      <c r="A2481" t="s">
        <v>238</v>
      </c>
      <c r="B2481" t="s">
        <v>9</v>
      </c>
      <c r="C2481">
        <v>64</v>
      </c>
      <c r="D2481" t="s">
        <v>2509</v>
      </c>
      <c r="E2481" t="s">
        <v>2510</v>
      </c>
      <c r="H2481" t="s">
        <v>2511</v>
      </c>
    </row>
    <row r="2482" spans="1:8">
      <c r="A2482" t="s">
        <v>242</v>
      </c>
      <c r="B2482" t="s">
        <v>9</v>
      </c>
      <c r="C2482">
        <v>64</v>
      </c>
      <c r="D2482" t="s">
        <v>2512</v>
      </c>
      <c r="F2482" t="s">
        <v>2513</v>
      </c>
      <c r="H2482" t="s">
        <v>2514</v>
      </c>
    </row>
    <row r="2483" spans="1:8">
      <c r="A2483" t="s">
        <v>241</v>
      </c>
      <c r="B2483" t="s">
        <v>9</v>
      </c>
      <c r="C2483">
        <v>64</v>
      </c>
      <c r="D2483" t="s">
        <v>2515</v>
      </c>
      <c r="E2483" t="s">
        <v>2516</v>
      </c>
      <c r="H2483" t="s">
        <v>2517</v>
      </c>
    </row>
    <row r="2484" spans="1:8">
      <c r="A2484" t="s">
        <v>238</v>
      </c>
      <c r="B2484" t="s">
        <v>9</v>
      </c>
      <c r="C2484">
        <v>64</v>
      </c>
      <c r="D2484" t="s">
        <v>2518</v>
      </c>
      <c r="E2484" t="s">
        <v>2519</v>
      </c>
      <c r="F2484" t="s">
        <v>2520</v>
      </c>
      <c r="G2484" t="s">
        <v>2521</v>
      </c>
      <c r="H2484" t="s">
        <v>2522</v>
      </c>
    </row>
    <row r="2485" spans="1:8">
      <c r="A2485" t="s">
        <v>241</v>
      </c>
      <c r="B2485" t="s">
        <v>9</v>
      </c>
      <c r="C2485">
        <v>64</v>
      </c>
      <c r="D2485" t="s">
        <v>2523</v>
      </c>
      <c r="E2485" t="s">
        <v>2524</v>
      </c>
      <c r="G2485" t="s">
        <v>2525</v>
      </c>
      <c r="H2485" t="s">
        <v>2526</v>
      </c>
    </row>
    <row r="2486" spans="1:8">
      <c r="A2486" t="s">
        <v>239</v>
      </c>
      <c r="B2486" t="s">
        <v>9</v>
      </c>
      <c r="C2486">
        <v>64</v>
      </c>
      <c r="D2486" t="s">
        <v>2527</v>
      </c>
      <c r="E2486" t="s">
        <v>2528</v>
      </c>
      <c r="F2486" t="s">
        <v>2529</v>
      </c>
    </row>
    <row r="2487" spans="1:8">
      <c r="A2487" t="s">
        <v>239</v>
      </c>
      <c r="B2487" t="s">
        <v>9</v>
      </c>
      <c r="C2487">
        <v>64</v>
      </c>
      <c r="D2487" t="s">
        <v>2530</v>
      </c>
      <c r="E2487" t="s">
        <v>2531</v>
      </c>
      <c r="H2487" t="s">
        <v>2532</v>
      </c>
    </row>
    <row r="2488" spans="1:8">
      <c r="A2488" t="s">
        <v>239</v>
      </c>
      <c r="B2488" t="s">
        <v>9</v>
      </c>
      <c r="C2488">
        <v>64</v>
      </c>
      <c r="D2488" t="s">
        <v>2533</v>
      </c>
      <c r="E2488" t="s">
        <v>2534</v>
      </c>
    </row>
    <row r="2489" spans="1:8">
      <c r="A2489" t="s">
        <v>239</v>
      </c>
      <c r="B2489" t="s">
        <v>9</v>
      </c>
      <c r="C2489">
        <v>64</v>
      </c>
      <c r="D2489" t="s">
        <v>2535</v>
      </c>
      <c r="H2489" t="s">
        <v>2536</v>
      </c>
    </row>
    <row r="2490" spans="1:8">
      <c r="A2490" t="s">
        <v>241</v>
      </c>
      <c r="B2490" t="s">
        <v>9</v>
      </c>
      <c r="C2490">
        <v>64</v>
      </c>
      <c r="D2490" t="s">
        <v>2537</v>
      </c>
      <c r="E2490" t="s">
        <v>2538</v>
      </c>
      <c r="F2490" t="s">
        <v>9</v>
      </c>
    </row>
    <row r="2491" spans="1:8">
      <c r="A2491" t="s">
        <v>242</v>
      </c>
      <c r="B2491" t="s">
        <v>9</v>
      </c>
      <c r="C2491">
        <v>64</v>
      </c>
      <c r="D2491" t="s">
        <v>2539</v>
      </c>
      <c r="E2491" t="s">
        <v>2540</v>
      </c>
      <c r="F2491" t="s">
        <v>9</v>
      </c>
      <c r="H2491" t="s">
        <v>2541</v>
      </c>
    </row>
    <row r="2492" spans="1:8">
      <c r="A2492" t="s">
        <v>248</v>
      </c>
      <c r="B2492" t="s">
        <v>9</v>
      </c>
      <c r="C2492">
        <v>64</v>
      </c>
      <c r="D2492" t="s">
        <v>2542</v>
      </c>
      <c r="E2492" t="s">
        <v>2543</v>
      </c>
      <c r="F2492" t="s">
        <v>9</v>
      </c>
      <c r="H2492" t="s">
        <v>2544</v>
      </c>
    </row>
    <row r="2493" spans="1:8">
      <c r="A2493" t="s">
        <v>242</v>
      </c>
      <c r="B2493" t="s">
        <v>9</v>
      </c>
      <c r="C2493">
        <v>64</v>
      </c>
      <c r="D2493" t="s">
        <v>2545</v>
      </c>
      <c r="E2493" t="s">
        <v>2546</v>
      </c>
      <c r="F2493" t="s">
        <v>9</v>
      </c>
    </row>
    <row r="2494" spans="1:8">
      <c r="A2494" t="s">
        <v>241</v>
      </c>
      <c r="B2494" t="s">
        <v>9</v>
      </c>
      <c r="C2494">
        <v>64</v>
      </c>
      <c r="D2494" t="s">
        <v>2547</v>
      </c>
      <c r="E2494" t="s">
        <v>2548</v>
      </c>
      <c r="F2494" t="s">
        <v>9</v>
      </c>
      <c r="H2494" t="s">
        <v>2549</v>
      </c>
    </row>
    <row r="2495" spans="1:8">
      <c r="A2495" t="s">
        <v>241</v>
      </c>
      <c r="B2495" t="s">
        <v>9</v>
      </c>
      <c r="C2495">
        <v>64</v>
      </c>
      <c r="D2495" t="s">
        <v>2550</v>
      </c>
      <c r="E2495" t="s">
        <v>2551</v>
      </c>
      <c r="F2495" t="s">
        <v>9</v>
      </c>
      <c r="G2495" t="s">
        <v>2552</v>
      </c>
      <c r="H2495" t="s">
        <v>2553</v>
      </c>
    </row>
    <row r="2496" spans="1:8">
      <c r="A2496" t="s">
        <v>238</v>
      </c>
      <c r="B2496" t="s">
        <v>9</v>
      </c>
      <c r="C2496">
        <v>64</v>
      </c>
      <c r="D2496" t="s">
        <v>2554</v>
      </c>
      <c r="E2496" t="s">
        <v>2555</v>
      </c>
      <c r="F2496" t="s">
        <v>9</v>
      </c>
      <c r="H2496" t="s">
        <v>2556</v>
      </c>
    </row>
    <row r="2497" spans="1:8">
      <c r="A2497" t="s">
        <v>242</v>
      </c>
      <c r="B2497" t="s">
        <v>9</v>
      </c>
      <c r="C2497">
        <v>64</v>
      </c>
      <c r="D2497" t="s">
        <v>2557</v>
      </c>
      <c r="E2497" t="s">
        <v>2558</v>
      </c>
      <c r="F2497" t="s">
        <v>9</v>
      </c>
      <c r="G2497" t="s">
        <v>2559</v>
      </c>
      <c r="H2497" t="s">
        <v>2560</v>
      </c>
    </row>
    <row r="2498" spans="1:8">
      <c r="A2498" t="s">
        <v>242</v>
      </c>
      <c r="B2498" t="s">
        <v>9</v>
      </c>
      <c r="C2498">
        <v>64</v>
      </c>
      <c r="D2498" t="s">
        <v>2561</v>
      </c>
      <c r="E2498" t="s">
        <v>2562</v>
      </c>
      <c r="F2498" t="s">
        <v>9</v>
      </c>
    </row>
    <row r="2499" spans="1:8">
      <c r="A2499" t="s">
        <v>241</v>
      </c>
      <c r="B2499" t="s">
        <v>9</v>
      </c>
      <c r="C2499">
        <v>64</v>
      </c>
      <c r="D2499" t="s">
        <v>2563</v>
      </c>
      <c r="E2499" t="s">
        <v>2461</v>
      </c>
      <c r="F2499" t="s">
        <v>9</v>
      </c>
      <c r="G2499" t="s">
        <v>2462</v>
      </c>
      <c r="H2499" t="s">
        <v>2463</v>
      </c>
    </row>
    <row r="2500" spans="1:8">
      <c r="A2500" t="s">
        <v>243</v>
      </c>
      <c r="B2500" t="s">
        <v>9</v>
      </c>
      <c r="C2500">
        <v>64</v>
      </c>
      <c r="D2500" t="s">
        <v>2564</v>
      </c>
      <c r="E2500" t="s">
        <v>2565</v>
      </c>
      <c r="F2500" t="s">
        <v>9</v>
      </c>
      <c r="H2500" t="s">
        <v>2566</v>
      </c>
    </row>
    <row r="2501" spans="1:8">
      <c r="A2501" t="s">
        <v>242</v>
      </c>
      <c r="B2501" t="s">
        <v>9</v>
      </c>
      <c r="C2501">
        <v>64</v>
      </c>
      <c r="D2501" t="s">
        <v>2567</v>
      </c>
      <c r="E2501" t="s">
        <v>2568</v>
      </c>
      <c r="F2501" t="s">
        <v>9</v>
      </c>
      <c r="G2501" t="s">
        <v>2569</v>
      </c>
      <c r="H2501" t="s">
        <v>2570</v>
      </c>
    </row>
    <row r="2502" spans="1:8">
      <c r="A2502" t="s">
        <v>242</v>
      </c>
      <c r="B2502" t="s">
        <v>9</v>
      </c>
      <c r="C2502">
        <v>64</v>
      </c>
      <c r="D2502" t="s">
        <v>2571</v>
      </c>
      <c r="E2502" t="s">
        <v>2572</v>
      </c>
      <c r="F2502" t="s">
        <v>2573</v>
      </c>
      <c r="G2502" t="s">
        <v>2574</v>
      </c>
      <c r="H2502" t="s">
        <v>2575</v>
      </c>
    </row>
    <row r="2503" spans="1:8">
      <c r="A2503" t="s">
        <v>241</v>
      </c>
      <c r="B2503" t="s">
        <v>9</v>
      </c>
      <c r="C2503">
        <v>64</v>
      </c>
      <c r="D2503" t="s">
        <v>2576</v>
      </c>
      <c r="E2503" t="s">
        <v>2577</v>
      </c>
      <c r="H2503" t="s">
        <v>2578</v>
      </c>
    </row>
    <row r="2504" spans="1:8">
      <c r="A2504" t="s">
        <v>242</v>
      </c>
      <c r="B2504" t="s">
        <v>9</v>
      </c>
      <c r="C2504">
        <v>64</v>
      </c>
      <c r="D2504" t="s">
        <v>2579</v>
      </c>
      <c r="E2504" t="s">
        <v>2580</v>
      </c>
      <c r="F2504" t="s">
        <v>9</v>
      </c>
      <c r="G2504" t="s">
        <v>2581</v>
      </c>
      <c r="H2504" t="s">
        <v>2582</v>
      </c>
    </row>
    <row r="2505" spans="1:8">
      <c r="A2505" t="s">
        <v>248</v>
      </c>
      <c r="B2505" t="s">
        <v>9</v>
      </c>
      <c r="C2505">
        <v>64</v>
      </c>
      <c r="D2505" t="s">
        <v>2583</v>
      </c>
      <c r="E2505" t="s">
        <v>2584</v>
      </c>
      <c r="F2505" t="s">
        <v>2585</v>
      </c>
      <c r="G2505" t="s">
        <v>2468</v>
      </c>
      <c r="H2505" t="s">
        <v>2469</v>
      </c>
    </row>
    <row r="2506" spans="1:8">
      <c r="A2506" t="s">
        <v>241</v>
      </c>
      <c r="B2506" t="s">
        <v>9</v>
      </c>
      <c r="C2506">
        <v>64</v>
      </c>
      <c r="D2506" t="s">
        <v>2586</v>
      </c>
      <c r="E2506" t="s">
        <v>2587</v>
      </c>
      <c r="F2506" t="s">
        <v>9</v>
      </c>
      <c r="H2506" t="s">
        <v>2588</v>
      </c>
    </row>
    <row r="2507" spans="1:8">
      <c r="A2507" t="s">
        <v>243</v>
      </c>
      <c r="B2507" t="s">
        <v>9</v>
      </c>
      <c r="C2507">
        <v>64</v>
      </c>
      <c r="D2507" t="s">
        <v>2589</v>
      </c>
      <c r="E2507" t="s">
        <v>2590</v>
      </c>
      <c r="F2507" t="s">
        <v>2591</v>
      </c>
      <c r="G2507" t="s">
        <v>2592</v>
      </c>
      <c r="H2507" t="s">
        <v>2593</v>
      </c>
    </row>
    <row r="2508" spans="1:8">
      <c r="A2508" t="s">
        <v>241</v>
      </c>
      <c r="B2508" t="s">
        <v>9</v>
      </c>
      <c r="C2508">
        <v>64</v>
      </c>
      <c r="D2508" t="s">
        <v>2594</v>
      </c>
      <c r="E2508" t="s">
        <v>2595</v>
      </c>
      <c r="F2508" t="s">
        <v>9</v>
      </c>
      <c r="H2508" t="s">
        <v>2596</v>
      </c>
    </row>
    <row r="2509" spans="1:8">
      <c r="A2509" t="s">
        <v>243</v>
      </c>
      <c r="B2509" t="s">
        <v>9</v>
      </c>
      <c r="C2509">
        <v>64</v>
      </c>
      <c r="D2509" t="s">
        <v>2597</v>
      </c>
      <c r="E2509" t="s">
        <v>2598</v>
      </c>
      <c r="F2509" t="s">
        <v>9</v>
      </c>
      <c r="G2509" t="s">
        <v>2599</v>
      </c>
      <c r="H2509" t="s">
        <v>2566</v>
      </c>
    </row>
    <row r="2510" spans="1:8">
      <c r="A2510" t="s">
        <v>242</v>
      </c>
      <c r="B2510" t="s">
        <v>9</v>
      </c>
      <c r="C2510">
        <v>64</v>
      </c>
      <c r="D2510" t="s">
        <v>2600</v>
      </c>
      <c r="E2510" t="s">
        <v>2601</v>
      </c>
      <c r="F2510" t="s">
        <v>9</v>
      </c>
      <c r="G2510" t="s">
        <v>2602</v>
      </c>
      <c r="H2510" t="s">
        <v>2603</v>
      </c>
    </row>
    <row r="2511" spans="1:8">
      <c r="A2511" t="s">
        <v>242</v>
      </c>
      <c r="B2511" t="s">
        <v>9</v>
      </c>
      <c r="C2511">
        <v>64</v>
      </c>
      <c r="D2511" t="s">
        <v>2604</v>
      </c>
      <c r="E2511" t="s">
        <v>2605</v>
      </c>
      <c r="F2511" t="s">
        <v>9</v>
      </c>
      <c r="G2511" t="s">
        <v>2606</v>
      </c>
      <c r="H2511" t="s">
        <v>2607</v>
      </c>
    </row>
    <row r="2512" spans="1:8">
      <c r="A2512" t="s">
        <v>238</v>
      </c>
      <c r="B2512" t="s">
        <v>9</v>
      </c>
      <c r="C2512">
        <v>64</v>
      </c>
      <c r="D2512" t="s">
        <v>2608</v>
      </c>
      <c r="F2512" t="s">
        <v>2609</v>
      </c>
    </row>
    <row r="2513" spans="1:8">
      <c r="A2513" t="s">
        <v>238</v>
      </c>
      <c r="B2513" t="s">
        <v>9</v>
      </c>
      <c r="C2513">
        <v>64</v>
      </c>
      <c r="D2513" t="s">
        <v>2610</v>
      </c>
      <c r="E2513" t="s">
        <v>2611</v>
      </c>
      <c r="F2513" t="s">
        <v>9</v>
      </c>
      <c r="G2513" t="s">
        <v>2612</v>
      </c>
      <c r="H2513" t="s">
        <v>2613</v>
      </c>
    </row>
    <row r="2514" spans="1:8">
      <c r="A2514" t="s">
        <v>241</v>
      </c>
      <c r="B2514" t="s">
        <v>9</v>
      </c>
      <c r="C2514">
        <v>64</v>
      </c>
      <c r="D2514" t="s">
        <v>2614</v>
      </c>
      <c r="E2514" t="s">
        <v>2615</v>
      </c>
      <c r="G2514" t="s">
        <v>2616</v>
      </c>
      <c r="H2514" t="s">
        <v>2617</v>
      </c>
    </row>
    <row r="2515" spans="1:8">
      <c r="A2515" t="s">
        <v>240</v>
      </c>
      <c r="B2515" t="s">
        <v>9</v>
      </c>
      <c r="C2515">
        <v>64</v>
      </c>
      <c r="D2515" t="s">
        <v>2618</v>
      </c>
      <c r="E2515" t="s">
        <v>2619</v>
      </c>
      <c r="F2515" t="s">
        <v>9</v>
      </c>
      <c r="H2515" t="s">
        <v>2620</v>
      </c>
    </row>
    <row r="2516" spans="1:8">
      <c r="A2516" t="s">
        <v>240</v>
      </c>
      <c r="B2516" t="s">
        <v>9</v>
      </c>
      <c r="C2516">
        <v>64</v>
      </c>
      <c r="D2516" t="s">
        <v>2621</v>
      </c>
      <c r="E2516" t="s">
        <v>2622</v>
      </c>
      <c r="F2516" t="s">
        <v>9</v>
      </c>
      <c r="H2516" t="s">
        <v>2623</v>
      </c>
    </row>
    <row r="2517" spans="1:8">
      <c r="A2517" t="s">
        <v>240</v>
      </c>
      <c r="B2517" t="s">
        <v>28</v>
      </c>
      <c r="C2517">
        <v>64</v>
      </c>
      <c r="D2517" t="s">
        <v>3934</v>
      </c>
      <c r="E2517" t="s">
        <v>9332</v>
      </c>
      <c r="F2517" t="s">
        <v>28</v>
      </c>
      <c r="G2517" t="s">
        <v>9333</v>
      </c>
      <c r="H2517" t="s">
        <v>9334</v>
      </c>
    </row>
    <row r="2518" spans="1:8">
      <c r="A2518" t="s">
        <v>240</v>
      </c>
      <c r="B2518" t="s">
        <v>28</v>
      </c>
      <c r="C2518">
        <v>64</v>
      </c>
      <c r="D2518" t="s">
        <v>9335</v>
      </c>
      <c r="E2518" t="s">
        <v>9336</v>
      </c>
      <c r="F2518" t="s">
        <v>28</v>
      </c>
      <c r="G2518" t="s">
        <v>9337</v>
      </c>
      <c r="H2518" t="s">
        <v>9338</v>
      </c>
    </row>
    <row r="2519" spans="1:8">
      <c r="A2519" t="s">
        <v>240</v>
      </c>
      <c r="B2519" t="s">
        <v>28</v>
      </c>
      <c r="C2519">
        <v>64</v>
      </c>
      <c r="D2519" t="s">
        <v>9339</v>
      </c>
      <c r="E2519" t="s">
        <v>9340</v>
      </c>
      <c r="F2519" t="s">
        <v>28</v>
      </c>
      <c r="G2519" t="s">
        <v>9341</v>
      </c>
      <c r="H2519" t="s">
        <v>9342</v>
      </c>
    </row>
    <row r="2520" spans="1:8">
      <c r="A2520" t="s">
        <v>240</v>
      </c>
      <c r="B2520" t="s">
        <v>28</v>
      </c>
      <c r="C2520">
        <v>64</v>
      </c>
      <c r="D2520" t="s">
        <v>3797</v>
      </c>
      <c r="E2520" t="s">
        <v>9343</v>
      </c>
      <c r="F2520" t="s">
        <v>28</v>
      </c>
      <c r="G2520" t="s">
        <v>9344</v>
      </c>
      <c r="H2520" t="s">
        <v>9345</v>
      </c>
    </row>
    <row r="2521" spans="1:8">
      <c r="A2521" t="s">
        <v>240</v>
      </c>
      <c r="B2521" t="s">
        <v>28</v>
      </c>
      <c r="C2521">
        <v>64</v>
      </c>
      <c r="D2521" t="s">
        <v>7053</v>
      </c>
      <c r="E2521" t="s">
        <v>9346</v>
      </c>
      <c r="F2521" t="s">
        <v>28</v>
      </c>
      <c r="G2521" t="s">
        <v>9347</v>
      </c>
      <c r="H2521" t="s">
        <v>9348</v>
      </c>
    </row>
    <row r="2522" spans="1:8">
      <c r="A2522" t="s">
        <v>240</v>
      </c>
      <c r="B2522" t="s">
        <v>28</v>
      </c>
      <c r="C2522">
        <v>64</v>
      </c>
      <c r="D2522" t="s">
        <v>9349</v>
      </c>
      <c r="E2522" t="s">
        <v>9350</v>
      </c>
      <c r="F2522" t="s">
        <v>28</v>
      </c>
      <c r="G2522" t="s">
        <v>9351</v>
      </c>
      <c r="H2522" t="s">
        <v>9352</v>
      </c>
    </row>
    <row r="2523" spans="1:8">
      <c r="A2523" t="s">
        <v>240</v>
      </c>
      <c r="B2523" t="s">
        <v>28</v>
      </c>
      <c r="C2523">
        <v>64</v>
      </c>
      <c r="D2523" t="s">
        <v>9353</v>
      </c>
      <c r="E2523" t="s">
        <v>9354</v>
      </c>
      <c r="F2523" t="s">
        <v>28</v>
      </c>
      <c r="G2523" t="s">
        <v>9355</v>
      </c>
      <c r="H2523" t="s">
        <v>9356</v>
      </c>
    </row>
    <row r="2524" spans="1:8">
      <c r="A2524" t="s">
        <v>240</v>
      </c>
      <c r="B2524" t="s">
        <v>28</v>
      </c>
      <c r="C2524">
        <v>64</v>
      </c>
      <c r="D2524" t="s">
        <v>9357</v>
      </c>
      <c r="E2524" t="s">
        <v>9358</v>
      </c>
      <c r="F2524" t="s">
        <v>28</v>
      </c>
      <c r="G2524" t="s">
        <v>9359</v>
      </c>
      <c r="H2524" t="s">
        <v>9360</v>
      </c>
    </row>
    <row r="2525" spans="1:8">
      <c r="A2525" t="s">
        <v>239</v>
      </c>
      <c r="B2525" t="s">
        <v>28</v>
      </c>
      <c r="C2525">
        <v>64</v>
      </c>
      <c r="D2525" t="s">
        <v>9361</v>
      </c>
      <c r="E2525" t="s">
        <v>9362</v>
      </c>
      <c r="F2525" t="s">
        <v>5691</v>
      </c>
      <c r="H2525" t="s">
        <v>9363</v>
      </c>
    </row>
    <row r="2526" spans="1:8">
      <c r="A2526" t="s">
        <v>240</v>
      </c>
      <c r="B2526" t="s">
        <v>28</v>
      </c>
      <c r="C2526">
        <v>64</v>
      </c>
      <c r="D2526" t="s">
        <v>9364</v>
      </c>
      <c r="E2526" t="s">
        <v>9365</v>
      </c>
      <c r="F2526" t="s">
        <v>28</v>
      </c>
      <c r="G2526" t="s">
        <v>9344</v>
      </c>
      <c r="H2526" t="s">
        <v>9345</v>
      </c>
    </row>
    <row r="2527" spans="1:8">
      <c r="A2527" t="s">
        <v>239</v>
      </c>
      <c r="B2527" t="s">
        <v>28</v>
      </c>
      <c r="C2527">
        <v>64</v>
      </c>
      <c r="D2527" t="s">
        <v>9366</v>
      </c>
      <c r="E2527" t="s">
        <v>9367</v>
      </c>
      <c r="F2527" t="s">
        <v>28</v>
      </c>
    </row>
    <row r="2528" spans="1:8">
      <c r="A2528" t="s">
        <v>239</v>
      </c>
      <c r="B2528" t="s">
        <v>28</v>
      </c>
      <c r="C2528">
        <v>64</v>
      </c>
      <c r="D2528" t="s">
        <v>9368</v>
      </c>
      <c r="E2528" t="s">
        <v>9369</v>
      </c>
      <c r="F2528" t="s">
        <v>5691</v>
      </c>
      <c r="H2528" t="s">
        <v>9370</v>
      </c>
    </row>
    <row r="2529" spans="1:8">
      <c r="A2529" t="s">
        <v>239</v>
      </c>
      <c r="B2529" t="s">
        <v>28</v>
      </c>
      <c r="C2529">
        <v>64</v>
      </c>
      <c r="D2529" t="s">
        <v>9371</v>
      </c>
      <c r="E2529" t="s">
        <v>9372</v>
      </c>
      <c r="F2529" t="s">
        <v>5691</v>
      </c>
      <c r="G2529" t="s">
        <v>9373</v>
      </c>
      <c r="H2529" t="s">
        <v>9374</v>
      </c>
    </row>
    <row r="2530" spans="1:8">
      <c r="A2530" t="s">
        <v>239</v>
      </c>
      <c r="B2530" t="s">
        <v>28</v>
      </c>
      <c r="C2530">
        <v>64</v>
      </c>
      <c r="D2530" t="s">
        <v>9375</v>
      </c>
      <c r="E2530" t="s">
        <v>9376</v>
      </c>
      <c r="H2530" t="s">
        <v>9377</v>
      </c>
    </row>
    <row r="2531" spans="1:8">
      <c r="A2531" t="s">
        <v>239</v>
      </c>
      <c r="B2531" t="s">
        <v>28</v>
      </c>
      <c r="C2531">
        <v>64</v>
      </c>
      <c r="D2531" t="s">
        <v>9378</v>
      </c>
      <c r="E2531" t="s">
        <v>9379</v>
      </c>
      <c r="H2531" t="s">
        <v>9377</v>
      </c>
    </row>
    <row r="2532" spans="1:8">
      <c r="A2532" t="s">
        <v>239</v>
      </c>
      <c r="B2532" t="s">
        <v>28</v>
      </c>
      <c r="C2532">
        <v>64</v>
      </c>
      <c r="D2532" t="s">
        <v>9380</v>
      </c>
      <c r="E2532" t="s">
        <v>9381</v>
      </c>
      <c r="H2532" t="s">
        <v>9382</v>
      </c>
    </row>
    <row r="2533" spans="1:8">
      <c r="A2533" t="s">
        <v>239</v>
      </c>
      <c r="B2533" t="s">
        <v>28</v>
      </c>
      <c r="C2533">
        <v>64</v>
      </c>
      <c r="D2533" t="s">
        <v>9383</v>
      </c>
      <c r="E2533" t="s">
        <v>9384</v>
      </c>
      <c r="F2533" t="s">
        <v>9385</v>
      </c>
    </row>
    <row r="2534" spans="1:8">
      <c r="A2534" t="s">
        <v>239</v>
      </c>
      <c r="B2534" t="s">
        <v>28</v>
      </c>
      <c r="C2534">
        <v>64</v>
      </c>
      <c r="D2534" t="s">
        <v>9386</v>
      </c>
      <c r="E2534" t="s">
        <v>9387</v>
      </c>
      <c r="H2534" t="s">
        <v>9388</v>
      </c>
    </row>
    <row r="2535" spans="1:8">
      <c r="A2535" t="s">
        <v>239</v>
      </c>
      <c r="B2535" t="s">
        <v>28</v>
      </c>
      <c r="C2535">
        <v>64</v>
      </c>
      <c r="D2535" t="s">
        <v>9389</v>
      </c>
      <c r="E2535" t="s">
        <v>9390</v>
      </c>
    </row>
    <row r="2536" spans="1:8">
      <c r="A2536" t="s">
        <v>240</v>
      </c>
      <c r="B2536" t="s">
        <v>28</v>
      </c>
      <c r="C2536">
        <v>64</v>
      </c>
      <c r="D2536" t="s">
        <v>9391</v>
      </c>
      <c r="E2536" t="s">
        <v>6093</v>
      </c>
      <c r="F2536" t="s">
        <v>13</v>
      </c>
      <c r="G2536" t="s">
        <v>9392</v>
      </c>
      <c r="H2536" t="s">
        <v>9393</v>
      </c>
    </row>
    <row r="2537" spans="1:8">
      <c r="A2537" t="s">
        <v>239</v>
      </c>
      <c r="B2537" t="s">
        <v>28</v>
      </c>
      <c r="C2537">
        <v>64</v>
      </c>
      <c r="D2537" t="s">
        <v>9394</v>
      </c>
      <c r="E2537" t="s">
        <v>9395</v>
      </c>
      <c r="H2537" t="s">
        <v>9396</v>
      </c>
    </row>
    <row r="2538" spans="1:8">
      <c r="A2538" t="s">
        <v>240</v>
      </c>
      <c r="B2538" t="s">
        <v>28</v>
      </c>
      <c r="C2538">
        <v>64</v>
      </c>
      <c r="D2538" t="s">
        <v>9397</v>
      </c>
      <c r="E2538" t="s">
        <v>9398</v>
      </c>
      <c r="F2538" t="s">
        <v>28</v>
      </c>
      <c r="H2538" t="s">
        <v>9399</v>
      </c>
    </row>
    <row r="2539" spans="1:8">
      <c r="A2539" t="s">
        <v>239</v>
      </c>
      <c r="B2539" t="s">
        <v>28</v>
      </c>
      <c r="C2539">
        <v>64</v>
      </c>
      <c r="D2539" t="s">
        <v>9400</v>
      </c>
      <c r="E2539" t="s">
        <v>9401</v>
      </c>
      <c r="F2539" t="s">
        <v>28</v>
      </c>
      <c r="H2539" t="s">
        <v>5374</v>
      </c>
    </row>
    <row r="2540" spans="1:8">
      <c r="A2540" t="s">
        <v>241</v>
      </c>
      <c r="B2540" t="s">
        <v>28</v>
      </c>
      <c r="C2540">
        <v>64</v>
      </c>
      <c r="D2540" t="s">
        <v>9402</v>
      </c>
      <c r="E2540" t="s">
        <v>9403</v>
      </c>
      <c r="F2540" t="s">
        <v>5691</v>
      </c>
      <c r="H2540" t="s">
        <v>9404</v>
      </c>
    </row>
    <row r="2541" spans="1:8">
      <c r="A2541" t="s">
        <v>239</v>
      </c>
      <c r="B2541" t="s">
        <v>28</v>
      </c>
      <c r="C2541">
        <v>64</v>
      </c>
      <c r="D2541" t="s">
        <v>9405</v>
      </c>
      <c r="E2541" t="s">
        <v>9406</v>
      </c>
      <c r="F2541" t="s">
        <v>28</v>
      </c>
      <c r="H2541" t="s">
        <v>9407</v>
      </c>
    </row>
    <row r="2542" spans="1:8">
      <c r="A2542" t="s">
        <v>239</v>
      </c>
      <c r="B2542" t="s">
        <v>28</v>
      </c>
      <c r="C2542">
        <v>64</v>
      </c>
      <c r="D2542" t="s">
        <v>9408</v>
      </c>
      <c r="E2542" t="s">
        <v>9409</v>
      </c>
      <c r="F2542" t="s">
        <v>28</v>
      </c>
    </row>
    <row r="2543" spans="1:8">
      <c r="A2543" t="s">
        <v>239</v>
      </c>
      <c r="B2543" t="s">
        <v>28</v>
      </c>
      <c r="C2543">
        <v>64</v>
      </c>
      <c r="D2543" t="s">
        <v>9410</v>
      </c>
      <c r="F2543" t="s">
        <v>28</v>
      </c>
      <c r="H2543" t="s">
        <v>9407</v>
      </c>
    </row>
    <row r="2544" spans="1:8">
      <c r="A2544" t="s">
        <v>239</v>
      </c>
      <c r="B2544" t="s">
        <v>28</v>
      </c>
      <c r="C2544">
        <v>64</v>
      </c>
      <c r="D2544" t="s">
        <v>9411</v>
      </c>
      <c r="E2544" t="s">
        <v>9412</v>
      </c>
      <c r="F2544" t="s">
        <v>28</v>
      </c>
      <c r="H2544" t="s">
        <v>9407</v>
      </c>
    </row>
    <row r="2545" spans="1:8">
      <c r="A2545" t="s">
        <v>239</v>
      </c>
      <c r="B2545" t="s">
        <v>28</v>
      </c>
      <c r="C2545">
        <v>64</v>
      </c>
      <c r="D2545" t="s">
        <v>9413</v>
      </c>
      <c r="E2545" t="s">
        <v>9414</v>
      </c>
      <c r="F2545" t="s">
        <v>28</v>
      </c>
    </row>
    <row r="2546" spans="1:8">
      <c r="A2546" t="s">
        <v>249</v>
      </c>
      <c r="B2546" t="s">
        <v>28</v>
      </c>
      <c r="C2546">
        <v>64</v>
      </c>
      <c r="D2546" t="s">
        <v>9415</v>
      </c>
      <c r="E2546" t="s">
        <v>9416</v>
      </c>
      <c r="F2546" t="s">
        <v>13</v>
      </c>
      <c r="G2546" t="s">
        <v>9417</v>
      </c>
      <c r="H2546" t="s">
        <v>9418</v>
      </c>
    </row>
    <row r="2547" spans="1:8">
      <c r="A2547" t="s">
        <v>239</v>
      </c>
      <c r="B2547" t="s">
        <v>28</v>
      </c>
      <c r="C2547">
        <v>64</v>
      </c>
      <c r="D2547" t="s">
        <v>9419</v>
      </c>
      <c r="E2547" t="s">
        <v>9420</v>
      </c>
      <c r="H2547" t="s">
        <v>9421</v>
      </c>
    </row>
    <row r="2548" spans="1:8">
      <c r="A2548" t="s">
        <v>240</v>
      </c>
      <c r="B2548" t="s">
        <v>28</v>
      </c>
      <c r="C2548">
        <v>64</v>
      </c>
      <c r="D2548" t="s">
        <v>9422</v>
      </c>
      <c r="E2548" t="s">
        <v>9423</v>
      </c>
      <c r="F2548" t="s">
        <v>28</v>
      </c>
      <c r="G2548" t="s">
        <v>9424</v>
      </c>
      <c r="H2548" t="s">
        <v>9425</v>
      </c>
    </row>
    <row r="2549" spans="1:8">
      <c r="A2549" t="s">
        <v>241</v>
      </c>
      <c r="B2549" t="s">
        <v>28</v>
      </c>
      <c r="C2549">
        <v>64</v>
      </c>
      <c r="D2549" t="s">
        <v>9426</v>
      </c>
      <c r="E2549" t="s">
        <v>9427</v>
      </c>
      <c r="F2549" t="s">
        <v>28</v>
      </c>
      <c r="H2549" t="s">
        <v>9428</v>
      </c>
    </row>
    <row r="2550" spans="1:8">
      <c r="A2550" t="s">
        <v>239</v>
      </c>
      <c r="B2550" t="s">
        <v>28</v>
      </c>
      <c r="C2550">
        <v>64</v>
      </c>
      <c r="D2550" t="s">
        <v>9429</v>
      </c>
      <c r="E2550" t="s">
        <v>9430</v>
      </c>
      <c r="F2550" t="s">
        <v>28</v>
      </c>
    </row>
    <row r="2551" spans="1:8">
      <c r="A2551" t="s">
        <v>240</v>
      </c>
      <c r="B2551" t="s">
        <v>28</v>
      </c>
      <c r="C2551">
        <v>64</v>
      </c>
      <c r="D2551" t="s">
        <v>7859</v>
      </c>
      <c r="E2551" t="s">
        <v>9431</v>
      </c>
      <c r="F2551" t="s">
        <v>28</v>
      </c>
      <c r="G2551" t="s">
        <v>9432</v>
      </c>
      <c r="H2551" t="s">
        <v>9433</v>
      </c>
    </row>
    <row r="2552" spans="1:8">
      <c r="A2552" t="s">
        <v>240</v>
      </c>
      <c r="B2552" t="s">
        <v>28</v>
      </c>
      <c r="C2552">
        <v>64</v>
      </c>
      <c r="D2552" t="s">
        <v>9434</v>
      </c>
      <c r="E2552" t="s">
        <v>9435</v>
      </c>
      <c r="F2552" t="s">
        <v>28</v>
      </c>
    </row>
    <row r="2553" spans="1:8">
      <c r="A2553" t="s">
        <v>248</v>
      </c>
      <c r="B2553" t="s">
        <v>28</v>
      </c>
      <c r="C2553">
        <v>64</v>
      </c>
      <c r="D2553" t="s">
        <v>9436</v>
      </c>
      <c r="E2553" t="s">
        <v>9437</v>
      </c>
      <c r="F2553" t="s">
        <v>28</v>
      </c>
    </row>
    <row r="2554" spans="1:8">
      <c r="A2554" t="s">
        <v>250</v>
      </c>
      <c r="B2554" t="s">
        <v>28</v>
      </c>
      <c r="C2554">
        <v>64</v>
      </c>
      <c r="D2554" t="s">
        <v>9438</v>
      </c>
      <c r="E2554" t="s">
        <v>7795</v>
      </c>
      <c r="F2554" t="s">
        <v>5691</v>
      </c>
    </row>
    <row r="2555" spans="1:8">
      <c r="A2555" t="s">
        <v>241</v>
      </c>
      <c r="B2555" t="s">
        <v>28</v>
      </c>
      <c r="C2555">
        <v>64</v>
      </c>
      <c r="D2555" t="s">
        <v>9439</v>
      </c>
      <c r="E2555" t="s">
        <v>9440</v>
      </c>
      <c r="F2555" t="s">
        <v>5691</v>
      </c>
      <c r="G2555" t="s">
        <v>9441</v>
      </c>
      <c r="H2555" t="s">
        <v>9442</v>
      </c>
    </row>
    <row r="2556" spans="1:8">
      <c r="A2556" t="s">
        <v>239</v>
      </c>
      <c r="B2556" t="s">
        <v>28</v>
      </c>
      <c r="C2556">
        <v>64</v>
      </c>
      <c r="D2556" t="s">
        <v>9443</v>
      </c>
      <c r="E2556" t="s">
        <v>9444</v>
      </c>
      <c r="F2556" t="s">
        <v>28</v>
      </c>
    </row>
    <row r="2557" spans="1:8">
      <c r="A2557" t="s">
        <v>244</v>
      </c>
      <c r="B2557" t="s">
        <v>28</v>
      </c>
      <c r="C2557">
        <v>64</v>
      </c>
      <c r="D2557" t="s">
        <v>1282</v>
      </c>
      <c r="E2557" t="s">
        <v>9445</v>
      </c>
      <c r="F2557" t="s">
        <v>5691</v>
      </c>
      <c r="H2557" t="s">
        <v>9446</v>
      </c>
    </row>
    <row r="2558" spans="1:8">
      <c r="A2558" t="s">
        <v>250</v>
      </c>
      <c r="B2558" t="s">
        <v>28</v>
      </c>
      <c r="C2558">
        <v>64</v>
      </c>
      <c r="D2558" t="s">
        <v>9447</v>
      </c>
      <c r="E2558" t="s">
        <v>7795</v>
      </c>
      <c r="F2558" t="s">
        <v>5691</v>
      </c>
    </row>
    <row r="2559" spans="1:8">
      <c r="A2559" t="s">
        <v>248</v>
      </c>
      <c r="B2559" t="s">
        <v>28</v>
      </c>
      <c r="C2559">
        <v>64</v>
      </c>
      <c r="D2559" t="s">
        <v>9448</v>
      </c>
      <c r="E2559" t="s">
        <v>9449</v>
      </c>
      <c r="F2559" t="s">
        <v>5691</v>
      </c>
      <c r="H2559" t="s">
        <v>9450</v>
      </c>
    </row>
    <row r="2560" spans="1:8">
      <c r="A2560" t="s">
        <v>240</v>
      </c>
      <c r="B2560" t="s">
        <v>28</v>
      </c>
      <c r="C2560">
        <v>64</v>
      </c>
      <c r="D2560" t="s">
        <v>9451</v>
      </c>
      <c r="E2560" t="s">
        <v>9452</v>
      </c>
      <c r="F2560" t="s">
        <v>28</v>
      </c>
      <c r="G2560" t="s">
        <v>9453</v>
      </c>
      <c r="H2560" t="s">
        <v>9454</v>
      </c>
    </row>
    <row r="2561" spans="1:8">
      <c r="A2561" t="s">
        <v>239</v>
      </c>
      <c r="B2561" t="s">
        <v>28</v>
      </c>
      <c r="C2561">
        <v>64</v>
      </c>
      <c r="D2561" t="s">
        <v>9455</v>
      </c>
      <c r="E2561" t="s">
        <v>9456</v>
      </c>
      <c r="H2561" t="s">
        <v>9457</v>
      </c>
    </row>
    <row r="2562" spans="1:8">
      <c r="A2562" t="s">
        <v>239</v>
      </c>
      <c r="B2562" t="s">
        <v>28</v>
      </c>
      <c r="C2562">
        <v>64</v>
      </c>
      <c r="D2562" t="s">
        <v>9458</v>
      </c>
      <c r="E2562" t="s">
        <v>9459</v>
      </c>
      <c r="H2562" t="s">
        <v>9460</v>
      </c>
    </row>
    <row r="2563" spans="1:8">
      <c r="A2563" t="s">
        <v>239</v>
      </c>
      <c r="B2563" t="s">
        <v>28</v>
      </c>
      <c r="C2563">
        <v>64</v>
      </c>
      <c r="D2563" t="s">
        <v>9461</v>
      </c>
      <c r="E2563" t="s">
        <v>9462</v>
      </c>
      <c r="H2563" t="s">
        <v>9463</v>
      </c>
    </row>
    <row r="2564" spans="1:8">
      <c r="A2564" t="s">
        <v>239</v>
      </c>
      <c r="B2564" t="s">
        <v>28</v>
      </c>
      <c r="C2564">
        <v>64</v>
      </c>
      <c r="D2564" t="s">
        <v>9464</v>
      </c>
      <c r="E2564" t="s">
        <v>9465</v>
      </c>
      <c r="H2564" t="s">
        <v>9466</v>
      </c>
    </row>
    <row r="2565" spans="1:8">
      <c r="A2565" t="s">
        <v>239</v>
      </c>
      <c r="B2565" t="s">
        <v>28</v>
      </c>
      <c r="C2565">
        <v>64</v>
      </c>
      <c r="D2565" t="s">
        <v>9467</v>
      </c>
      <c r="E2565" t="s">
        <v>9468</v>
      </c>
    </row>
    <row r="2566" spans="1:8">
      <c r="A2566" t="s">
        <v>239</v>
      </c>
      <c r="B2566" t="s">
        <v>28</v>
      </c>
      <c r="C2566">
        <v>64</v>
      </c>
      <c r="D2566" t="s">
        <v>5370</v>
      </c>
      <c r="E2566" t="s">
        <v>9469</v>
      </c>
      <c r="H2566" t="s">
        <v>6027</v>
      </c>
    </row>
    <row r="2567" spans="1:8">
      <c r="A2567" t="s">
        <v>239</v>
      </c>
      <c r="B2567" t="s">
        <v>28</v>
      </c>
      <c r="C2567">
        <v>64</v>
      </c>
      <c r="D2567" t="s">
        <v>9470</v>
      </c>
      <c r="E2567" t="s">
        <v>9471</v>
      </c>
    </row>
    <row r="2568" spans="1:8">
      <c r="A2568" t="s">
        <v>239</v>
      </c>
      <c r="B2568" t="s">
        <v>28</v>
      </c>
      <c r="C2568">
        <v>64</v>
      </c>
      <c r="D2568" t="s">
        <v>9472</v>
      </c>
      <c r="E2568" t="s">
        <v>9473</v>
      </c>
      <c r="H2568" t="s">
        <v>9474</v>
      </c>
    </row>
    <row r="2569" spans="1:8">
      <c r="A2569" t="s">
        <v>239</v>
      </c>
      <c r="B2569" t="s">
        <v>28</v>
      </c>
      <c r="C2569">
        <v>64</v>
      </c>
      <c r="D2569" t="s">
        <v>9475</v>
      </c>
      <c r="E2569" t="s">
        <v>9476</v>
      </c>
      <c r="H2569" t="s">
        <v>9477</v>
      </c>
    </row>
    <row r="2570" spans="1:8">
      <c r="A2570" t="s">
        <v>239</v>
      </c>
      <c r="B2570" t="s">
        <v>28</v>
      </c>
      <c r="C2570">
        <v>64</v>
      </c>
      <c r="D2570" t="s">
        <v>9478</v>
      </c>
      <c r="E2570" t="s">
        <v>9479</v>
      </c>
      <c r="H2570" t="s">
        <v>9480</v>
      </c>
    </row>
    <row r="2571" spans="1:8">
      <c r="A2571" t="s">
        <v>239</v>
      </c>
      <c r="B2571" t="s">
        <v>28</v>
      </c>
      <c r="C2571">
        <v>64</v>
      </c>
      <c r="D2571" t="s">
        <v>9481</v>
      </c>
      <c r="E2571" t="s">
        <v>9482</v>
      </c>
      <c r="H2571" t="s">
        <v>9483</v>
      </c>
    </row>
    <row r="2572" spans="1:8">
      <c r="A2572" t="s">
        <v>239</v>
      </c>
      <c r="B2572" t="s">
        <v>28</v>
      </c>
      <c r="C2572">
        <v>64</v>
      </c>
      <c r="D2572" t="s">
        <v>9484</v>
      </c>
      <c r="E2572" t="s">
        <v>9485</v>
      </c>
    </row>
    <row r="2573" spans="1:8">
      <c r="A2573" t="s">
        <v>239</v>
      </c>
      <c r="B2573" t="s">
        <v>28</v>
      </c>
      <c r="C2573">
        <v>64</v>
      </c>
      <c r="D2573" t="s">
        <v>9470</v>
      </c>
      <c r="E2573" t="s">
        <v>9486</v>
      </c>
      <c r="H2573" t="s">
        <v>9487</v>
      </c>
    </row>
    <row r="2574" spans="1:8">
      <c r="A2574" t="s">
        <v>243</v>
      </c>
      <c r="B2574" t="s">
        <v>28</v>
      </c>
      <c r="C2574">
        <v>64</v>
      </c>
      <c r="D2574" t="s">
        <v>9488</v>
      </c>
      <c r="E2574" t="s">
        <v>9489</v>
      </c>
      <c r="F2574" t="s">
        <v>28</v>
      </c>
      <c r="H2574" t="s">
        <v>9490</v>
      </c>
    </row>
    <row r="2575" spans="1:8">
      <c r="A2575" t="s">
        <v>249</v>
      </c>
      <c r="B2575" t="s">
        <v>28</v>
      </c>
      <c r="C2575">
        <v>64</v>
      </c>
      <c r="D2575" t="s">
        <v>9491</v>
      </c>
      <c r="E2575" t="s">
        <v>9492</v>
      </c>
      <c r="F2575" t="s">
        <v>5691</v>
      </c>
      <c r="G2575" t="s">
        <v>9493</v>
      </c>
      <c r="H2575" t="s">
        <v>9494</v>
      </c>
    </row>
    <row r="2576" spans="1:8">
      <c r="A2576" t="s">
        <v>240</v>
      </c>
      <c r="B2576" t="s">
        <v>28</v>
      </c>
      <c r="C2576">
        <v>64</v>
      </c>
      <c r="D2576" t="s">
        <v>9495</v>
      </c>
      <c r="E2576" t="s">
        <v>9496</v>
      </c>
      <c r="F2576" t="s">
        <v>28</v>
      </c>
      <c r="H2576" t="s">
        <v>9497</v>
      </c>
    </row>
    <row r="2577" spans="1:8">
      <c r="A2577" t="s">
        <v>250</v>
      </c>
      <c r="B2577" t="s">
        <v>28</v>
      </c>
      <c r="C2577">
        <v>64</v>
      </c>
      <c r="D2577" t="s">
        <v>9498</v>
      </c>
      <c r="E2577" t="s">
        <v>7756</v>
      </c>
      <c r="F2577" t="s">
        <v>5691</v>
      </c>
      <c r="G2577" t="s">
        <v>9499</v>
      </c>
      <c r="H2577" t="s">
        <v>9500</v>
      </c>
    </row>
    <row r="2578" spans="1:8">
      <c r="A2578" t="s">
        <v>243</v>
      </c>
      <c r="B2578" t="s">
        <v>28</v>
      </c>
      <c r="C2578">
        <v>64</v>
      </c>
      <c r="D2578" t="s">
        <v>9501</v>
      </c>
      <c r="E2578" t="s">
        <v>9469</v>
      </c>
      <c r="F2578" t="s">
        <v>28</v>
      </c>
      <c r="H2578" t="s">
        <v>9502</v>
      </c>
    </row>
    <row r="2579" spans="1:8">
      <c r="A2579" t="s">
        <v>243</v>
      </c>
      <c r="B2579" t="s">
        <v>28</v>
      </c>
      <c r="C2579">
        <v>64</v>
      </c>
      <c r="D2579" t="s">
        <v>9503</v>
      </c>
      <c r="E2579" t="s">
        <v>9504</v>
      </c>
      <c r="F2579" t="s">
        <v>28</v>
      </c>
      <c r="H2579" t="s">
        <v>9505</v>
      </c>
    </row>
    <row r="2580" spans="1:8">
      <c r="A2580" t="s">
        <v>239</v>
      </c>
      <c r="B2580" t="s">
        <v>28</v>
      </c>
      <c r="C2580">
        <v>64</v>
      </c>
      <c r="D2580" t="s">
        <v>9506</v>
      </c>
      <c r="E2580" t="s">
        <v>9507</v>
      </c>
      <c r="F2580" t="s">
        <v>28</v>
      </c>
    </row>
    <row r="2581" spans="1:8">
      <c r="A2581" t="s">
        <v>239</v>
      </c>
      <c r="B2581" t="s">
        <v>28</v>
      </c>
      <c r="C2581">
        <v>64</v>
      </c>
      <c r="D2581" t="s">
        <v>9508</v>
      </c>
      <c r="E2581" t="s">
        <v>9507</v>
      </c>
      <c r="F2581" t="s">
        <v>28</v>
      </c>
    </row>
    <row r="2582" spans="1:8">
      <c r="A2582" t="s">
        <v>241</v>
      </c>
      <c r="B2582" t="s">
        <v>28</v>
      </c>
      <c r="C2582">
        <v>64</v>
      </c>
      <c r="D2582" t="s">
        <v>9509</v>
      </c>
      <c r="E2582" t="s">
        <v>9510</v>
      </c>
      <c r="F2582" t="s">
        <v>28</v>
      </c>
      <c r="H2582" t="s">
        <v>9511</v>
      </c>
    </row>
    <row r="2583" spans="1:8">
      <c r="A2583" t="s">
        <v>240</v>
      </c>
      <c r="B2583" t="s">
        <v>28</v>
      </c>
      <c r="C2583">
        <v>64</v>
      </c>
      <c r="D2583" t="s">
        <v>9512</v>
      </c>
      <c r="E2583" t="s">
        <v>9513</v>
      </c>
      <c r="F2583" t="s">
        <v>28</v>
      </c>
      <c r="G2583" t="s">
        <v>9514</v>
      </c>
    </row>
    <row r="2584" spans="1:8">
      <c r="A2584" t="s">
        <v>239</v>
      </c>
      <c r="B2584" t="s">
        <v>28</v>
      </c>
      <c r="C2584">
        <v>64</v>
      </c>
      <c r="D2584" t="s">
        <v>9515</v>
      </c>
      <c r="E2584" t="s">
        <v>9516</v>
      </c>
      <c r="F2584" t="s">
        <v>28</v>
      </c>
    </row>
    <row r="2585" spans="1:8">
      <c r="A2585" t="s">
        <v>239</v>
      </c>
      <c r="B2585" t="s">
        <v>28</v>
      </c>
      <c r="C2585">
        <v>64</v>
      </c>
      <c r="D2585" t="s">
        <v>9517</v>
      </c>
      <c r="E2585" t="s">
        <v>9518</v>
      </c>
      <c r="F2585" t="s">
        <v>28</v>
      </c>
    </row>
    <row r="2586" spans="1:8">
      <c r="A2586" t="s">
        <v>250</v>
      </c>
      <c r="B2586" t="s">
        <v>28</v>
      </c>
      <c r="C2586">
        <v>64</v>
      </c>
      <c r="D2586" t="s">
        <v>9519</v>
      </c>
      <c r="E2586" t="s">
        <v>7787</v>
      </c>
      <c r="F2586" t="s">
        <v>5691</v>
      </c>
    </row>
    <row r="2587" spans="1:8">
      <c r="A2587" t="s">
        <v>249</v>
      </c>
      <c r="B2587" t="s">
        <v>28</v>
      </c>
      <c r="C2587">
        <v>64</v>
      </c>
      <c r="D2587" t="s">
        <v>5691</v>
      </c>
      <c r="E2587" t="s">
        <v>9520</v>
      </c>
      <c r="F2587" t="s">
        <v>28</v>
      </c>
      <c r="G2587" t="s">
        <v>9521</v>
      </c>
      <c r="H2587" t="s">
        <v>9522</v>
      </c>
    </row>
    <row r="2588" spans="1:8">
      <c r="A2588" t="s">
        <v>250</v>
      </c>
      <c r="B2588" t="s">
        <v>28</v>
      </c>
      <c r="C2588">
        <v>64</v>
      </c>
      <c r="D2588" t="s">
        <v>9523</v>
      </c>
      <c r="E2588" t="s">
        <v>9524</v>
      </c>
      <c r="F2588" t="s">
        <v>28</v>
      </c>
      <c r="G2588" t="s">
        <v>9418</v>
      </c>
      <c r="H2588" t="s">
        <v>9417</v>
      </c>
    </row>
    <row r="2589" spans="1:8">
      <c r="A2589" t="s">
        <v>250</v>
      </c>
      <c r="B2589" t="s">
        <v>28</v>
      </c>
      <c r="C2589">
        <v>64</v>
      </c>
      <c r="D2589" t="s">
        <v>9525</v>
      </c>
      <c r="E2589" t="s">
        <v>6070</v>
      </c>
      <c r="F2589" t="s">
        <v>28</v>
      </c>
      <c r="G2589" t="s">
        <v>9526</v>
      </c>
    </row>
    <row r="2590" spans="1:8">
      <c r="A2590" t="s">
        <v>238</v>
      </c>
      <c r="B2590" t="s">
        <v>28</v>
      </c>
      <c r="C2590">
        <v>64</v>
      </c>
      <c r="D2590" t="s">
        <v>9527</v>
      </c>
      <c r="E2590" t="s">
        <v>9528</v>
      </c>
      <c r="F2590" t="s">
        <v>28</v>
      </c>
      <c r="G2590" t="s">
        <v>9529</v>
      </c>
      <c r="H2590" t="s">
        <v>9530</v>
      </c>
    </row>
    <row r="2591" spans="1:8">
      <c r="A2591" t="s">
        <v>250</v>
      </c>
      <c r="B2591" t="s">
        <v>28</v>
      </c>
      <c r="C2591">
        <v>64</v>
      </c>
      <c r="D2591" t="s">
        <v>9531</v>
      </c>
      <c r="E2591" t="s">
        <v>6093</v>
      </c>
      <c r="F2591" t="s">
        <v>28</v>
      </c>
      <c r="H2591" t="s">
        <v>9532</v>
      </c>
    </row>
    <row r="2592" spans="1:8">
      <c r="A2592" t="s">
        <v>250</v>
      </c>
      <c r="B2592" t="s">
        <v>28</v>
      </c>
      <c r="C2592">
        <v>64</v>
      </c>
      <c r="D2592" t="s">
        <v>9533</v>
      </c>
      <c r="E2592" t="s">
        <v>6070</v>
      </c>
      <c r="F2592" t="s">
        <v>28</v>
      </c>
    </row>
    <row r="2593" spans="1:8">
      <c r="A2593" t="s">
        <v>250</v>
      </c>
      <c r="B2593" t="s">
        <v>28</v>
      </c>
      <c r="C2593">
        <v>64</v>
      </c>
      <c r="D2593" t="s">
        <v>9534</v>
      </c>
      <c r="E2593" t="s">
        <v>6070</v>
      </c>
      <c r="F2593" t="s">
        <v>28</v>
      </c>
    </row>
    <row r="2594" spans="1:8">
      <c r="A2594" t="s">
        <v>250</v>
      </c>
      <c r="B2594" t="s">
        <v>28</v>
      </c>
      <c r="C2594">
        <v>64</v>
      </c>
      <c r="D2594" t="s">
        <v>9535</v>
      </c>
      <c r="E2594" t="s">
        <v>7795</v>
      </c>
      <c r="F2594" t="s">
        <v>5691</v>
      </c>
    </row>
    <row r="2595" spans="1:8">
      <c r="A2595" t="s">
        <v>250</v>
      </c>
      <c r="B2595" t="s">
        <v>28</v>
      </c>
      <c r="C2595">
        <v>64</v>
      </c>
      <c r="D2595" t="s">
        <v>9536</v>
      </c>
      <c r="E2595" t="s">
        <v>9537</v>
      </c>
      <c r="F2595" t="s">
        <v>28</v>
      </c>
    </row>
    <row r="2596" spans="1:8">
      <c r="A2596" t="s">
        <v>250</v>
      </c>
      <c r="B2596" t="s">
        <v>28</v>
      </c>
      <c r="C2596">
        <v>64</v>
      </c>
      <c r="D2596" t="s">
        <v>9538</v>
      </c>
      <c r="E2596" t="s">
        <v>7795</v>
      </c>
      <c r="F2596" t="s">
        <v>5691</v>
      </c>
    </row>
    <row r="2597" spans="1:8">
      <c r="A2597" t="s">
        <v>250</v>
      </c>
      <c r="B2597" t="s">
        <v>28</v>
      </c>
      <c r="C2597">
        <v>64</v>
      </c>
      <c r="D2597" t="s">
        <v>9539</v>
      </c>
      <c r="E2597" t="s">
        <v>7795</v>
      </c>
      <c r="F2597" t="s">
        <v>5691</v>
      </c>
    </row>
    <row r="2598" spans="1:8">
      <c r="A2598" t="s">
        <v>250</v>
      </c>
      <c r="B2598" t="s">
        <v>28</v>
      </c>
      <c r="C2598">
        <v>64</v>
      </c>
      <c r="D2598" t="s">
        <v>9540</v>
      </c>
      <c r="E2598" t="s">
        <v>9452</v>
      </c>
      <c r="F2598" t="s">
        <v>5691</v>
      </c>
      <c r="G2598" t="s">
        <v>9541</v>
      </c>
    </row>
    <row r="2599" spans="1:8">
      <c r="A2599" t="s">
        <v>250</v>
      </c>
      <c r="B2599" t="s">
        <v>28</v>
      </c>
      <c r="C2599">
        <v>64</v>
      </c>
      <c r="D2599" t="s">
        <v>6073</v>
      </c>
      <c r="E2599" t="s">
        <v>7795</v>
      </c>
      <c r="F2599" t="s">
        <v>5691</v>
      </c>
      <c r="G2599" t="s">
        <v>9542</v>
      </c>
    </row>
    <row r="2600" spans="1:8">
      <c r="A2600" t="s">
        <v>250</v>
      </c>
      <c r="B2600" t="s">
        <v>28</v>
      </c>
      <c r="C2600">
        <v>64</v>
      </c>
      <c r="D2600" t="s">
        <v>9543</v>
      </c>
      <c r="E2600" t="s">
        <v>9544</v>
      </c>
      <c r="F2600" t="s">
        <v>5691</v>
      </c>
    </row>
    <row r="2601" spans="1:8">
      <c r="A2601" t="s">
        <v>240</v>
      </c>
      <c r="B2601" t="s">
        <v>225</v>
      </c>
      <c r="C2601">
        <v>64</v>
      </c>
      <c r="D2601" t="s">
        <v>12092</v>
      </c>
      <c r="E2601" t="s">
        <v>11451</v>
      </c>
      <c r="F2601" t="s">
        <v>225</v>
      </c>
      <c r="G2601" t="s">
        <v>12093</v>
      </c>
      <c r="H2601" t="s">
        <v>12094</v>
      </c>
    </row>
    <row r="2602" spans="1:8">
      <c r="A2602" t="s">
        <v>248</v>
      </c>
      <c r="B2602" t="s">
        <v>225</v>
      </c>
      <c r="C2602">
        <v>64</v>
      </c>
      <c r="D2602" t="s">
        <v>12095</v>
      </c>
      <c r="E2602" t="s">
        <v>12096</v>
      </c>
      <c r="F2602" t="s">
        <v>225</v>
      </c>
      <c r="H2602" t="s">
        <v>12097</v>
      </c>
    </row>
    <row r="2603" spans="1:8">
      <c r="A2603" t="s">
        <v>250</v>
      </c>
      <c r="B2603" t="s">
        <v>225</v>
      </c>
      <c r="C2603">
        <v>64</v>
      </c>
      <c r="D2603" t="s">
        <v>12098</v>
      </c>
      <c r="F2603" t="s">
        <v>225</v>
      </c>
      <c r="G2603" t="s">
        <v>12099</v>
      </c>
    </row>
    <row r="2604" spans="1:8">
      <c r="A2604" t="s">
        <v>250</v>
      </c>
      <c r="B2604" t="s">
        <v>225</v>
      </c>
      <c r="C2604">
        <v>64</v>
      </c>
      <c r="D2604" t="s">
        <v>12100</v>
      </c>
    </row>
    <row r="2605" spans="1:8">
      <c r="A2605" t="s">
        <v>250</v>
      </c>
      <c r="B2605" t="s">
        <v>225</v>
      </c>
      <c r="C2605">
        <v>64</v>
      </c>
      <c r="D2605" t="s">
        <v>12101</v>
      </c>
      <c r="E2605" t="s">
        <v>12102</v>
      </c>
      <c r="F2605" t="s">
        <v>225</v>
      </c>
    </row>
    <row r="2606" spans="1:8">
      <c r="A2606" t="s">
        <v>252</v>
      </c>
      <c r="B2606" t="s">
        <v>225</v>
      </c>
      <c r="C2606">
        <v>64</v>
      </c>
      <c r="D2606" t="s">
        <v>12103</v>
      </c>
      <c r="E2606" t="s">
        <v>12104</v>
      </c>
      <c r="F2606" t="s">
        <v>225</v>
      </c>
      <c r="G2606" t="s">
        <v>12105</v>
      </c>
      <c r="H2606" t="s">
        <v>12106</v>
      </c>
    </row>
    <row r="2607" spans="1:8">
      <c r="A2607" t="s">
        <v>240</v>
      </c>
      <c r="B2607" t="s">
        <v>225</v>
      </c>
      <c r="C2607">
        <v>64</v>
      </c>
      <c r="D2607" t="s">
        <v>12107</v>
      </c>
      <c r="E2607" t="s">
        <v>12108</v>
      </c>
      <c r="F2607" t="s">
        <v>225</v>
      </c>
      <c r="G2607" t="s">
        <v>12109</v>
      </c>
      <c r="H2607" t="s">
        <v>12110</v>
      </c>
    </row>
    <row r="2608" spans="1:8">
      <c r="A2608" t="s">
        <v>243</v>
      </c>
      <c r="B2608" t="s">
        <v>225</v>
      </c>
      <c r="C2608">
        <v>64</v>
      </c>
      <c r="D2608" t="s">
        <v>12111</v>
      </c>
      <c r="E2608" t="s">
        <v>12112</v>
      </c>
      <c r="F2608" t="s">
        <v>12113</v>
      </c>
      <c r="G2608" t="s">
        <v>12114</v>
      </c>
      <c r="H2608" t="s">
        <v>12115</v>
      </c>
    </row>
    <row r="2609" spans="1:8">
      <c r="A2609" t="s">
        <v>241</v>
      </c>
      <c r="B2609" t="s">
        <v>225</v>
      </c>
      <c r="C2609">
        <v>64</v>
      </c>
      <c r="D2609" t="s">
        <v>12116</v>
      </c>
      <c r="G2609" t="s">
        <v>12117</v>
      </c>
      <c r="H2609" t="s">
        <v>12118</v>
      </c>
    </row>
    <row r="2610" spans="1:8">
      <c r="A2610" t="s">
        <v>241</v>
      </c>
      <c r="B2610" t="s">
        <v>157</v>
      </c>
      <c r="C2610">
        <v>64</v>
      </c>
      <c r="D2610" t="s">
        <v>17797</v>
      </c>
      <c r="F2610" t="s">
        <v>17798</v>
      </c>
      <c r="G2610" t="s">
        <v>17799</v>
      </c>
      <c r="H2610" t="s">
        <v>17800</v>
      </c>
    </row>
    <row r="2611" spans="1:8">
      <c r="A2611" t="s">
        <v>241</v>
      </c>
      <c r="B2611" t="s">
        <v>157</v>
      </c>
      <c r="C2611">
        <v>64</v>
      </c>
      <c r="D2611" t="s">
        <v>17801</v>
      </c>
      <c r="E2611" t="s">
        <v>17802</v>
      </c>
      <c r="F2611" t="s">
        <v>157</v>
      </c>
      <c r="G2611" t="s">
        <v>17803</v>
      </c>
      <c r="H2611" t="s">
        <v>17804</v>
      </c>
    </row>
    <row r="2612" spans="1:8">
      <c r="A2612" t="s">
        <v>241</v>
      </c>
      <c r="B2612" t="s">
        <v>157</v>
      </c>
      <c r="C2612">
        <v>64</v>
      </c>
      <c r="D2612" t="s">
        <v>17805</v>
      </c>
      <c r="E2612" t="s">
        <v>17806</v>
      </c>
      <c r="F2612" t="s">
        <v>157</v>
      </c>
      <c r="G2612" t="s">
        <v>17807</v>
      </c>
      <c r="H2612" t="s">
        <v>17808</v>
      </c>
    </row>
    <row r="2613" spans="1:8">
      <c r="A2613" t="s">
        <v>241</v>
      </c>
      <c r="B2613" t="s">
        <v>157</v>
      </c>
      <c r="C2613">
        <v>64</v>
      </c>
      <c r="D2613" t="s">
        <v>17809</v>
      </c>
      <c r="F2613" t="s">
        <v>17810</v>
      </c>
      <c r="H2613" t="s">
        <v>17811</v>
      </c>
    </row>
    <row r="2614" spans="1:8">
      <c r="A2614" t="s">
        <v>242</v>
      </c>
      <c r="B2614" t="s">
        <v>69</v>
      </c>
      <c r="C2614">
        <v>65</v>
      </c>
      <c r="D2614" t="s">
        <v>3272</v>
      </c>
      <c r="E2614" t="s">
        <v>3273</v>
      </c>
      <c r="F2614" t="s">
        <v>69</v>
      </c>
      <c r="H2614" t="s">
        <v>3274</v>
      </c>
    </row>
    <row r="2615" spans="1:8">
      <c r="A2615" t="s">
        <v>240</v>
      </c>
      <c r="B2615" t="s">
        <v>69</v>
      </c>
      <c r="C2615">
        <v>65</v>
      </c>
      <c r="D2615" t="s">
        <v>3275</v>
      </c>
      <c r="E2615" t="s">
        <v>3276</v>
      </c>
      <c r="F2615" t="s">
        <v>69</v>
      </c>
      <c r="G2615" t="s">
        <v>3277</v>
      </c>
      <c r="H2615" t="s">
        <v>3278</v>
      </c>
    </row>
    <row r="2616" spans="1:8">
      <c r="A2616" t="s">
        <v>238</v>
      </c>
      <c r="B2616" t="s">
        <v>69</v>
      </c>
      <c r="C2616">
        <v>65</v>
      </c>
      <c r="D2616" t="s">
        <v>3279</v>
      </c>
      <c r="E2616" t="s">
        <v>3280</v>
      </c>
      <c r="F2616" t="s">
        <v>69</v>
      </c>
      <c r="H2616" t="s">
        <v>3281</v>
      </c>
    </row>
    <row r="2617" spans="1:8">
      <c r="A2617" t="s">
        <v>239</v>
      </c>
      <c r="B2617" t="s">
        <v>173</v>
      </c>
      <c r="C2617">
        <v>65</v>
      </c>
      <c r="D2617" t="s">
        <v>4238</v>
      </c>
      <c r="F2617" t="s">
        <v>4239</v>
      </c>
    </row>
    <row r="2618" spans="1:8">
      <c r="A2618" t="s">
        <v>242</v>
      </c>
      <c r="B2618" t="s">
        <v>173</v>
      </c>
      <c r="C2618">
        <v>65</v>
      </c>
      <c r="D2618" t="s">
        <v>4240</v>
      </c>
      <c r="E2618" t="s">
        <v>4241</v>
      </c>
      <c r="H2618" t="s">
        <v>4242</v>
      </c>
    </row>
    <row r="2619" spans="1:8">
      <c r="A2619" t="s">
        <v>240</v>
      </c>
      <c r="B2619" t="s">
        <v>173</v>
      </c>
      <c r="C2619">
        <v>65</v>
      </c>
      <c r="D2619" t="s">
        <v>4243</v>
      </c>
    </row>
    <row r="2620" spans="1:8">
      <c r="A2620" t="s">
        <v>241</v>
      </c>
      <c r="B2620" t="s">
        <v>173</v>
      </c>
      <c r="C2620">
        <v>65</v>
      </c>
      <c r="D2620" t="s">
        <v>4244</v>
      </c>
      <c r="E2620" t="s">
        <v>4245</v>
      </c>
      <c r="F2620" t="s">
        <v>173</v>
      </c>
      <c r="H2620" t="s">
        <v>4246</v>
      </c>
    </row>
    <row r="2621" spans="1:8">
      <c r="A2621" t="s">
        <v>238</v>
      </c>
      <c r="B2621" t="s">
        <v>173</v>
      </c>
      <c r="C2621">
        <v>65</v>
      </c>
      <c r="D2621" t="s">
        <v>4247</v>
      </c>
      <c r="E2621" t="s">
        <v>4248</v>
      </c>
      <c r="F2621" t="s">
        <v>173</v>
      </c>
      <c r="G2621" t="s">
        <v>4249</v>
      </c>
      <c r="H2621" t="s">
        <v>4250</v>
      </c>
    </row>
    <row r="2622" spans="1:8">
      <c r="A2622" t="s">
        <v>240</v>
      </c>
      <c r="B2622" t="s">
        <v>173</v>
      </c>
      <c r="C2622">
        <v>65</v>
      </c>
      <c r="D2622" t="s">
        <v>4251</v>
      </c>
      <c r="E2622" t="s">
        <v>4252</v>
      </c>
      <c r="F2622" t="s">
        <v>173</v>
      </c>
      <c r="G2622" t="s">
        <v>4253</v>
      </c>
      <c r="H2622" t="s">
        <v>4254</v>
      </c>
    </row>
    <row r="2623" spans="1:8">
      <c r="A2623" t="s">
        <v>242</v>
      </c>
      <c r="B2623" t="s">
        <v>173</v>
      </c>
      <c r="C2623">
        <v>65</v>
      </c>
      <c r="D2623" t="s">
        <v>4255</v>
      </c>
      <c r="E2623" t="s">
        <v>4256</v>
      </c>
      <c r="F2623" t="s">
        <v>173</v>
      </c>
      <c r="G2623" t="s">
        <v>4257</v>
      </c>
      <c r="H2623" t="s">
        <v>4258</v>
      </c>
    </row>
    <row r="2624" spans="1:8">
      <c r="A2624" t="s">
        <v>243</v>
      </c>
      <c r="B2624" t="s">
        <v>173</v>
      </c>
      <c r="C2624">
        <v>65</v>
      </c>
      <c r="D2624" t="s">
        <v>4259</v>
      </c>
      <c r="E2624" t="s">
        <v>4260</v>
      </c>
      <c r="F2624" t="s">
        <v>173</v>
      </c>
      <c r="H2624" t="s">
        <v>4261</v>
      </c>
    </row>
    <row r="2625" spans="1:8">
      <c r="A2625" t="s">
        <v>243</v>
      </c>
      <c r="B2625" t="s">
        <v>173</v>
      </c>
      <c r="C2625">
        <v>65</v>
      </c>
      <c r="D2625" t="s">
        <v>4262</v>
      </c>
      <c r="E2625" t="s">
        <v>4263</v>
      </c>
      <c r="F2625" t="s">
        <v>173</v>
      </c>
    </row>
    <row r="2626" spans="1:8">
      <c r="A2626" t="s">
        <v>240</v>
      </c>
      <c r="B2626" t="s">
        <v>173</v>
      </c>
      <c r="C2626">
        <v>65</v>
      </c>
      <c r="D2626" t="s">
        <v>4264</v>
      </c>
      <c r="E2626" t="s">
        <v>4265</v>
      </c>
      <c r="F2626" t="s">
        <v>173</v>
      </c>
    </row>
    <row r="2627" spans="1:8">
      <c r="A2627" t="s">
        <v>240</v>
      </c>
      <c r="B2627" t="s">
        <v>173</v>
      </c>
      <c r="C2627">
        <v>65</v>
      </c>
      <c r="D2627" t="s">
        <v>4266</v>
      </c>
      <c r="E2627" t="s">
        <v>4267</v>
      </c>
      <c r="F2627" t="s">
        <v>173</v>
      </c>
      <c r="G2627" t="s">
        <v>4268</v>
      </c>
      <c r="H2627" t="s">
        <v>4269</v>
      </c>
    </row>
    <row r="2628" spans="1:8">
      <c r="A2628" t="s">
        <v>241</v>
      </c>
      <c r="B2628" t="s">
        <v>90</v>
      </c>
      <c r="C2628">
        <v>65</v>
      </c>
      <c r="D2628" t="s">
        <v>11592</v>
      </c>
      <c r="E2628" t="s">
        <v>11593</v>
      </c>
      <c r="G2628" t="s">
        <v>11594</v>
      </c>
      <c r="H2628" t="s">
        <v>11595</v>
      </c>
    </row>
    <row r="2629" spans="1:8">
      <c r="A2629" t="s">
        <v>241</v>
      </c>
      <c r="B2629" t="s">
        <v>90</v>
      </c>
      <c r="C2629">
        <v>65</v>
      </c>
      <c r="D2629" t="s">
        <v>9509</v>
      </c>
      <c r="E2629" t="s">
        <v>11596</v>
      </c>
      <c r="G2629" t="s">
        <v>11597</v>
      </c>
      <c r="H2629" t="s">
        <v>11598</v>
      </c>
    </row>
    <row r="2630" spans="1:8">
      <c r="A2630" t="s">
        <v>241</v>
      </c>
      <c r="B2630" t="s">
        <v>90</v>
      </c>
      <c r="C2630">
        <v>65</v>
      </c>
      <c r="D2630" t="s">
        <v>11599</v>
      </c>
      <c r="E2630" t="s">
        <v>11600</v>
      </c>
      <c r="F2630" t="s">
        <v>90</v>
      </c>
      <c r="G2630" t="s">
        <v>11601</v>
      </c>
      <c r="H2630" t="s">
        <v>11602</v>
      </c>
    </row>
    <row r="2631" spans="1:8">
      <c r="A2631" t="s">
        <v>241</v>
      </c>
      <c r="B2631" t="s">
        <v>90</v>
      </c>
      <c r="C2631">
        <v>65</v>
      </c>
      <c r="D2631" t="s">
        <v>11603</v>
      </c>
      <c r="E2631" t="s">
        <v>11604</v>
      </c>
      <c r="H2631" t="s">
        <v>11605</v>
      </c>
    </row>
    <row r="2632" spans="1:8">
      <c r="A2632" t="s">
        <v>242</v>
      </c>
      <c r="B2632" t="s">
        <v>90</v>
      </c>
      <c r="C2632">
        <v>65</v>
      </c>
      <c r="D2632" t="s">
        <v>11606</v>
      </c>
      <c r="E2632" t="s">
        <v>11607</v>
      </c>
      <c r="H2632" t="s">
        <v>865</v>
      </c>
    </row>
    <row r="2633" spans="1:8">
      <c r="A2633" t="s">
        <v>242</v>
      </c>
      <c r="B2633" t="s">
        <v>90</v>
      </c>
      <c r="C2633">
        <v>65</v>
      </c>
      <c r="D2633" t="s">
        <v>11608</v>
      </c>
      <c r="E2633" t="s">
        <v>11609</v>
      </c>
      <c r="F2633" t="s">
        <v>90</v>
      </c>
      <c r="G2633" t="s">
        <v>11610</v>
      </c>
      <c r="H2633" t="s">
        <v>11611</v>
      </c>
    </row>
    <row r="2634" spans="1:8">
      <c r="A2634" t="s">
        <v>241</v>
      </c>
      <c r="B2634" t="s">
        <v>90</v>
      </c>
      <c r="C2634">
        <v>65</v>
      </c>
      <c r="D2634" t="s">
        <v>11612</v>
      </c>
      <c r="E2634" t="s">
        <v>11613</v>
      </c>
      <c r="F2634" t="s">
        <v>90</v>
      </c>
      <c r="H2634" t="s">
        <v>11614</v>
      </c>
    </row>
    <row r="2635" spans="1:8">
      <c r="A2635" t="s">
        <v>241</v>
      </c>
      <c r="B2635" t="s">
        <v>90</v>
      </c>
      <c r="C2635">
        <v>65</v>
      </c>
      <c r="D2635" t="s">
        <v>11615</v>
      </c>
      <c r="E2635" t="s">
        <v>11616</v>
      </c>
      <c r="F2635" t="s">
        <v>90</v>
      </c>
      <c r="G2635" t="s">
        <v>11617</v>
      </c>
      <c r="H2635" t="s">
        <v>11618</v>
      </c>
    </row>
    <row r="2636" spans="1:8">
      <c r="A2636" t="s">
        <v>242</v>
      </c>
      <c r="B2636" t="s">
        <v>90</v>
      </c>
      <c r="C2636">
        <v>65</v>
      </c>
      <c r="D2636" t="s">
        <v>11619</v>
      </c>
      <c r="E2636" t="s">
        <v>11620</v>
      </c>
      <c r="F2636" t="s">
        <v>90</v>
      </c>
      <c r="G2636" t="s">
        <v>11621</v>
      </c>
      <c r="H2636" t="s">
        <v>11622</v>
      </c>
    </row>
    <row r="2637" spans="1:8">
      <c r="A2637" t="s">
        <v>240</v>
      </c>
      <c r="B2637" t="s">
        <v>90</v>
      </c>
      <c r="C2637">
        <v>65</v>
      </c>
      <c r="D2637" t="s">
        <v>11623</v>
      </c>
      <c r="E2637" t="s">
        <v>11624</v>
      </c>
      <c r="H2637" t="s">
        <v>11625</v>
      </c>
    </row>
    <row r="2638" spans="1:8">
      <c r="A2638" t="s">
        <v>242</v>
      </c>
      <c r="B2638" t="s">
        <v>90</v>
      </c>
      <c r="C2638">
        <v>65</v>
      </c>
      <c r="D2638" t="s">
        <v>11626</v>
      </c>
      <c r="E2638" t="s">
        <v>11627</v>
      </c>
      <c r="F2638" t="s">
        <v>90</v>
      </c>
      <c r="G2638" t="s">
        <v>11628</v>
      </c>
      <c r="H2638" t="s">
        <v>11629</v>
      </c>
    </row>
    <row r="2639" spans="1:8">
      <c r="A2639" t="s">
        <v>241</v>
      </c>
      <c r="B2639" t="s">
        <v>90</v>
      </c>
      <c r="C2639">
        <v>65</v>
      </c>
      <c r="D2639" t="s">
        <v>11630</v>
      </c>
      <c r="E2639" t="s">
        <v>11631</v>
      </c>
      <c r="H2639" t="s">
        <v>11632</v>
      </c>
    </row>
    <row r="2640" spans="1:8">
      <c r="A2640" t="s">
        <v>240</v>
      </c>
      <c r="B2640" t="s">
        <v>15</v>
      </c>
      <c r="C2640">
        <v>66</v>
      </c>
      <c r="D2640" t="s">
        <v>6830</v>
      </c>
      <c r="E2640" t="s">
        <v>6831</v>
      </c>
      <c r="F2640" t="s">
        <v>15</v>
      </c>
      <c r="G2640" t="s">
        <v>6832</v>
      </c>
      <c r="H2640" t="s">
        <v>6833</v>
      </c>
    </row>
    <row r="2641" spans="1:8">
      <c r="A2641" t="s">
        <v>242</v>
      </c>
      <c r="B2641" t="s">
        <v>15</v>
      </c>
      <c r="C2641">
        <v>66</v>
      </c>
      <c r="D2641" t="s">
        <v>6834</v>
      </c>
      <c r="E2641" t="s">
        <v>6835</v>
      </c>
      <c r="F2641" t="s">
        <v>15</v>
      </c>
      <c r="G2641" t="s">
        <v>6836</v>
      </c>
      <c r="H2641" t="s">
        <v>6837</v>
      </c>
    </row>
    <row r="2642" spans="1:8">
      <c r="A2642" t="s">
        <v>241</v>
      </c>
      <c r="B2642" t="s">
        <v>15</v>
      </c>
      <c r="C2642">
        <v>66</v>
      </c>
      <c r="D2642" t="s">
        <v>6838</v>
      </c>
      <c r="E2642" t="s">
        <v>6839</v>
      </c>
      <c r="F2642" t="s">
        <v>15</v>
      </c>
      <c r="G2642" t="s">
        <v>6840</v>
      </c>
      <c r="H2642" t="s">
        <v>6841</v>
      </c>
    </row>
    <row r="2643" spans="1:8">
      <c r="A2643" t="s">
        <v>241</v>
      </c>
      <c r="B2643" t="s">
        <v>15</v>
      </c>
      <c r="C2643">
        <v>66</v>
      </c>
      <c r="D2643" t="s">
        <v>6842</v>
      </c>
      <c r="E2643" t="s">
        <v>6843</v>
      </c>
      <c r="F2643" t="s">
        <v>15</v>
      </c>
      <c r="G2643" t="s">
        <v>6844</v>
      </c>
      <c r="H2643" t="s">
        <v>6845</v>
      </c>
    </row>
    <row r="2644" spans="1:8">
      <c r="A2644" t="s">
        <v>242</v>
      </c>
      <c r="B2644" t="s">
        <v>15</v>
      </c>
      <c r="C2644">
        <v>66</v>
      </c>
      <c r="D2644" t="s">
        <v>6846</v>
      </c>
      <c r="E2644" t="s">
        <v>6847</v>
      </c>
      <c r="F2644" t="s">
        <v>15</v>
      </c>
    </row>
    <row r="2645" spans="1:8">
      <c r="A2645" t="s">
        <v>242</v>
      </c>
      <c r="B2645" t="s">
        <v>15</v>
      </c>
      <c r="C2645">
        <v>66</v>
      </c>
      <c r="D2645" t="s">
        <v>6848</v>
      </c>
      <c r="F2645" t="s">
        <v>15</v>
      </c>
      <c r="G2645" t="s">
        <v>6849</v>
      </c>
      <c r="H2645" t="s">
        <v>6850</v>
      </c>
    </row>
    <row r="2646" spans="1:8">
      <c r="A2646" t="s">
        <v>241</v>
      </c>
      <c r="B2646" t="s">
        <v>15</v>
      </c>
      <c r="C2646">
        <v>66</v>
      </c>
      <c r="D2646" t="s">
        <v>6851</v>
      </c>
      <c r="E2646" t="s">
        <v>6852</v>
      </c>
      <c r="H2646" t="s">
        <v>6853</v>
      </c>
    </row>
    <row r="2647" spans="1:8">
      <c r="A2647" t="s">
        <v>242</v>
      </c>
      <c r="B2647" t="s">
        <v>15</v>
      </c>
      <c r="C2647">
        <v>66</v>
      </c>
      <c r="D2647" t="s">
        <v>6854</v>
      </c>
      <c r="E2647" t="s">
        <v>6855</v>
      </c>
      <c r="F2647" t="s">
        <v>15</v>
      </c>
      <c r="H2647" t="s">
        <v>6856</v>
      </c>
    </row>
    <row r="2648" spans="1:8">
      <c r="A2648" t="s">
        <v>241</v>
      </c>
      <c r="B2648" t="s">
        <v>15</v>
      </c>
      <c r="C2648">
        <v>66</v>
      </c>
      <c r="D2648" t="s">
        <v>6857</v>
      </c>
      <c r="E2648" t="s">
        <v>6858</v>
      </c>
      <c r="F2648" t="s">
        <v>15</v>
      </c>
      <c r="H2648" t="s">
        <v>6859</v>
      </c>
    </row>
    <row r="2649" spans="1:8">
      <c r="A2649" t="s">
        <v>242</v>
      </c>
      <c r="B2649" t="s">
        <v>15</v>
      </c>
      <c r="C2649">
        <v>66</v>
      </c>
      <c r="D2649" t="s">
        <v>6860</v>
      </c>
      <c r="E2649" t="s">
        <v>6861</v>
      </c>
      <c r="F2649" t="s">
        <v>15</v>
      </c>
      <c r="G2649" t="s">
        <v>6862</v>
      </c>
      <c r="H2649" t="s">
        <v>6863</v>
      </c>
    </row>
    <row r="2650" spans="1:8">
      <c r="A2650" t="s">
        <v>241</v>
      </c>
      <c r="B2650" t="s">
        <v>15</v>
      </c>
      <c r="C2650">
        <v>66</v>
      </c>
      <c r="D2650" t="s">
        <v>6864</v>
      </c>
      <c r="E2650" t="s">
        <v>6865</v>
      </c>
      <c r="G2650" t="s">
        <v>6866</v>
      </c>
      <c r="H2650" t="s">
        <v>6867</v>
      </c>
    </row>
    <row r="2651" spans="1:8">
      <c r="A2651" t="s">
        <v>240</v>
      </c>
      <c r="B2651" t="s">
        <v>15</v>
      </c>
      <c r="C2651">
        <v>66</v>
      </c>
      <c r="D2651" t="s">
        <v>6868</v>
      </c>
      <c r="E2651" t="s">
        <v>6869</v>
      </c>
      <c r="F2651" t="s">
        <v>15</v>
      </c>
      <c r="G2651" t="s">
        <v>6870</v>
      </c>
      <c r="H2651" t="s">
        <v>6871</v>
      </c>
    </row>
    <row r="2652" spans="1:8">
      <c r="A2652" t="s">
        <v>240</v>
      </c>
      <c r="B2652" t="s">
        <v>15</v>
      </c>
      <c r="C2652">
        <v>66</v>
      </c>
      <c r="D2652" t="s">
        <v>6872</v>
      </c>
      <c r="E2652" t="s">
        <v>6873</v>
      </c>
      <c r="F2652" t="s">
        <v>15</v>
      </c>
      <c r="G2652" t="s">
        <v>6874</v>
      </c>
      <c r="H2652" t="s">
        <v>6875</v>
      </c>
    </row>
    <row r="2653" spans="1:8">
      <c r="A2653" t="s">
        <v>244</v>
      </c>
      <c r="B2653" t="s">
        <v>15</v>
      </c>
      <c r="C2653">
        <v>66</v>
      </c>
      <c r="D2653" t="s">
        <v>1282</v>
      </c>
      <c r="F2653" t="s">
        <v>6876</v>
      </c>
    </row>
    <row r="2654" spans="1:8">
      <c r="A2654" t="s">
        <v>238</v>
      </c>
      <c r="B2654" t="s">
        <v>15</v>
      </c>
      <c r="C2654">
        <v>66</v>
      </c>
      <c r="D2654" t="s">
        <v>6877</v>
      </c>
      <c r="E2654" t="s">
        <v>6878</v>
      </c>
      <c r="H2654" t="s">
        <v>6879</v>
      </c>
    </row>
    <row r="2655" spans="1:8">
      <c r="A2655" t="s">
        <v>242</v>
      </c>
      <c r="B2655" t="s">
        <v>15</v>
      </c>
      <c r="C2655">
        <v>66</v>
      </c>
      <c r="D2655" t="s">
        <v>6880</v>
      </c>
      <c r="E2655" t="s">
        <v>6881</v>
      </c>
      <c r="F2655" t="s">
        <v>6882</v>
      </c>
      <c r="G2655" t="s">
        <v>6883</v>
      </c>
      <c r="H2655" t="s">
        <v>6884</v>
      </c>
    </row>
    <row r="2656" spans="1:8">
      <c r="A2656" t="s">
        <v>238</v>
      </c>
      <c r="B2656" t="s">
        <v>15</v>
      </c>
      <c r="C2656">
        <v>66</v>
      </c>
      <c r="D2656" t="s">
        <v>6885</v>
      </c>
      <c r="E2656" t="s">
        <v>6886</v>
      </c>
      <c r="F2656" t="s">
        <v>15</v>
      </c>
      <c r="G2656" t="s">
        <v>6887</v>
      </c>
      <c r="H2656" t="s">
        <v>6888</v>
      </c>
    </row>
    <row r="2657" spans="1:8">
      <c r="A2657" t="s">
        <v>241</v>
      </c>
      <c r="B2657" t="s">
        <v>15</v>
      </c>
      <c r="C2657">
        <v>66</v>
      </c>
      <c r="D2657" t="s">
        <v>6889</v>
      </c>
      <c r="E2657" t="s">
        <v>6890</v>
      </c>
      <c r="F2657" t="s">
        <v>15</v>
      </c>
      <c r="H2657" t="s">
        <v>6891</v>
      </c>
    </row>
    <row r="2658" spans="1:8">
      <c r="A2658" t="s">
        <v>242</v>
      </c>
      <c r="B2658" t="s">
        <v>15</v>
      </c>
      <c r="C2658">
        <v>66</v>
      </c>
      <c r="D2658" t="s">
        <v>6892</v>
      </c>
      <c r="E2658" t="s">
        <v>6893</v>
      </c>
      <c r="G2658" t="s">
        <v>6894</v>
      </c>
      <c r="H2658" t="s">
        <v>6895</v>
      </c>
    </row>
    <row r="2659" spans="1:8">
      <c r="A2659" t="s">
        <v>238</v>
      </c>
      <c r="B2659" t="s">
        <v>15</v>
      </c>
      <c r="C2659">
        <v>66</v>
      </c>
      <c r="D2659" t="s">
        <v>6896</v>
      </c>
      <c r="E2659" t="s">
        <v>6897</v>
      </c>
      <c r="G2659" t="s">
        <v>6898</v>
      </c>
      <c r="H2659" t="s">
        <v>6899</v>
      </c>
    </row>
    <row r="2660" spans="1:8">
      <c r="A2660" t="s">
        <v>243</v>
      </c>
      <c r="B2660" t="s">
        <v>144</v>
      </c>
      <c r="C2660">
        <v>66</v>
      </c>
      <c r="D2660" t="s">
        <v>13220</v>
      </c>
      <c r="E2660" t="s">
        <v>13221</v>
      </c>
      <c r="H2660" t="s">
        <v>13222</v>
      </c>
    </row>
    <row r="2661" spans="1:8">
      <c r="A2661" t="s">
        <v>244</v>
      </c>
      <c r="B2661" t="s">
        <v>144</v>
      </c>
      <c r="C2661">
        <v>66</v>
      </c>
      <c r="D2661" t="s">
        <v>13223</v>
      </c>
      <c r="F2661" t="s">
        <v>13224</v>
      </c>
    </row>
    <row r="2662" spans="1:8">
      <c r="A2662" t="s">
        <v>243</v>
      </c>
      <c r="B2662" t="s">
        <v>144</v>
      </c>
      <c r="C2662">
        <v>66</v>
      </c>
      <c r="D2662" t="s">
        <v>13225</v>
      </c>
      <c r="E2662" t="s">
        <v>13226</v>
      </c>
      <c r="F2662" t="s">
        <v>13227</v>
      </c>
      <c r="G2662" t="s">
        <v>13228</v>
      </c>
      <c r="H2662" t="s">
        <v>13229</v>
      </c>
    </row>
    <row r="2663" spans="1:8">
      <c r="A2663" t="s">
        <v>240</v>
      </c>
      <c r="B2663" t="s">
        <v>144</v>
      </c>
      <c r="C2663">
        <v>66</v>
      </c>
      <c r="D2663" t="s">
        <v>13230</v>
      </c>
      <c r="E2663" t="s">
        <v>13231</v>
      </c>
      <c r="F2663" t="s">
        <v>144</v>
      </c>
    </row>
    <row r="2664" spans="1:8">
      <c r="A2664" t="s">
        <v>240</v>
      </c>
      <c r="B2664" t="s">
        <v>144</v>
      </c>
      <c r="C2664">
        <v>66</v>
      </c>
      <c r="D2664" t="s">
        <v>13232</v>
      </c>
      <c r="E2664" t="s">
        <v>13233</v>
      </c>
      <c r="F2664" t="s">
        <v>144</v>
      </c>
      <c r="G2664" t="s">
        <v>13234</v>
      </c>
      <c r="H2664" t="s">
        <v>13235</v>
      </c>
    </row>
    <row r="2665" spans="1:8">
      <c r="A2665" t="s">
        <v>241</v>
      </c>
      <c r="B2665" t="s">
        <v>55</v>
      </c>
      <c r="C2665">
        <v>66</v>
      </c>
      <c r="D2665" t="s">
        <v>17735</v>
      </c>
      <c r="E2665" t="s">
        <v>17736</v>
      </c>
      <c r="F2665" t="s">
        <v>17737</v>
      </c>
      <c r="H2665" t="s">
        <v>17738</v>
      </c>
    </row>
    <row r="2666" spans="1:8">
      <c r="A2666" t="s">
        <v>241</v>
      </c>
      <c r="B2666" t="s">
        <v>55</v>
      </c>
      <c r="C2666">
        <v>66</v>
      </c>
      <c r="D2666" t="s">
        <v>17739</v>
      </c>
      <c r="E2666" t="s">
        <v>17740</v>
      </c>
      <c r="H2666" t="s">
        <v>17741</v>
      </c>
    </row>
    <row r="2667" spans="1:8">
      <c r="A2667" t="s">
        <v>241</v>
      </c>
      <c r="B2667" t="s">
        <v>55</v>
      </c>
      <c r="C2667">
        <v>66</v>
      </c>
      <c r="D2667" t="s">
        <v>17742</v>
      </c>
      <c r="E2667" t="s">
        <v>17743</v>
      </c>
      <c r="H2667" t="s">
        <v>17744</v>
      </c>
    </row>
    <row r="2668" spans="1:8">
      <c r="A2668" t="s">
        <v>242</v>
      </c>
      <c r="B2668" t="s">
        <v>55</v>
      </c>
      <c r="C2668">
        <v>66</v>
      </c>
      <c r="D2668" t="s">
        <v>17745</v>
      </c>
      <c r="E2668" t="s">
        <v>17746</v>
      </c>
      <c r="G2668" t="s">
        <v>17747</v>
      </c>
      <c r="H2668" t="s">
        <v>17748</v>
      </c>
    </row>
    <row r="2669" spans="1:8">
      <c r="A2669" t="s">
        <v>241</v>
      </c>
      <c r="B2669" t="s">
        <v>55</v>
      </c>
      <c r="C2669">
        <v>66</v>
      </c>
      <c r="D2669" t="s">
        <v>17749</v>
      </c>
      <c r="E2669" t="s">
        <v>17750</v>
      </c>
      <c r="H2669" t="s">
        <v>17741</v>
      </c>
    </row>
    <row r="2670" spans="1:8">
      <c r="A2670" t="s">
        <v>242</v>
      </c>
      <c r="B2670" t="s">
        <v>55</v>
      </c>
      <c r="C2670">
        <v>66</v>
      </c>
      <c r="D2670" t="s">
        <v>7679</v>
      </c>
      <c r="E2670" t="s">
        <v>17751</v>
      </c>
      <c r="F2670" t="s">
        <v>17752</v>
      </c>
      <c r="G2670" t="s">
        <v>17753</v>
      </c>
      <c r="H2670" t="s">
        <v>17754</v>
      </c>
    </row>
    <row r="2671" spans="1:8">
      <c r="A2671" t="s">
        <v>239</v>
      </c>
      <c r="B2671" t="s">
        <v>55</v>
      </c>
      <c r="C2671">
        <v>66</v>
      </c>
      <c r="D2671" t="s">
        <v>17755</v>
      </c>
      <c r="H2671" t="s">
        <v>17756</v>
      </c>
    </row>
    <row r="2672" spans="1:8">
      <c r="A2672" t="s">
        <v>241</v>
      </c>
      <c r="B2672" t="s">
        <v>55</v>
      </c>
      <c r="C2672">
        <v>66</v>
      </c>
      <c r="D2672" t="s">
        <v>17757</v>
      </c>
      <c r="E2672" t="s">
        <v>17758</v>
      </c>
      <c r="G2672" t="s">
        <v>17759</v>
      </c>
      <c r="H2672" t="s">
        <v>17760</v>
      </c>
    </row>
    <row r="2673" spans="1:8">
      <c r="A2673" t="s">
        <v>244</v>
      </c>
      <c r="B2673" t="s">
        <v>55</v>
      </c>
      <c r="C2673">
        <v>66</v>
      </c>
      <c r="D2673" t="s">
        <v>17761</v>
      </c>
    </row>
    <row r="2674" spans="1:8">
      <c r="A2674" t="s">
        <v>240</v>
      </c>
      <c r="B2674" t="s">
        <v>158</v>
      </c>
      <c r="C2674">
        <v>66</v>
      </c>
      <c r="D2674" t="s">
        <v>18353</v>
      </c>
      <c r="E2674" t="s">
        <v>18354</v>
      </c>
      <c r="F2674" t="s">
        <v>158</v>
      </c>
      <c r="H2674" t="s">
        <v>18355</v>
      </c>
    </row>
    <row r="2675" spans="1:8">
      <c r="A2675" t="s">
        <v>241</v>
      </c>
      <c r="B2675" t="s">
        <v>158</v>
      </c>
      <c r="C2675">
        <v>66</v>
      </c>
      <c r="D2675" t="s">
        <v>18356</v>
      </c>
      <c r="E2675" t="s">
        <v>18357</v>
      </c>
      <c r="H2675" t="s">
        <v>18358</v>
      </c>
    </row>
    <row r="2676" spans="1:8">
      <c r="A2676" t="s">
        <v>241</v>
      </c>
      <c r="B2676" t="s">
        <v>158</v>
      </c>
      <c r="C2676">
        <v>66</v>
      </c>
      <c r="D2676" t="s">
        <v>18359</v>
      </c>
      <c r="E2676" t="s">
        <v>18360</v>
      </c>
      <c r="F2676" t="s">
        <v>158</v>
      </c>
      <c r="H2676" t="s">
        <v>18361</v>
      </c>
    </row>
    <row r="2677" spans="1:8">
      <c r="A2677" t="s">
        <v>243</v>
      </c>
      <c r="B2677" t="s">
        <v>158</v>
      </c>
      <c r="C2677">
        <v>66</v>
      </c>
      <c r="D2677" t="s">
        <v>18362</v>
      </c>
      <c r="E2677" t="s">
        <v>18363</v>
      </c>
      <c r="G2677" t="s">
        <v>18364</v>
      </c>
      <c r="H2677" t="s">
        <v>18365</v>
      </c>
    </row>
    <row r="2678" spans="1:8">
      <c r="A2678" t="s">
        <v>243</v>
      </c>
      <c r="B2678" t="s">
        <v>158</v>
      </c>
      <c r="C2678">
        <v>66</v>
      </c>
      <c r="D2678" t="s">
        <v>18366</v>
      </c>
      <c r="E2678" t="s">
        <v>18367</v>
      </c>
      <c r="H2678" t="s">
        <v>18368</v>
      </c>
    </row>
    <row r="2679" spans="1:8">
      <c r="A2679" t="s">
        <v>240</v>
      </c>
      <c r="B2679" t="s">
        <v>158</v>
      </c>
      <c r="C2679">
        <v>66</v>
      </c>
      <c r="D2679" t="s">
        <v>18369</v>
      </c>
      <c r="E2679" t="s">
        <v>18370</v>
      </c>
      <c r="F2679" t="s">
        <v>158</v>
      </c>
      <c r="G2679" t="s">
        <v>18371</v>
      </c>
      <c r="H2679" t="s">
        <v>18372</v>
      </c>
    </row>
    <row r="2680" spans="1:8">
      <c r="A2680" t="s">
        <v>241</v>
      </c>
      <c r="B2680" t="s">
        <v>158</v>
      </c>
      <c r="C2680">
        <v>66</v>
      </c>
      <c r="D2680" t="s">
        <v>18373</v>
      </c>
      <c r="E2680" t="s">
        <v>18374</v>
      </c>
      <c r="H2680" t="s">
        <v>18375</v>
      </c>
    </row>
    <row r="2681" spans="1:8">
      <c r="A2681" t="s">
        <v>241</v>
      </c>
      <c r="B2681" t="s">
        <v>158</v>
      </c>
      <c r="C2681">
        <v>66</v>
      </c>
      <c r="D2681" t="s">
        <v>18376</v>
      </c>
      <c r="E2681" t="s">
        <v>18377</v>
      </c>
      <c r="F2681" t="s">
        <v>158</v>
      </c>
      <c r="H2681" t="s">
        <v>18378</v>
      </c>
    </row>
    <row r="2682" spans="1:8">
      <c r="A2682" t="s">
        <v>241</v>
      </c>
      <c r="B2682" t="s">
        <v>158</v>
      </c>
      <c r="C2682">
        <v>66</v>
      </c>
      <c r="D2682" t="s">
        <v>18379</v>
      </c>
      <c r="E2682" t="s">
        <v>18380</v>
      </c>
      <c r="F2682" t="s">
        <v>158</v>
      </c>
      <c r="H2682" t="s">
        <v>18378</v>
      </c>
    </row>
    <row r="2683" spans="1:8">
      <c r="A2683" t="s">
        <v>243</v>
      </c>
      <c r="B2683" t="s">
        <v>158</v>
      </c>
      <c r="C2683">
        <v>66</v>
      </c>
      <c r="D2683" t="s">
        <v>18381</v>
      </c>
      <c r="E2683" t="s">
        <v>18382</v>
      </c>
      <c r="H2683" t="s">
        <v>18383</v>
      </c>
    </row>
    <row r="2684" spans="1:8">
      <c r="A2684" t="s">
        <v>242</v>
      </c>
      <c r="B2684" t="s">
        <v>158</v>
      </c>
      <c r="C2684">
        <v>66</v>
      </c>
      <c r="D2684" t="s">
        <v>18384</v>
      </c>
      <c r="F2684" t="s">
        <v>158</v>
      </c>
    </row>
    <row r="2685" spans="1:8">
      <c r="A2685" t="s">
        <v>244</v>
      </c>
      <c r="B2685" t="s">
        <v>158</v>
      </c>
      <c r="C2685">
        <v>66</v>
      </c>
      <c r="D2685" t="s">
        <v>1282</v>
      </c>
    </row>
    <row r="2686" spans="1:8">
      <c r="A2686" t="s">
        <v>241</v>
      </c>
      <c r="B2686" t="s">
        <v>158</v>
      </c>
      <c r="C2686">
        <v>66</v>
      </c>
      <c r="D2686" t="s">
        <v>18385</v>
      </c>
      <c r="F2686" t="s">
        <v>158</v>
      </c>
      <c r="G2686" t="s">
        <v>18386</v>
      </c>
      <c r="H2686" t="s">
        <v>18387</v>
      </c>
    </row>
    <row r="2687" spans="1:8">
      <c r="A2687" t="s">
        <v>241</v>
      </c>
      <c r="B2687" t="s">
        <v>158</v>
      </c>
      <c r="C2687">
        <v>66</v>
      </c>
      <c r="D2687" t="s">
        <v>18388</v>
      </c>
      <c r="E2687" t="s">
        <v>18389</v>
      </c>
      <c r="F2687" t="s">
        <v>128</v>
      </c>
    </row>
    <row r="2688" spans="1:8">
      <c r="A2688" t="s">
        <v>241</v>
      </c>
      <c r="B2688" t="s">
        <v>158</v>
      </c>
      <c r="C2688">
        <v>66</v>
      </c>
      <c r="D2688" t="s">
        <v>6299</v>
      </c>
      <c r="E2688" t="s">
        <v>18367</v>
      </c>
      <c r="F2688" t="s">
        <v>158</v>
      </c>
      <c r="G2688" t="s">
        <v>18390</v>
      </c>
      <c r="H2688" t="s">
        <v>18368</v>
      </c>
    </row>
    <row r="2689" spans="1:8">
      <c r="A2689" t="s">
        <v>242</v>
      </c>
      <c r="B2689" t="s">
        <v>158</v>
      </c>
      <c r="C2689">
        <v>66</v>
      </c>
      <c r="D2689" t="s">
        <v>18391</v>
      </c>
      <c r="E2689" t="s">
        <v>18392</v>
      </c>
      <c r="F2689" t="s">
        <v>158</v>
      </c>
      <c r="G2689" t="s">
        <v>18393</v>
      </c>
      <c r="H2689" t="s">
        <v>18394</v>
      </c>
    </row>
    <row r="2690" spans="1:8">
      <c r="A2690" t="s">
        <v>240</v>
      </c>
      <c r="B2690" t="s">
        <v>158</v>
      </c>
      <c r="C2690">
        <v>66</v>
      </c>
      <c r="D2690" t="s">
        <v>14455</v>
      </c>
      <c r="E2690" t="s">
        <v>18395</v>
      </c>
      <c r="F2690" t="s">
        <v>158</v>
      </c>
      <c r="G2690" t="s">
        <v>18396</v>
      </c>
      <c r="H2690" t="s">
        <v>18397</v>
      </c>
    </row>
    <row r="2691" spans="1:8">
      <c r="A2691" t="s">
        <v>239</v>
      </c>
      <c r="B2691" t="s">
        <v>158</v>
      </c>
      <c r="C2691">
        <v>66</v>
      </c>
      <c r="D2691" t="s">
        <v>18398</v>
      </c>
      <c r="E2691" t="s">
        <v>18399</v>
      </c>
      <c r="F2691" t="s">
        <v>158</v>
      </c>
    </row>
    <row r="2692" spans="1:8">
      <c r="A2692" t="s">
        <v>242</v>
      </c>
      <c r="B2692" t="s">
        <v>158</v>
      </c>
      <c r="C2692">
        <v>66</v>
      </c>
      <c r="D2692" t="s">
        <v>18400</v>
      </c>
      <c r="E2692" t="s">
        <v>18401</v>
      </c>
      <c r="F2692" t="s">
        <v>158</v>
      </c>
      <c r="G2692" t="s">
        <v>18402</v>
      </c>
      <c r="H2692" t="s">
        <v>18403</v>
      </c>
    </row>
    <row r="2693" spans="1:8">
      <c r="A2693" t="s">
        <v>238</v>
      </c>
      <c r="B2693" t="s">
        <v>158</v>
      </c>
      <c r="C2693">
        <v>66</v>
      </c>
      <c r="D2693" t="s">
        <v>18404</v>
      </c>
      <c r="E2693" t="s">
        <v>18405</v>
      </c>
      <c r="H2693" t="s">
        <v>18406</v>
      </c>
    </row>
    <row r="2694" spans="1:8">
      <c r="A2694" t="s">
        <v>241</v>
      </c>
      <c r="B2694" t="s">
        <v>158</v>
      </c>
      <c r="C2694">
        <v>66</v>
      </c>
      <c r="D2694" t="s">
        <v>18407</v>
      </c>
      <c r="E2694" t="s">
        <v>18408</v>
      </c>
      <c r="F2694" t="s">
        <v>158</v>
      </c>
      <c r="G2694" t="s">
        <v>18409</v>
      </c>
      <c r="H2694" t="s">
        <v>18410</v>
      </c>
    </row>
    <row r="2695" spans="1:8">
      <c r="A2695" t="s">
        <v>242</v>
      </c>
      <c r="B2695" t="s">
        <v>158</v>
      </c>
      <c r="C2695">
        <v>66</v>
      </c>
      <c r="D2695" t="s">
        <v>18411</v>
      </c>
      <c r="E2695" t="s">
        <v>18412</v>
      </c>
      <c r="F2695" t="s">
        <v>158</v>
      </c>
      <c r="G2695" t="s">
        <v>18413</v>
      </c>
      <c r="H2695" t="s">
        <v>18414</v>
      </c>
    </row>
    <row r="2696" spans="1:8">
      <c r="A2696" t="s">
        <v>241</v>
      </c>
      <c r="B2696" t="s">
        <v>158</v>
      </c>
      <c r="C2696">
        <v>66</v>
      </c>
      <c r="D2696" t="s">
        <v>18415</v>
      </c>
      <c r="E2696" t="s">
        <v>18416</v>
      </c>
      <c r="H2696" t="s">
        <v>18417</v>
      </c>
    </row>
    <row r="2697" spans="1:8">
      <c r="A2697" t="s">
        <v>241</v>
      </c>
      <c r="B2697" t="s">
        <v>158</v>
      </c>
      <c r="C2697">
        <v>66</v>
      </c>
      <c r="D2697" t="s">
        <v>18418</v>
      </c>
      <c r="E2697" t="s">
        <v>18419</v>
      </c>
      <c r="H2697" t="s">
        <v>18420</v>
      </c>
    </row>
    <row r="2698" spans="1:8">
      <c r="A2698" t="s">
        <v>241</v>
      </c>
      <c r="B2698" t="s">
        <v>158</v>
      </c>
      <c r="C2698">
        <v>66</v>
      </c>
      <c r="D2698" t="s">
        <v>18421</v>
      </c>
      <c r="E2698" t="s">
        <v>18422</v>
      </c>
      <c r="F2698" t="s">
        <v>158</v>
      </c>
      <c r="G2698" t="s">
        <v>18423</v>
      </c>
      <c r="H2698" t="s">
        <v>18424</v>
      </c>
    </row>
    <row r="2699" spans="1:8">
      <c r="A2699" t="s">
        <v>242</v>
      </c>
      <c r="B2699" t="s">
        <v>158</v>
      </c>
      <c r="C2699">
        <v>66</v>
      </c>
      <c r="D2699" t="s">
        <v>18425</v>
      </c>
      <c r="E2699" t="s">
        <v>18426</v>
      </c>
      <c r="F2699" t="s">
        <v>158</v>
      </c>
      <c r="G2699" t="s">
        <v>18427</v>
      </c>
      <c r="H2699" t="s">
        <v>18428</v>
      </c>
    </row>
    <row r="2700" spans="1:8">
      <c r="A2700" t="s">
        <v>242</v>
      </c>
      <c r="B2700" t="s">
        <v>158</v>
      </c>
      <c r="C2700">
        <v>66</v>
      </c>
      <c r="D2700" t="s">
        <v>18429</v>
      </c>
      <c r="E2700" t="s">
        <v>18430</v>
      </c>
      <c r="F2700" t="s">
        <v>158</v>
      </c>
      <c r="G2700" t="s">
        <v>18431</v>
      </c>
      <c r="H2700" t="s">
        <v>18432</v>
      </c>
    </row>
    <row r="2701" spans="1:8">
      <c r="A2701" t="s">
        <v>241</v>
      </c>
      <c r="B2701" t="s">
        <v>158</v>
      </c>
      <c r="C2701">
        <v>66</v>
      </c>
      <c r="D2701" t="s">
        <v>18433</v>
      </c>
      <c r="E2701" t="s">
        <v>18434</v>
      </c>
      <c r="F2701" t="s">
        <v>158</v>
      </c>
      <c r="H2701" t="s">
        <v>18435</v>
      </c>
    </row>
    <row r="2702" spans="1:8">
      <c r="A2702" t="s">
        <v>242</v>
      </c>
      <c r="B2702" t="s">
        <v>158</v>
      </c>
      <c r="C2702">
        <v>66</v>
      </c>
      <c r="D2702" t="s">
        <v>18436</v>
      </c>
    </row>
    <row r="2703" spans="1:8">
      <c r="A2703" t="s">
        <v>241</v>
      </c>
      <c r="B2703" t="s">
        <v>158</v>
      </c>
      <c r="C2703">
        <v>66</v>
      </c>
      <c r="D2703" t="s">
        <v>18437</v>
      </c>
      <c r="E2703" t="s">
        <v>18438</v>
      </c>
      <c r="F2703" t="s">
        <v>158</v>
      </c>
      <c r="G2703" t="s">
        <v>18439</v>
      </c>
      <c r="H2703" t="s">
        <v>18440</v>
      </c>
    </row>
    <row r="2704" spans="1:8">
      <c r="A2704" t="s">
        <v>241</v>
      </c>
      <c r="B2704" t="s">
        <v>158</v>
      </c>
      <c r="C2704">
        <v>66</v>
      </c>
      <c r="D2704" t="s">
        <v>18441</v>
      </c>
      <c r="E2704" t="s">
        <v>18442</v>
      </c>
      <c r="F2704" t="s">
        <v>158</v>
      </c>
      <c r="G2704" t="s">
        <v>18443</v>
      </c>
      <c r="H2704" t="s">
        <v>18444</v>
      </c>
    </row>
    <row r="2705" spans="1:8">
      <c r="A2705" t="s">
        <v>242</v>
      </c>
      <c r="B2705" t="s">
        <v>158</v>
      </c>
      <c r="C2705">
        <v>66</v>
      </c>
      <c r="D2705" t="s">
        <v>18445</v>
      </c>
      <c r="E2705" t="s">
        <v>18446</v>
      </c>
      <c r="F2705" t="s">
        <v>158</v>
      </c>
      <c r="G2705" t="s">
        <v>18447</v>
      </c>
      <c r="H2705" t="s">
        <v>18448</v>
      </c>
    </row>
    <row r="2706" spans="1:8">
      <c r="A2706" t="s">
        <v>241</v>
      </c>
      <c r="B2706" t="s">
        <v>158</v>
      </c>
      <c r="C2706">
        <v>66</v>
      </c>
      <c r="D2706" t="s">
        <v>18449</v>
      </c>
      <c r="E2706" t="s">
        <v>18450</v>
      </c>
      <c r="F2706" t="s">
        <v>158</v>
      </c>
      <c r="G2706" t="s">
        <v>18451</v>
      </c>
      <c r="H2706" t="s">
        <v>18452</v>
      </c>
    </row>
    <row r="2707" spans="1:8">
      <c r="A2707" t="s">
        <v>240</v>
      </c>
      <c r="B2707" t="s">
        <v>158</v>
      </c>
      <c r="C2707">
        <v>66</v>
      </c>
      <c r="D2707" t="s">
        <v>18453</v>
      </c>
      <c r="E2707" t="s">
        <v>18454</v>
      </c>
      <c r="F2707" t="s">
        <v>158</v>
      </c>
      <c r="G2707" t="s">
        <v>18455</v>
      </c>
      <c r="H2707" t="s">
        <v>18456</v>
      </c>
    </row>
    <row r="2708" spans="1:8">
      <c r="A2708" t="s">
        <v>240</v>
      </c>
      <c r="B2708" t="s">
        <v>158</v>
      </c>
      <c r="C2708">
        <v>66</v>
      </c>
      <c r="D2708" t="s">
        <v>18457</v>
      </c>
      <c r="E2708" t="s">
        <v>18458</v>
      </c>
      <c r="F2708" t="s">
        <v>18459</v>
      </c>
      <c r="G2708" t="s">
        <v>18460</v>
      </c>
      <c r="H2708" t="s">
        <v>18461</v>
      </c>
    </row>
    <row r="2709" spans="1:8">
      <c r="A2709" t="s">
        <v>240</v>
      </c>
      <c r="B2709" t="s">
        <v>158</v>
      </c>
      <c r="C2709">
        <v>66</v>
      </c>
      <c r="D2709" t="s">
        <v>18462</v>
      </c>
      <c r="E2709" t="s">
        <v>10428</v>
      </c>
      <c r="F2709" t="s">
        <v>158</v>
      </c>
      <c r="G2709" t="s">
        <v>18463</v>
      </c>
      <c r="H2709" t="s">
        <v>18464</v>
      </c>
    </row>
    <row r="2710" spans="1:8">
      <c r="A2710" t="s">
        <v>242</v>
      </c>
      <c r="B2710" t="s">
        <v>158</v>
      </c>
      <c r="C2710">
        <v>66</v>
      </c>
      <c r="D2710" t="s">
        <v>18465</v>
      </c>
      <c r="E2710" t="s">
        <v>18466</v>
      </c>
      <c r="F2710" t="s">
        <v>158</v>
      </c>
      <c r="H2710" t="s">
        <v>18467</v>
      </c>
    </row>
    <row r="2711" spans="1:8">
      <c r="A2711" t="s">
        <v>242</v>
      </c>
      <c r="B2711" t="s">
        <v>182</v>
      </c>
      <c r="C2711">
        <v>67</v>
      </c>
      <c r="D2711" t="s">
        <v>9614</v>
      </c>
      <c r="E2711" t="s">
        <v>9615</v>
      </c>
      <c r="F2711" t="s">
        <v>9616</v>
      </c>
      <c r="H2711" t="s">
        <v>9617</v>
      </c>
    </row>
    <row r="2712" spans="1:8">
      <c r="A2712" t="s">
        <v>238</v>
      </c>
      <c r="B2712" t="s">
        <v>182</v>
      </c>
      <c r="C2712">
        <v>67</v>
      </c>
      <c r="D2712" t="s">
        <v>9618</v>
      </c>
      <c r="E2712" t="s">
        <v>9619</v>
      </c>
      <c r="F2712" t="s">
        <v>182</v>
      </c>
      <c r="G2712" t="s">
        <v>9620</v>
      </c>
      <c r="H2712" t="s">
        <v>9621</v>
      </c>
    </row>
    <row r="2713" spans="1:8">
      <c r="A2713" t="s">
        <v>239</v>
      </c>
      <c r="B2713" t="s">
        <v>182</v>
      </c>
      <c r="C2713">
        <v>67</v>
      </c>
      <c r="D2713" t="s">
        <v>9622</v>
      </c>
      <c r="E2713" t="s">
        <v>9623</v>
      </c>
      <c r="F2713" t="s">
        <v>182</v>
      </c>
      <c r="H2713" t="s">
        <v>9624</v>
      </c>
    </row>
    <row r="2714" spans="1:8">
      <c r="A2714" t="s">
        <v>239</v>
      </c>
      <c r="B2714" t="s">
        <v>182</v>
      </c>
      <c r="C2714">
        <v>67</v>
      </c>
      <c r="D2714" t="s">
        <v>9625</v>
      </c>
      <c r="E2714" t="s">
        <v>9626</v>
      </c>
      <c r="F2714" t="s">
        <v>9627</v>
      </c>
      <c r="H2714" t="s">
        <v>9628</v>
      </c>
    </row>
    <row r="2715" spans="1:8">
      <c r="A2715" t="s">
        <v>241</v>
      </c>
      <c r="B2715" t="s">
        <v>182</v>
      </c>
      <c r="C2715">
        <v>67</v>
      </c>
      <c r="D2715" t="s">
        <v>9629</v>
      </c>
      <c r="E2715" t="s">
        <v>9630</v>
      </c>
      <c r="F2715" t="s">
        <v>182</v>
      </c>
      <c r="G2715" t="s">
        <v>9631</v>
      </c>
      <c r="H2715" t="s">
        <v>9632</v>
      </c>
    </row>
    <row r="2716" spans="1:8">
      <c r="A2716" t="s">
        <v>241</v>
      </c>
      <c r="B2716" t="s">
        <v>182</v>
      </c>
      <c r="C2716">
        <v>67</v>
      </c>
      <c r="D2716" t="s">
        <v>9633</v>
      </c>
      <c r="E2716" t="s">
        <v>9634</v>
      </c>
      <c r="F2716" t="s">
        <v>182</v>
      </c>
      <c r="H2716" t="s">
        <v>9635</v>
      </c>
    </row>
    <row r="2717" spans="1:8">
      <c r="A2717" t="s">
        <v>241</v>
      </c>
      <c r="B2717" t="s">
        <v>182</v>
      </c>
      <c r="C2717">
        <v>67</v>
      </c>
      <c r="D2717" t="s">
        <v>9636</v>
      </c>
      <c r="E2717" t="s">
        <v>9637</v>
      </c>
      <c r="F2717" t="s">
        <v>9638</v>
      </c>
      <c r="G2717" t="s">
        <v>9639</v>
      </c>
      <c r="H2717" t="s">
        <v>9640</v>
      </c>
    </row>
    <row r="2718" spans="1:8">
      <c r="A2718" t="s">
        <v>242</v>
      </c>
      <c r="B2718" t="s">
        <v>182</v>
      </c>
      <c r="C2718">
        <v>67</v>
      </c>
      <c r="D2718" t="s">
        <v>9641</v>
      </c>
      <c r="E2718" t="s">
        <v>9642</v>
      </c>
      <c r="G2718" t="s">
        <v>9643</v>
      </c>
      <c r="H2718" t="s">
        <v>9644</v>
      </c>
    </row>
    <row r="2719" spans="1:8">
      <c r="A2719" t="s">
        <v>242</v>
      </c>
      <c r="B2719" t="s">
        <v>182</v>
      </c>
      <c r="C2719">
        <v>67</v>
      </c>
      <c r="D2719" t="s">
        <v>9645</v>
      </c>
      <c r="E2719" t="s">
        <v>9646</v>
      </c>
      <c r="F2719" t="s">
        <v>9647</v>
      </c>
      <c r="G2719" t="s">
        <v>9648</v>
      </c>
      <c r="H2719" t="s">
        <v>9649</v>
      </c>
    </row>
    <row r="2720" spans="1:8">
      <c r="A2720" t="s">
        <v>242</v>
      </c>
      <c r="B2720" t="s">
        <v>182</v>
      </c>
      <c r="C2720">
        <v>67</v>
      </c>
      <c r="D2720" t="s">
        <v>9650</v>
      </c>
      <c r="E2720" t="s">
        <v>9637</v>
      </c>
      <c r="F2720" t="s">
        <v>182</v>
      </c>
      <c r="G2720" t="s">
        <v>9639</v>
      </c>
      <c r="H2720" t="s">
        <v>9640</v>
      </c>
    </row>
    <row r="2721" spans="1:8">
      <c r="A2721" t="s">
        <v>242</v>
      </c>
      <c r="B2721" t="s">
        <v>182</v>
      </c>
      <c r="C2721">
        <v>67</v>
      </c>
      <c r="D2721" t="s">
        <v>9651</v>
      </c>
      <c r="E2721" t="s">
        <v>9652</v>
      </c>
      <c r="F2721" t="s">
        <v>9653</v>
      </c>
      <c r="G2721" t="s">
        <v>9654</v>
      </c>
      <c r="H2721" t="s">
        <v>9655</v>
      </c>
    </row>
    <row r="2722" spans="1:8">
      <c r="A2722" t="s">
        <v>241</v>
      </c>
      <c r="B2722" t="s">
        <v>182</v>
      </c>
      <c r="C2722">
        <v>67</v>
      </c>
      <c r="D2722" t="s">
        <v>9656</v>
      </c>
      <c r="E2722" t="s">
        <v>9657</v>
      </c>
      <c r="G2722" t="s">
        <v>9658</v>
      </c>
      <c r="H2722" t="s">
        <v>9659</v>
      </c>
    </row>
    <row r="2723" spans="1:8">
      <c r="A2723" t="s">
        <v>242</v>
      </c>
      <c r="B2723" t="s">
        <v>182</v>
      </c>
      <c r="C2723">
        <v>67</v>
      </c>
      <c r="D2723" t="s">
        <v>9660</v>
      </c>
      <c r="E2723" t="s">
        <v>9661</v>
      </c>
      <c r="G2723" t="s">
        <v>9662</v>
      </c>
      <c r="H2723" t="s">
        <v>9663</v>
      </c>
    </row>
    <row r="2724" spans="1:8">
      <c r="A2724" t="s">
        <v>242</v>
      </c>
      <c r="B2724" t="s">
        <v>182</v>
      </c>
      <c r="C2724">
        <v>67</v>
      </c>
      <c r="D2724" t="s">
        <v>9664</v>
      </c>
      <c r="F2724" t="s">
        <v>182</v>
      </c>
      <c r="G2724" t="s">
        <v>9665</v>
      </c>
      <c r="H2724" t="s">
        <v>9666</v>
      </c>
    </row>
    <row r="2725" spans="1:8">
      <c r="A2725" t="s">
        <v>238</v>
      </c>
      <c r="B2725" t="s">
        <v>182</v>
      </c>
      <c r="C2725">
        <v>67</v>
      </c>
      <c r="D2725" t="s">
        <v>9667</v>
      </c>
      <c r="E2725" t="s">
        <v>9619</v>
      </c>
      <c r="F2725" t="s">
        <v>182</v>
      </c>
      <c r="G2725" t="s">
        <v>9620</v>
      </c>
      <c r="H2725" t="s">
        <v>9621</v>
      </c>
    </row>
    <row r="2726" spans="1:8">
      <c r="A2726" t="s">
        <v>238</v>
      </c>
      <c r="B2726" t="s">
        <v>182</v>
      </c>
      <c r="C2726">
        <v>67</v>
      </c>
      <c r="D2726" t="s">
        <v>9668</v>
      </c>
      <c r="E2726" t="s">
        <v>9669</v>
      </c>
      <c r="F2726" t="s">
        <v>182</v>
      </c>
      <c r="H2726" t="s">
        <v>9621</v>
      </c>
    </row>
    <row r="2727" spans="1:8">
      <c r="A2727" t="s">
        <v>242</v>
      </c>
      <c r="B2727" t="s">
        <v>182</v>
      </c>
      <c r="C2727">
        <v>67</v>
      </c>
      <c r="D2727" t="s">
        <v>9670</v>
      </c>
      <c r="E2727" t="s">
        <v>9671</v>
      </c>
      <c r="F2727" t="s">
        <v>182</v>
      </c>
      <c r="G2727" t="s">
        <v>9672</v>
      </c>
      <c r="H2727" t="s">
        <v>9673</v>
      </c>
    </row>
    <row r="2728" spans="1:8">
      <c r="A2728" t="s">
        <v>244</v>
      </c>
      <c r="B2728" t="s">
        <v>182</v>
      </c>
      <c r="C2728">
        <v>67</v>
      </c>
      <c r="D2728" t="s">
        <v>1282</v>
      </c>
      <c r="F2728" t="s">
        <v>9674</v>
      </c>
    </row>
    <row r="2729" spans="1:8">
      <c r="A2729" t="s">
        <v>241</v>
      </c>
      <c r="B2729" t="s">
        <v>182</v>
      </c>
      <c r="C2729">
        <v>67</v>
      </c>
      <c r="D2729" t="s">
        <v>9675</v>
      </c>
      <c r="E2729" t="s">
        <v>9676</v>
      </c>
      <c r="F2729" t="s">
        <v>182</v>
      </c>
      <c r="G2729" t="s">
        <v>9677</v>
      </c>
      <c r="H2729" t="s">
        <v>9678</v>
      </c>
    </row>
    <row r="2730" spans="1:8">
      <c r="A2730" t="s">
        <v>242</v>
      </c>
      <c r="B2730" t="s">
        <v>182</v>
      </c>
      <c r="C2730">
        <v>67</v>
      </c>
      <c r="D2730" t="s">
        <v>9679</v>
      </c>
      <c r="E2730" t="s">
        <v>9680</v>
      </c>
      <c r="F2730" t="s">
        <v>182</v>
      </c>
      <c r="G2730" t="s">
        <v>9681</v>
      </c>
      <c r="H2730" t="s">
        <v>9682</v>
      </c>
    </row>
    <row r="2731" spans="1:8">
      <c r="A2731" t="s">
        <v>242</v>
      </c>
      <c r="B2731" t="s">
        <v>182</v>
      </c>
      <c r="C2731">
        <v>67</v>
      </c>
      <c r="D2731" t="s">
        <v>9683</v>
      </c>
      <c r="E2731" t="s">
        <v>9684</v>
      </c>
    </row>
    <row r="2732" spans="1:8">
      <c r="A2732" t="s">
        <v>242</v>
      </c>
      <c r="B2732" t="s">
        <v>182</v>
      </c>
      <c r="C2732">
        <v>67</v>
      </c>
      <c r="D2732" t="s">
        <v>9685</v>
      </c>
      <c r="E2732" t="s">
        <v>9686</v>
      </c>
      <c r="F2732" t="s">
        <v>9687</v>
      </c>
      <c r="G2732" t="s">
        <v>9688</v>
      </c>
      <c r="H2732" t="s">
        <v>9689</v>
      </c>
    </row>
    <row r="2733" spans="1:8">
      <c r="A2733" t="s">
        <v>242</v>
      </c>
      <c r="B2733" t="s">
        <v>182</v>
      </c>
      <c r="C2733">
        <v>67</v>
      </c>
      <c r="D2733" t="s">
        <v>9690</v>
      </c>
      <c r="E2733" t="s">
        <v>9691</v>
      </c>
      <c r="F2733" t="s">
        <v>182</v>
      </c>
      <c r="G2733" t="s">
        <v>9692</v>
      </c>
      <c r="H2733" t="s">
        <v>9693</v>
      </c>
    </row>
    <row r="2734" spans="1:8">
      <c r="A2734" t="s">
        <v>241</v>
      </c>
      <c r="B2734" t="s">
        <v>86</v>
      </c>
      <c r="C2734">
        <v>68</v>
      </c>
      <c r="D2734" t="s">
        <v>9835</v>
      </c>
      <c r="E2734" t="s">
        <v>9836</v>
      </c>
      <c r="F2734" t="s">
        <v>86</v>
      </c>
      <c r="G2734" t="s">
        <v>9837</v>
      </c>
      <c r="H2734" t="s">
        <v>9838</v>
      </c>
    </row>
    <row r="2735" spans="1:8">
      <c r="A2735" t="s">
        <v>242</v>
      </c>
      <c r="B2735" t="s">
        <v>86</v>
      </c>
      <c r="C2735">
        <v>68</v>
      </c>
      <c r="D2735" t="s">
        <v>9839</v>
      </c>
      <c r="E2735" t="s">
        <v>9840</v>
      </c>
      <c r="G2735" t="s">
        <v>9841</v>
      </c>
      <c r="H2735" t="s">
        <v>9842</v>
      </c>
    </row>
    <row r="2736" spans="1:8">
      <c r="A2736" t="s">
        <v>242</v>
      </c>
      <c r="B2736" t="s">
        <v>86</v>
      </c>
      <c r="C2736">
        <v>68</v>
      </c>
      <c r="D2736" t="s">
        <v>9843</v>
      </c>
      <c r="E2736" t="s">
        <v>9844</v>
      </c>
      <c r="G2736" t="s">
        <v>9845</v>
      </c>
      <c r="H2736" t="s">
        <v>9846</v>
      </c>
    </row>
    <row r="2737" spans="1:8">
      <c r="A2737" t="s">
        <v>243</v>
      </c>
      <c r="B2737" t="s">
        <v>223</v>
      </c>
      <c r="C2737">
        <v>68</v>
      </c>
      <c r="D2737" t="s">
        <v>10954</v>
      </c>
      <c r="E2737" t="s">
        <v>10955</v>
      </c>
      <c r="F2737" t="s">
        <v>223</v>
      </c>
      <c r="G2737" t="s">
        <v>10956</v>
      </c>
      <c r="H2737" t="s">
        <v>10957</v>
      </c>
    </row>
    <row r="2738" spans="1:8">
      <c r="A2738" t="s">
        <v>243</v>
      </c>
      <c r="B2738" t="s">
        <v>223</v>
      </c>
      <c r="C2738">
        <v>68</v>
      </c>
      <c r="D2738" t="s">
        <v>10958</v>
      </c>
      <c r="E2738" t="s">
        <v>10959</v>
      </c>
      <c r="F2738" t="s">
        <v>223</v>
      </c>
      <c r="H2738" t="s">
        <v>10960</v>
      </c>
    </row>
    <row r="2739" spans="1:8">
      <c r="A2739" t="s">
        <v>244</v>
      </c>
      <c r="B2739" t="s">
        <v>223</v>
      </c>
      <c r="C2739">
        <v>68</v>
      </c>
      <c r="D2739" t="s">
        <v>1282</v>
      </c>
    </row>
    <row r="2740" spans="1:8">
      <c r="A2740" t="s">
        <v>242</v>
      </c>
      <c r="B2740" t="s">
        <v>223</v>
      </c>
      <c r="C2740">
        <v>68</v>
      </c>
      <c r="D2740" t="s">
        <v>9436</v>
      </c>
      <c r="E2740" t="s">
        <v>10961</v>
      </c>
      <c r="F2740" t="s">
        <v>223</v>
      </c>
      <c r="G2740" t="s">
        <v>10962</v>
      </c>
      <c r="H2740" t="s">
        <v>10963</v>
      </c>
    </row>
    <row r="2741" spans="1:8">
      <c r="A2741" t="s">
        <v>243</v>
      </c>
      <c r="B2741" t="s">
        <v>131</v>
      </c>
      <c r="C2741">
        <v>69</v>
      </c>
      <c r="D2741" t="s">
        <v>10019</v>
      </c>
      <c r="E2741" t="s">
        <v>10020</v>
      </c>
      <c r="F2741" t="s">
        <v>131</v>
      </c>
      <c r="G2741" t="s">
        <v>10021</v>
      </c>
      <c r="H2741" t="s">
        <v>10022</v>
      </c>
    </row>
    <row r="2742" spans="1:8">
      <c r="A2742" t="s">
        <v>238</v>
      </c>
      <c r="B2742" t="s">
        <v>131</v>
      </c>
      <c r="C2742">
        <v>69</v>
      </c>
      <c r="D2742" t="s">
        <v>10023</v>
      </c>
      <c r="E2742" t="s">
        <v>10024</v>
      </c>
      <c r="F2742" t="s">
        <v>10025</v>
      </c>
      <c r="G2742" t="s">
        <v>10026</v>
      </c>
      <c r="H2742" t="s">
        <v>10027</v>
      </c>
    </row>
    <row r="2743" spans="1:8">
      <c r="A2743" t="s">
        <v>240</v>
      </c>
      <c r="B2743" t="s">
        <v>131</v>
      </c>
      <c r="C2743">
        <v>69</v>
      </c>
      <c r="D2743" t="s">
        <v>10028</v>
      </c>
      <c r="E2743" t="s">
        <v>10029</v>
      </c>
      <c r="F2743" t="s">
        <v>10030</v>
      </c>
      <c r="G2743" t="s">
        <v>10031</v>
      </c>
      <c r="H2743" t="s">
        <v>10032</v>
      </c>
    </row>
    <row r="2744" spans="1:8">
      <c r="A2744" t="s">
        <v>238</v>
      </c>
      <c r="B2744" t="s">
        <v>131</v>
      </c>
      <c r="C2744">
        <v>69</v>
      </c>
      <c r="D2744" t="s">
        <v>10033</v>
      </c>
      <c r="E2744" t="s">
        <v>10034</v>
      </c>
    </row>
    <row r="2745" spans="1:8">
      <c r="A2745" t="s">
        <v>241</v>
      </c>
      <c r="B2745" t="s">
        <v>131</v>
      </c>
      <c r="C2745">
        <v>69</v>
      </c>
      <c r="D2745" t="s">
        <v>10035</v>
      </c>
      <c r="E2745" t="s">
        <v>10036</v>
      </c>
      <c r="H2745" t="s">
        <v>10037</v>
      </c>
    </row>
    <row r="2746" spans="1:8">
      <c r="A2746" t="s">
        <v>241</v>
      </c>
      <c r="B2746" t="s">
        <v>131</v>
      </c>
      <c r="C2746">
        <v>69</v>
      </c>
      <c r="D2746" t="s">
        <v>10038</v>
      </c>
      <c r="E2746" t="s">
        <v>10039</v>
      </c>
      <c r="F2746" t="s">
        <v>10040</v>
      </c>
      <c r="H2746" t="s">
        <v>10041</v>
      </c>
    </row>
    <row r="2747" spans="1:8">
      <c r="A2747" t="s">
        <v>242</v>
      </c>
      <c r="B2747" t="s">
        <v>131</v>
      </c>
      <c r="C2747">
        <v>69</v>
      </c>
      <c r="D2747" t="s">
        <v>10042</v>
      </c>
      <c r="E2747" t="s">
        <v>10043</v>
      </c>
      <c r="F2747" t="s">
        <v>131</v>
      </c>
      <c r="G2747" t="s">
        <v>1382</v>
      </c>
      <c r="H2747" t="s">
        <v>1383</v>
      </c>
    </row>
    <row r="2748" spans="1:8">
      <c r="A2748" t="s">
        <v>240</v>
      </c>
      <c r="B2748" t="s">
        <v>131</v>
      </c>
      <c r="C2748">
        <v>69</v>
      </c>
      <c r="D2748" t="s">
        <v>10044</v>
      </c>
      <c r="E2748" t="s">
        <v>10045</v>
      </c>
      <c r="F2748" t="s">
        <v>131</v>
      </c>
      <c r="G2748" t="s">
        <v>10046</v>
      </c>
      <c r="H2748" t="s">
        <v>10047</v>
      </c>
    </row>
    <row r="2749" spans="1:8">
      <c r="A2749" t="s">
        <v>238</v>
      </c>
      <c r="B2749" t="s">
        <v>131</v>
      </c>
      <c r="C2749">
        <v>69</v>
      </c>
      <c r="D2749" t="s">
        <v>10048</v>
      </c>
      <c r="E2749" t="s">
        <v>10049</v>
      </c>
      <c r="F2749" t="s">
        <v>131</v>
      </c>
      <c r="H2749" t="s">
        <v>10050</v>
      </c>
    </row>
    <row r="2750" spans="1:8">
      <c r="A2750" t="s">
        <v>241</v>
      </c>
      <c r="B2750" t="s">
        <v>131</v>
      </c>
      <c r="C2750">
        <v>69</v>
      </c>
      <c r="D2750" t="s">
        <v>10051</v>
      </c>
      <c r="E2750" t="s">
        <v>10052</v>
      </c>
      <c r="F2750" t="s">
        <v>131</v>
      </c>
      <c r="G2750" t="s">
        <v>10053</v>
      </c>
      <c r="H2750" t="s">
        <v>10054</v>
      </c>
    </row>
    <row r="2751" spans="1:8">
      <c r="A2751" t="s">
        <v>250</v>
      </c>
      <c r="B2751" t="s">
        <v>147</v>
      </c>
      <c r="C2751">
        <v>69</v>
      </c>
      <c r="D2751" t="s">
        <v>3852</v>
      </c>
    </row>
    <row r="2752" spans="1:8">
      <c r="A2752" t="s">
        <v>250</v>
      </c>
      <c r="B2752" t="s">
        <v>147</v>
      </c>
      <c r="C2752">
        <v>69</v>
      </c>
      <c r="D2752" t="s">
        <v>13324</v>
      </c>
    </row>
    <row r="2753" spans="1:8">
      <c r="A2753" t="s">
        <v>241</v>
      </c>
      <c r="B2753" t="s">
        <v>147</v>
      </c>
      <c r="C2753">
        <v>69</v>
      </c>
      <c r="D2753" t="s">
        <v>13325</v>
      </c>
      <c r="E2753" t="s">
        <v>13326</v>
      </c>
      <c r="F2753" t="s">
        <v>147</v>
      </c>
      <c r="G2753" t="s">
        <v>13327</v>
      </c>
      <c r="H2753" t="s">
        <v>13328</v>
      </c>
    </row>
    <row r="2754" spans="1:8">
      <c r="A2754" t="s">
        <v>244</v>
      </c>
      <c r="B2754" t="s">
        <v>147</v>
      </c>
      <c r="C2754">
        <v>69</v>
      </c>
      <c r="D2754" t="s">
        <v>13329</v>
      </c>
      <c r="E2754" t="s">
        <v>13330</v>
      </c>
      <c r="F2754" t="s">
        <v>147</v>
      </c>
    </row>
    <row r="2755" spans="1:8">
      <c r="A2755" t="s">
        <v>243</v>
      </c>
      <c r="B2755" t="s">
        <v>147</v>
      </c>
      <c r="C2755">
        <v>69</v>
      </c>
      <c r="D2755" t="s">
        <v>13331</v>
      </c>
      <c r="E2755" t="s">
        <v>13332</v>
      </c>
      <c r="F2755" t="s">
        <v>147</v>
      </c>
      <c r="H2755" t="s">
        <v>13333</v>
      </c>
    </row>
    <row r="2756" spans="1:8">
      <c r="A2756" t="s">
        <v>243</v>
      </c>
      <c r="B2756" t="s">
        <v>147</v>
      </c>
      <c r="C2756">
        <v>69</v>
      </c>
      <c r="D2756" t="s">
        <v>13334</v>
      </c>
      <c r="E2756" t="s">
        <v>13335</v>
      </c>
      <c r="F2756" t="s">
        <v>147</v>
      </c>
      <c r="H2756" t="s">
        <v>13336</v>
      </c>
    </row>
    <row r="2757" spans="1:8">
      <c r="A2757" t="s">
        <v>243</v>
      </c>
      <c r="B2757" t="s">
        <v>147</v>
      </c>
      <c r="C2757">
        <v>69</v>
      </c>
      <c r="D2757" t="s">
        <v>13337</v>
      </c>
      <c r="E2757" t="s">
        <v>13338</v>
      </c>
      <c r="F2757" t="s">
        <v>147</v>
      </c>
    </row>
    <row r="2758" spans="1:8">
      <c r="A2758" t="s">
        <v>243</v>
      </c>
      <c r="B2758" t="s">
        <v>147</v>
      </c>
      <c r="C2758">
        <v>69</v>
      </c>
      <c r="D2758" t="s">
        <v>13339</v>
      </c>
      <c r="E2758" t="s">
        <v>13340</v>
      </c>
      <c r="F2758" t="s">
        <v>147</v>
      </c>
    </row>
    <row r="2759" spans="1:8">
      <c r="A2759" t="s">
        <v>243</v>
      </c>
      <c r="B2759" t="s">
        <v>147</v>
      </c>
      <c r="C2759">
        <v>69</v>
      </c>
      <c r="D2759" t="s">
        <v>13341</v>
      </c>
      <c r="E2759" t="s">
        <v>13342</v>
      </c>
      <c r="F2759" t="s">
        <v>147</v>
      </c>
      <c r="G2759" t="s">
        <v>13343</v>
      </c>
      <c r="H2759" t="s">
        <v>13344</v>
      </c>
    </row>
    <row r="2760" spans="1:8">
      <c r="A2760" t="s">
        <v>243</v>
      </c>
      <c r="B2760" t="s">
        <v>147</v>
      </c>
      <c r="C2760">
        <v>69</v>
      </c>
      <c r="D2760" t="s">
        <v>13345</v>
      </c>
      <c r="E2760" t="s">
        <v>13346</v>
      </c>
      <c r="F2760" t="s">
        <v>147</v>
      </c>
      <c r="G2760" t="s">
        <v>13347</v>
      </c>
      <c r="H2760" t="s">
        <v>13348</v>
      </c>
    </row>
    <row r="2761" spans="1:8">
      <c r="A2761" t="s">
        <v>250</v>
      </c>
      <c r="B2761" t="s">
        <v>147</v>
      </c>
      <c r="C2761">
        <v>69</v>
      </c>
      <c r="D2761" t="s">
        <v>13349</v>
      </c>
      <c r="F2761" t="s">
        <v>147</v>
      </c>
    </row>
    <row r="2762" spans="1:8">
      <c r="A2762" t="s">
        <v>241</v>
      </c>
      <c r="B2762" t="s">
        <v>147</v>
      </c>
      <c r="C2762">
        <v>69</v>
      </c>
      <c r="D2762" t="s">
        <v>13350</v>
      </c>
      <c r="E2762" t="s">
        <v>13351</v>
      </c>
      <c r="F2762" t="s">
        <v>147</v>
      </c>
      <c r="G2762" t="s">
        <v>13352</v>
      </c>
    </row>
    <row r="2763" spans="1:8">
      <c r="A2763" t="s">
        <v>241</v>
      </c>
      <c r="B2763" t="s">
        <v>147</v>
      </c>
      <c r="C2763">
        <v>69</v>
      </c>
      <c r="D2763" t="s">
        <v>13353</v>
      </c>
      <c r="E2763" t="s">
        <v>13354</v>
      </c>
      <c r="F2763" t="s">
        <v>147</v>
      </c>
      <c r="G2763" t="s">
        <v>13355</v>
      </c>
      <c r="H2763" t="s">
        <v>13356</v>
      </c>
    </row>
    <row r="2764" spans="1:8">
      <c r="A2764" t="s">
        <v>243</v>
      </c>
      <c r="B2764" t="s">
        <v>147</v>
      </c>
      <c r="C2764">
        <v>69</v>
      </c>
      <c r="D2764" t="s">
        <v>13357</v>
      </c>
      <c r="E2764" t="s">
        <v>13358</v>
      </c>
      <c r="F2764" t="s">
        <v>147</v>
      </c>
      <c r="G2764" t="s">
        <v>13359</v>
      </c>
      <c r="H2764" t="s">
        <v>13360</v>
      </c>
    </row>
    <row r="2765" spans="1:8">
      <c r="A2765" t="s">
        <v>243</v>
      </c>
      <c r="B2765" t="s">
        <v>147</v>
      </c>
      <c r="C2765">
        <v>69</v>
      </c>
      <c r="D2765" t="s">
        <v>13361</v>
      </c>
      <c r="E2765" t="s">
        <v>13362</v>
      </c>
      <c r="F2765" t="s">
        <v>147</v>
      </c>
      <c r="G2765" t="s">
        <v>13363</v>
      </c>
      <c r="H2765" t="s">
        <v>13364</v>
      </c>
    </row>
    <row r="2766" spans="1:8">
      <c r="A2766" t="s">
        <v>242</v>
      </c>
      <c r="B2766" t="s">
        <v>147</v>
      </c>
      <c r="C2766">
        <v>69</v>
      </c>
      <c r="D2766" t="s">
        <v>13365</v>
      </c>
      <c r="E2766" t="s">
        <v>13366</v>
      </c>
      <c r="F2766" t="s">
        <v>147</v>
      </c>
      <c r="G2766" t="s">
        <v>13367</v>
      </c>
      <c r="H2766" t="s">
        <v>13368</v>
      </c>
    </row>
    <row r="2767" spans="1:8">
      <c r="A2767" t="s">
        <v>241</v>
      </c>
      <c r="B2767" t="s">
        <v>147</v>
      </c>
      <c r="C2767">
        <v>69</v>
      </c>
      <c r="D2767" t="s">
        <v>13369</v>
      </c>
      <c r="E2767" t="s">
        <v>7680</v>
      </c>
      <c r="G2767" t="s">
        <v>13370</v>
      </c>
      <c r="H2767" t="s">
        <v>13371</v>
      </c>
    </row>
    <row r="2768" spans="1:8">
      <c r="A2768" t="s">
        <v>240</v>
      </c>
      <c r="B2768" t="s">
        <v>147</v>
      </c>
      <c r="C2768">
        <v>69</v>
      </c>
      <c r="D2768" t="s">
        <v>13372</v>
      </c>
      <c r="E2768" t="s">
        <v>13373</v>
      </c>
      <c r="F2768" t="s">
        <v>13374</v>
      </c>
      <c r="G2768" t="s">
        <v>13375</v>
      </c>
      <c r="H2768" t="s">
        <v>13376</v>
      </c>
    </row>
    <row r="2769" spans="1:8">
      <c r="A2769" t="s">
        <v>241</v>
      </c>
      <c r="B2769" t="s">
        <v>147</v>
      </c>
      <c r="C2769">
        <v>69</v>
      </c>
      <c r="D2769" t="s">
        <v>13377</v>
      </c>
      <c r="E2769" t="s">
        <v>13378</v>
      </c>
      <c r="G2769" t="s">
        <v>13379</v>
      </c>
      <c r="H2769" t="s">
        <v>13380</v>
      </c>
    </row>
    <row r="2770" spans="1:8">
      <c r="A2770" t="s">
        <v>241</v>
      </c>
      <c r="B2770" t="s">
        <v>147</v>
      </c>
      <c r="C2770">
        <v>69</v>
      </c>
      <c r="D2770" t="s">
        <v>12765</v>
      </c>
      <c r="E2770" t="s">
        <v>7287</v>
      </c>
      <c r="H2770" t="s">
        <v>13381</v>
      </c>
    </row>
    <row r="2771" spans="1:8">
      <c r="A2771" t="s">
        <v>249</v>
      </c>
      <c r="B2771" t="s">
        <v>147</v>
      </c>
      <c r="C2771">
        <v>69</v>
      </c>
      <c r="D2771" t="s">
        <v>9600</v>
      </c>
      <c r="E2771" t="s">
        <v>13382</v>
      </c>
      <c r="F2771" t="s">
        <v>147</v>
      </c>
      <c r="G2771" t="s">
        <v>13383</v>
      </c>
      <c r="H2771" t="s">
        <v>13384</v>
      </c>
    </row>
    <row r="2772" spans="1:8">
      <c r="A2772" t="s">
        <v>243</v>
      </c>
      <c r="B2772" t="s">
        <v>147</v>
      </c>
      <c r="C2772">
        <v>69</v>
      </c>
      <c r="D2772" t="s">
        <v>13385</v>
      </c>
      <c r="E2772" t="s">
        <v>13386</v>
      </c>
      <c r="F2772" t="s">
        <v>147</v>
      </c>
      <c r="G2772" t="s">
        <v>13387</v>
      </c>
      <c r="H2772" t="s">
        <v>13388</v>
      </c>
    </row>
    <row r="2773" spans="1:8">
      <c r="A2773" t="s">
        <v>239</v>
      </c>
      <c r="B2773" t="s">
        <v>147</v>
      </c>
      <c r="C2773">
        <v>69</v>
      </c>
      <c r="D2773" t="s">
        <v>13389</v>
      </c>
      <c r="E2773" t="s">
        <v>13390</v>
      </c>
      <c r="F2773" t="s">
        <v>147</v>
      </c>
      <c r="G2773" t="s">
        <v>13391</v>
      </c>
      <c r="H2773" t="s">
        <v>13392</v>
      </c>
    </row>
    <row r="2774" spans="1:8">
      <c r="A2774" t="s">
        <v>240</v>
      </c>
      <c r="B2774" t="s">
        <v>147</v>
      </c>
      <c r="C2774">
        <v>69</v>
      </c>
      <c r="D2774" t="s">
        <v>13393</v>
      </c>
      <c r="E2774" t="s">
        <v>13394</v>
      </c>
      <c r="F2774" t="s">
        <v>147</v>
      </c>
      <c r="G2774" t="s">
        <v>13395</v>
      </c>
      <c r="H2774" t="s">
        <v>13396</v>
      </c>
    </row>
    <row r="2775" spans="1:8">
      <c r="A2775" t="s">
        <v>241</v>
      </c>
      <c r="B2775" t="s">
        <v>147</v>
      </c>
      <c r="C2775">
        <v>69</v>
      </c>
      <c r="D2775" t="s">
        <v>13397</v>
      </c>
      <c r="E2775" t="s">
        <v>13398</v>
      </c>
      <c r="H2775" t="s">
        <v>13399</v>
      </c>
    </row>
    <row r="2776" spans="1:8">
      <c r="A2776" t="s">
        <v>239</v>
      </c>
      <c r="B2776" t="s">
        <v>147</v>
      </c>
      <c r="C2776">
        <v>69</v>
      </c>
      <c r="D2776" t="s">
        <v>13400</v>
      </c>
      <c r="E2776" t="s">
        <v>13401</v>
      </c>
      <c r="H2776" t="s">
        <v>8663</v>
      </c>
    </row>
    <row r="2777" spans="1:8">
      <c r="A2777" t="s">
        <v>250</v>
      </c>
      <c r="B2777" t="s">
        <v>147</v>
      </c>
      <c r="C2777">
        <v>69</v>
      </c>
      <c r="D2777" t="s">
        <v>13402</v>
      </c>
    </row>
    <row r="2778" spans="1:8">
      <c r="A2778" t="s">
        <v>250</v>
      </c>
      <c r="B2778" t="s">
        <v>147</v>
      </c>
      <c r="C2778">
        <v>69</v>
      </c>
      <c r="D2778" t="s">
        <v>13403</v>
      </c>
    </row>
    <row r="2779" spans="1:8">
      <c r="A2779" t="s">
        <v>250</v>
      </c>
      <c r="B2779" t="s">
        <v>147</v>
      </c>
      <c r="C2779">
        <v>69</v>
      </c>
      <c r="D2779" t="s">
        <v>13404</v>
      </c>
    </row>
    <row r="2780" spans="1:8">
      <c r="A2780" t="s">
        <v>250</v>
      </c>
      <c r="B2780" t="s">
        <v>147</v>
      </c>
      <c r="C2780">
        <v>69</v>
      </c>
      <c r="D2780" t="s">
        <v>13405</v>
      </c>
    </row>
    <row r="2781" spans="1:8">
      <c r="A2781" t="s">
        <v>250</v>
      </c>
      <c r="B2781" t="s">
        <v>147</v>
      </c>
      <c r="C2781">
        <v>69</v>
      </c>
      <c r="D2781" t="s">
        <v>13406</v>
      </c>
    </row>
    <row r="2782" spans="1:8">
      <c r="A2782" t="s">
        <v>241</v>
      </c>
      <c r="B2782" t="s">
        <v>147</v>
      </c>
      <c r="C2782">
        <v>69</v>
      </c>
      <c r="D2782" t="s">
        <v>13407</v>
      </c>
      <c r="E2782" t="s">
        <v>13408</v>
      </c>
      <c r="G2782" t="s">
        <v>13409</v>
      </c>
      <c r="H2782" t="s">
        <v>13410</v>
      </c>
    </row>
    <row r="2783" spans="1:8">
      <c r="A2783" t="s">
        <v>250</v>
      </c>
      <c r="B2783" t="s">
        <v>147</v>
      </c>
      <c r="C2783">
        <v>69</v>
      </c>
      <c r="D2783" t="s">
        <v>13411</v>
      </c>
    </row>
    <row r="2784" spans="1:8">
      <c r="A2784" t="s">
        <v>244</v>
      </c>
      <c r="B2784" t="s">
        <v>147</v>
      </c>
      <c r="C2784">
        <v>69</v>
      </c>
      <c r="D2784" t="s">
        <v>13412</v>
      </c>
      <c r="E2784" t="s">
        <v>13413</v>
      </c>
      <c r="F2784" t="s">
        <v>13414</v>
      </c>
      <c r="H2784" t="s">
        <v>13415</v>
      </c>
    </row>
    <row r="2785" spans="1:8">
      <c r="A2785" t="s">
        <v>243</v>
      </c>
      <c r="B2785" t="s">
        <v>147</v>
      </c>
      <c r="C2785">
        <v>69</v>
      </c>
      <c r="D2785" t="s">
        <v>13416</v>
      </c>
      <c r="E2785" t="s">
        <v>13417</v>
      </c>
      <c r="F2785" t="s">
        <v>147</v>
      </c>
      <c r="H2785" t="s">
        <v>8663</v>
      </c>
    </row>
    <row r="2786" spans="1:8">
      <c r="A2786" t="s">
        <v>242</v>
      </c>
      <c r="B2786" t="s">
        <v>147</v>
      </c>
      <c r="C2786">
        <v>69</v>
      </c>
      <c r="D2786" t="s">
        <v>13418</v>
      </c>
      <c r="E2786" t="s">
        <v>13419</v>
      </c>
      <c r="F2786" t="s">
        <v>147</v>
      </c>
      <c r="H2786" t="s">
        <v>13420</v>
      </c>
    </row>
    <row r="2787" spans="1:8">
      <c r="A2787" t="s">
        <v>241</v>
      </c>
      <c r="B2787" t="s">
        <v>147</v>
      </c>
      <c r="C2787">
        <v>69</v>
      </c>
      <c r="D2787" t="s">
        <v>13421</v>
      </c>
      <c r="E2787" t="s">
        <v>13422</v>
      </c>
      <c r="F2787" t="s">
        <v>147</v>
      </c>
      <c r="H2787" t="s">
        <v>13423</v>
      </c>
    </row>
    <row r="2788" spans="1:8">
      <c r="A2788" t="s">
        <v>241</v>
      </c>
      <c r="B2788" t="s">
        <v>147</v>
      </c>
      <c r="C2788">
        <v>69</v>
      </c>
      <c r="D2788" t="s">
        <v>13424</v>
      </c>
      <c r="E2788" t="s">
        <v>13425</v>
      </c>
      <c r="F2788" t="s">
        <v>147</v>
      </c>
      <c r="H2788" t="s">
        <v>13426</v>
      </c>
    </row>
    <row r="2789" spans="1:8">
      <c r="A2789" t="s">
        <v>241</v>
      </c>
      <c r="B2789" t="s">
        <v>147</v>
      </c>
      <c r="C2789">
        <v>69</v>
      </c>
      <c r="D2789" t="s">
        <v>13427</v>
      </c>
      <c r="E2789" t="s">
        <v>13428</v>
      </c>
      <c r="F2789" t="s">
        <v>147</v>
      </c>
      <c r="G2789" t="s">
        <v>13429</v>
      </c>
      <c r="H2789" t="s">
        <v>13430</v>
      </c>
    </row>
    <row r="2790" spans="1:8">
      <c r="A2790" t="s">
        <v>241</v>
      </c>
      <c r="B2790" t="s">
        <v>147</v>
      </c>
      <c r="C2790">
        <v>69</v>
      </c>
      <c r="D2790" t="s">
        <v>13431</v>
      </c>
      <c r="E2790" t="s">
        <v>13432</v>
      </c>
      <c r="F2790" t="s">
        <v>147</v>
      </c>
      <c r="G2790" t="s">
        <v>13433</v>
      </c>
      <c r="H2790" t="s">
        <v>13434</v>
      </c>
    </row>
    <row r="2791" spans="1:8">
      <c r="A2791" t="s">
        <v>250</v>
      </c>
      <c r="B2791" t="s">
        <v>147</v>
      </c>
      <c r="C2791">
        <v>69</v>
      </c>
      <c r="D2791" t="s">
        <v>13435</v>
      </c>
      <c r="E2791" t="s">
        <v>13436</v>
      </c>
      <c r="H2791" t="s">
        <v>13437</v>
      </c>
    </row>
    <row r="2792" spans="1:8">
      <c r="A2792" t="s">
        <v>250</v>
      </c>
      <c r="B2792" t="s">
        <v>147</v>
      </c>
      <c r="C2792">
        <v>69</v>
      </c>
      <c r="D2792" t="s">
        <v>13438</v>
      </c>
      <c r="E2792" t="s">
        <v>13439</v>
      </c>
      <c r="H2792" t="s">
        <v>13440</v>
      </c>
    </row>
    <row r="2793" spans="1:8">
      <c r="A2793" t="s">
        <v>241</v>
      </c>
      <c r="B2793" t="s">
        <v>147</v>
      </c>
      <c r="C2793">
        <v>69</v>
      </c>
      <c r="D2793" t="s">
        <v>13441</v>
      </c>
      <c r="E2793" t="s">
        <v>13442</v>
      </c>
      <c r="G2793" t="s">
        <v>13443</v>
      </c>
      <c r="H2793" t="s">
        <v>13444</v>
      </c>
    </row>
    <row r="2794" spans="1:8">
      <c r="A2794" t="s">
        <v>241</v>
      </c>
      <c r="B2794" t="s">
        <v>147</v>
      </c>
      <c r="C2794">
        <v>69</v>
      </c>
      <c r="D2794" t="s">
        <v>13445</v>
      </c>
      <c r="E2794" t="s">
        <v>13446</v>
      </c>
      <c r="G2794" t="s">
        <v>13447</v>
      </c>
      <c r="H2794" t="s">
        <v>13448</v>
      </c>
    </row>
    <row r="2795" spans="1:8">
      <c r="A2795" t="s">
        <v>243</v>
      </c>
      <c r="B2795" t="s">
        <v>147</v>
      </c>
      <c r="C2795">
        <v>69</v>
      </c>
      <c r="D2795" t="s">
        <v>13449</v>
      </c>
      <c r="E2795" t="s">
        <v>13450</v>
      </c>
      <c r="H2795" t="s">
        <v>13451</v>
      </c>
    </row>
    <row r="2796" spans="1:8">
      <c r="A2796" t="s">
        <v>241</v>
      </c>
      <c r="B2796" t="s">
        <v>147</v>
      </c>
      <c r="C2796">
        <v>69</v>
      </c>
      <c r="D2796" t="s">
        <v>13452</v>
      </c>
      <c r="E2796" t="s">
        <v>13453</v>
      </c>
      <c r="G2796" t="s">
        <v>13454</v>
      </c>
      <c r="H2796" t="s">
        <v>13455</v>
      </c>
    </row>
    <row r="2797" spans="1:8">
      <c r="A2797" t="s">
        <v>243</v>
      </c>
      <c r="B2797" t="s">
        <v>147</v>
      </c>
      <c r="C2797">
        <v>69</v>
      </c>
      <c r="D2797" t="s">
        <v>13456</v>
      </c>
      <c r="E2797" t="s">
        <v>13457</v>
      </c>
      <c r="G2797" t="s">
        <v>13458</v>
      </c>
      <c r="H2797" t="s">
        <v>13459</v>
      </c>
    </row>
    <row r="2798" spans="1:8">
      <c r="A2798" t="s">
        <v>249</v>
      </c>
      <c r="B2798" t="s">
        <v>147</v>
      </c>
      <c r="C2798">
        <v>69</v>
      </c>
      <c r="D2798" t="s">
        <v>13460</v>
      </c>
      <c r="E2798" t="s">
        <v>13461</v>
      </c>
      <c r="F2798" t="s">
        <v>147</v>
      </c>
      <c r="H2798" t="s">
        <v>13462</v>
      </c>
    </row>
    <row r="2799" spans="1:8">
      <c r="A2799" t="s">
        <v>250</v>
      </c>
      <c r="B2799" t="s">
        <v>147</v>
      </c>
      <c r="C2799">
        <v>69</v>
      </c>
      <c r="D2799" t="s">
        <v>13463</v>
      </c>
    </row>
    <row r="2800" spans="1:8">
      <c r="A2800" t="s">
        <v>249</v>
      </c>
      <c r="B2800" t="s">
        <v>147</v>
      </c>
      <c r="C2800">
        <v>69</v>
      </c>
      <c r="D2800" t="s">
        <v>13464</v>
      </c>
      <c r="E2800" t="s">
        <v>13465</v>
      </c>
      <c r="F2800" t="s">
        <v>147</v>
      </c>
      <c r="G2800" t="s">
        <v>13466</v>
      </c>
      <c r="H2800" t="s">
        <v>13467</v>
      </c>
    </row>
    <row r="2801" spans="1:8">
      <c r="A2801" t="s">
        <v>249</v>
      </c>
      <c r="B2801" t="s">
        <v>147</v>
      </c>
      <c r="C2801">
        <v>69</v>
      </c>
      <c r="D2801" t="s">
        <v>3897</v>
      </c>
      <c r="E2801" t="s">
        <v>13468</v>
      </c>
      <c r="F2801" t="s">
        <v>147</v>
      </c>
    </row>
    <row r="2802" spans="1:8">
      <c r="A2802" t="s">
        <v>250</v>
      </c>
      <c r="B2802" t="s">
        <v>147</v>
      </c>
      <c r="C2802">
        <v>69</v>
      </c>
      <c r="D2802" t="s">
        <v>13469</v>
      </c>
      <c r="E2802" t="s">
        <v>13470</v>
      </c>
    </row>
    <row r="2803" spans="1:8">
      <c r="A2803" t="s">
        <v>250</v>
      </c>
      <c r="B2803" t="s">
        <v>147</v>
      </c>
      <c r="C2803">
        <v>69</v>
      </c>
      <c r="D2803" t="s">
        <v>13471</v>
      </c>
      <c r="F2803" t="s">
        <v>147</v>
      </c>
    </row>
    <row r="2804" spans="1:8">
      <c r="A2804" t="s">
        <v>250</v>
      </c>
      <c r="B2804" t="s">
        <v>147</v>
      </c>
      <c r="C2804">
        <v>69</v>
      </c>
      <c r="D2804" t="s">
        <v>13472</v>
      </c>
    </row>
    <row r="2805" spans="1:8">
      <c r="A2805" t="s">
        <v>250</v>
      </c>
      <c r="B2805" t="s">
        <v>147</v>
      </c>
      <c r="C2805">
        <v>69</v>
      </c>
      <c r="D2805" t="s">
        <v>6118</v>
      </c>
      <c r="F2805" t="s">
        <v>147</v>
      </c>
    </row>
    <row r="2806" spans="1:8">
      <c r="A2806" t="s">
        <v>250</v>
      </c>
      <c r="B2806" t="s">
        <v>147</v>
      </c>
      <c r="C2806">
        <v>69</v>
      </c>
      <c r="D2806" t="s">
        <v>13473</v>
      </c>
    </row>
    <row r="2807" spans="1:8">
      <c r="A2807" t="s">
        <v>250</v>
      </c>
      <c r="B2807" t="s">
        <v>147</v>
      </c>
      <c r="C2807">
        <v>69</v>
      </c>
      <c r="D2807" t="s">
        <v>12101</v>
      </c>
      <c r="F2807" t="s">
        <v>147</v>
      </c>
    </row>
    <row r="2808" spans="1:8">
      <c r="A2808" t="s">
        <v>250</v>
      </c>
      <c r="B2808" t="s">
        <v>147</v>
      </c>
      <c r="C2808">
        <v>69</v>
      </c>
      <c r="D2808" t="s">
        <v>13474</v>
      </c>
      <c r="F2808" t="s">
        <v>13475</v>
      </c>
    </row>
    <row r="2809" spans="1:8">
      <c r="A2809" t="s">
        <v>250</v>
      </c>
      <c r="B2809" t="s">
        <v>147</v>
      </c>
      <c r="C2809">
        <v>69</v>
      </c>
      <c r="D2809" t="s">
        <v>727</v>
      </c>
    </row>
    <row r="2810" spans="1:8">
      <c r="A2810" t="s">
        <v>250</v>
      </c>
      <c r="B2810" t="s">
        <v>147</v>
      </c>
      <c r="C2810">
        <v>69</v>
      </c>
      <c r="D2810" t="s">
        <v>13476</v>
      </c>
    </row>
    <row r="2811" spans="1:8">
      <c r="A2811" t="s">
        <v>250</v>
      </c>
      <c r="B2811" t="s">
        <v>147</v>
      </c>
      <c r="C2811">
        <v>69</v>
      </c>
      <c r="D2811" t="s">
        <v>13477</v>
      </c>
      <c r="F2811" t="s">
        <v>147</v>
      </c>
    </row>
    <row r="2812" spans="1:8">
      <c r="A2812" t="s">
        <v>240</v>
      </c>
      <c r="B2812" t="s">
        <v>147</v>
      </c>
      <c r="C2812">
        <v>69</v>
      </c>
      <c r="D2812" t="s">
        <v>13478</v>
      </c>
      <c r="E2812" t="s">
        <v>13479</v>
      </c>
      <c r="F2812" t="s">
        <v>147</v>
      </c>
      <c r="G2812" t="s">
        <v>13480</v>
      </c>
      <c r="H2812" t="s">
        <v>7998</v>
      </c>
    </row>
    <row r="2813" spans="1:8">
      <c r="A2813" t="s">
        <v>240</v>
      </c>
      <c r="B2813" t="s">
        <v>147</v>
      </c>
      <c r="C2813">
        <v>69</v>
      </c>
      <c r="D2813" t="s">
        <v>13481</v>
      </c>
      <c r="E2813" t="s">
        <v>13482</v>
      </c>
      <c r="F2813" t="s">
        <v>147</v>
      </c>
      <c r="G2813" t="s">
        <v>13483</v>
      </c>
      <c r="H2813" t="s">
        <v>13484</v>
      </c>
    </row>
    <row r="2814" spans="1:8">
      <c r="A2814" t="s">
        <v>240</v>
      </c>
      <c r="B2814" t="s">
        <v>147</v>
      </c>
      <c r="C2814">
        <v>69</v>
      </c>
      <c r="D2814" t="s">
        <v>3859</v>
      </c>
      <c r="E2814" t="s">
        <v>13485</v>
      </c>
      <c r="F2814" t="s">
        <v>147</v>
      </c>
      <c r="G2814" t="s">
        <v>13486</v>
      </c>
      <c r="H2814" t="s">
        <v>13487</v>
      </c>
    </row>
    <row r="2815" spans="1:8">
      <c r="A2815" t="s">
        <v>240</v>
      </c>
      <c r="B2815" t="s">
        <v>147</v>
      </c>
      <c r="C2815">
        <v>69</v>
      </c>
      <c r="D2815" t="s">
        <v>13488</v>
      </c>
      <c r="E2815" t="s">
        <v>13489</v>
      </c>
      <c r="F2815" t="s">
        <v>147</v>
      </c>
      <c r="G2815" t="s">
        <v>13490</v>
      </c>
      <c r="H2815" t="s">
        <v>13491</v>
      </c>
    </row>
    <row r="2816" spans="1:8">
      <c r="A2816" t="s">
        <v>240</v>
      </c>
      <c r="B2816" t="s">
        <v>147</v>
      </c>
      <c r="C2816">
        <v>69</v>
      </c>
      <c r="D2816" t="s">
        <v>13492</v>
      </c>
      <c r="E2816" t="s">
        <v>13493</v>
      </c>
      <c r="F2816" t="s">
        <v>147</v>
      </c>
      <c r="G2816" t="s">
        <v>13494</v>
      </c>
      <c r="H2816" t="s">
        <v>13495</v>
      </c>
    </row>
    <row r="2817" spans="1:8">
      <c r="A2817" t="s">
        <v>240</v>
      </c>
      <c r="B2817" t="s">
        <v>147</v>
      </c>
      <c r="C2817">
        <v>69</v>
      </c>
      <c r="D2817" t="s">
        <v>5444</v>
      </c>
      <c r="E2817" t="s">
        <v>13496</v>
      </c>
      <c r="F2817" t="s">
        <v>147</v>
      </c>
      <c r="G2817" t="s">
        <v>13497</v>
      </c>
      <c r="H2817" t="s">
        <v>13498</v>
      </c>
    </row>
    <row r="2818" spans="1:8">
      <c r="A2818" t="s">
        <v>241</v>
      </c>
      <c r="B2818" t="s">
        <v>147</v>
      </c>
      <c r="C2818">
        <v>69</v>
      </c>
      <c r="D2818" t="s">
        <v>13499</v>
      </c>
      <c r="E2818" t="s">
        <v>13500</v>
      </c>
    </row>
    <row r="2819" spans="1:8">
      <c r="A2819" t="s">
        <v>243</v>
      </c>
      <c r="B2819" t="s">
        <v>147</v>
      </c>
      <c r="C2819">
        <v>69</v>
      </c>
      <c r="D2819" t="s">
        <v>13501</v>
      </c>
      <c r="E2819" t="s">
        <v>13502</v>
      </c>
      <c r="F2819" t="s">
        <v>147</v>
      </c>
      <c r="H2819" t="s">
        <v>13503</v>
      </c>
    </row>
    <row r="2820" spans="1:8">
      <c r="A2820" t="s">
        <v>250</v>
      </c>
      <c r="B2820" t="s">
        <v>147</v>
      </c>
      <c r="C2820">
        <v>69</v>
      </c>
      <c r="D2820" t="s">
        <v>13504</v>
      </c>
    </row>
    <row r="2821" spans="1:8">
      <c r="A2821" t="s">
        <v>249</v>
      </c>
      <c r="B2821" t="s">
        <v>147</v>
      </c>
      <c r="C2821">
        <v>69</v>
      </c>
      <c r="D2821" t="s">
        <v>13505</v>
      </c>
      <c r="E2821" t="s">
        <v>13506</v>
      </c>
      <c r="F2821" t="s">
        <v>147</v>
      </c>
      <c r="G2821" t="s">
        <v>714</v>
      </c>
      <c r="H2821" t="s">
        <v>715</v>
      </c>
    </row>
    <row r="2822" spans="1:8">
      <c r="A2822" t="s">
        <v>250</v>
      </c>
      <c r="B2822" t="s">
        <v>147</v>
      </c>
      <c r="C2822">
        <v>69</v>
      </c>
      <c r="D2822" t="s">
        <v>13507</v>
      </c>
      <c r="E2822" t="s">
        <v>13508</v>
      </c>
      <c r="G2822" t="s">
        <v>13509</v>
      </c>
      <c r="H2822" t="s">
        <v>13510</v>
      </c>
    </row>
    <row r="2823" spans="1:8">
      <c r="A2823" t="s">
        <v>250</v>
      </c>
      <c r="B2823" t="s">
        <v>147</v>
      </c>
      <c r="C2823">
        <v>69</v>
      </c>
      <c r="D2823" t="s">
        <v>13511</v>
      </c>
      <c r="F2823" t="s">
        <v>62</v>
      </c>
    </row>
    <row r="2824" spans="1:8">
      <c r="A2824" t="s">
        <v>250</v>
      </c>
      <c r="B2824" t="s">
        <v>147</v>
      </c>
      <c r="C2824">
        <v>69</v>
      </c>
      <c r="D2824" t="s">
        <v>13512</v>
      </c>
      <c r="F2824" t="s">
        <v>147</v>
      </c>
    </row>
    <row r="2825" spans="1:8">
      <c r="A2825" t="s">
        <v>249</v>
      </c>
      <c r="B2825" t="s">
        <v>147</v>
      </c>
      <c r="C2825">
        <v>69</v>
      </c>
      <c r="D2825" t="s">
        <v>13513</v>
      </c>
      <c r="E2825" t="s">
        <v>13514</v>
      </c>
      <c r="F2825" t="s">
        <v>147</v>
      </c>
      <c r="G2825" t="s">
        <v>13515</v>
      </c>
      <c r="H2825" t="s">
        <v>13516</v>
      </c>
    </row>
    <row r="2826" spans="1:8">
      <c r="A2826" t="s">
        <v>249</v>
      </c>
      <c r="B2826" t="s">
        <v>147</v>
      </c>
      <c r="C2826">
        <v>69</v>
      </c>
      <c r="D2826" t="s">
        <v>13517</v>
      </c>
      <c r="E2826" t="s">
        <v>13468</v>
      </c>
      <c r="F2826" t="s">
        <v>147</v>
      </c>
      <c r="H2826" t="s">
        <v>13384</v>
      </c>
    </row>
    <row r="2827" spans="1:8">
      <c r="A2827" t="s">
        <v>249</v>
      </c>
      <c r="B2827" t="s">
        <v>147</v>
      </c>
      <c r="C2827">
        <v>69</v>
      </c>
      <c r="D2827" t="s">
        <v>5444</v>
      </c>
      <c r="E2827" t="s">
        <v>13518</v>
      </c>
      <c r="F2827" t="s">
        <v>147</v>
      </c>
      <c r="G2827" t="s">
        <v>13519</v>
      </c>
      <c r="H2827" t="s">
        <v>13498</v>
      </c>
    </row>
    <row r="2828" spans="1:8">
      <c r="A2828" t="s">
        <v>241</v>
      </c>
      <c r="B2828" t="s">
        <v>147</v>
      </c>
      <c r="C2828">
        <v>69</v>
      </c>
      <c r="D2828" t="s">
        <v>13520</v>
      </c>
      <c r="E2828" t="s">
        <v>13521</v>
      </c>
      <c r="F2828" t="s">
        <v>147</v>
      </c>
      <c r="G2828" t="s">
        <v>13522</v>
      </c>
      <c r="H2828" t="s">
        <v>13523</v>
      </c>
    </row>
    <row r="2829" spans="1:8">
      <c r="A2829" t="s">
        <v>250</v>
      </c>
      <c r="B2829" t="s">
        <v>147</v>
      </c>
      <c r="C2829">
        <v>69</v>
      </c>
      <c r="D2829" t="s">
        <v>13524</v>
      </c>
    </row>
    <row r="2830" spans="1:8">
      <c r="A2830" t="s">
        <v>250</v>
      </c>
      <c r="B2830" t="s">
        <v>147</v>
      </c>
      <c r="C2830">
        <v>69</v>
      </c>
      <c r="D2830" t="s">
        <v>13525</v>
      </c>
      <c r="F2830" t="s">
        <v>147</v>
      </c>
    </row>
    <row r="2831" spans="1:8">
      <c r="A2831" t="s">
        <v>250</v>
      </c>
      <c r="B2831" t="s">
        <v>147</v>
      </c>
      <c r="C2831">
        <v>69</v>
      </c>
      <c r="D2831" t="s">
        <v>13526</v>
      </c>
      <c r="F2831" t="s">
        <v>147</v>
      </c>
      <c r="G2831" t="s">
        <v>13527</v>
      </c>
      <c r="H2831" t="s">
        <v>13528</v>
      </c>
    </row>
    <row r="2832" spans="1:8">
      <c r="A2832" t="s">
        <v>250</v>
      </c>
      <c r="B2832" t="s">
        <v>147</v>
      </c>
      <c r="C2832">
        <v>69</v>
      </c>
      <c r="D2832" t="s">
        <v>13529</v>
      </c>
      <c r="F2832" t="s">
        <v>147</v>
      </c>
    </row>
    <row r="2833" spans="1:8">
      <c r="A2833" t="s">
        <v>250</v>
      </c>
      <c r="B2833" t="s">
        <v>147</v>
      </c>
      <c r="C2833">
        <v>69</v>
      </c>
      <c r="D2833" t="s">
        <v>13530</v>
      </c>
    </row>
    <row r="2834" spans="1:8">
      <c r="A2834" t="s">
        <v>250</v>
      </c>
      <c r="B2834" t="s">
        <v>147</v>
      </c>
      <c r="C2834">
        <v>69</v>
      </c>
      <c r="D2834" t="s">
        <v>13531</v>
      </c>
      <c r="G2834" t="s">
        <v>13532</v>
      </c>
    </row>
    <row r="2835" spans="1:8">
      <c r="A2835" t="s">
        <v>250</v>
      </c>
      <c r="B2835" t="s">
        <v>147</v>
      </c>
      <c r="C2835">
        <v>69</v>
      </c>
      <c r="D2835" t="s">
        <v>13533</v>
      </c>
      <c r="F2835" t="s">
        <v>147</v>
      </c>
    </row>
    <row r="2836" spans="1:8">
      <c r="A2836" t="s">
        <v>250</v>
      </c>
      <c r="B2836" t="s">
        <v>147</v>
      </c>
      <c r="C2836">
        <v>69</v>
      </c>
      <c r="D2836" t="s">
        <v>13534</v>
      </c>
    </row>
    <row r="2837" spans="1:8">
      <c r="A2837" t="s">
        <v>250</v>
      </c>
      <c r="B2837" t="s">
        <v>147</v>
      </c>
      <c r="C2837">
        <v>69</v>
      </c>
      <c r="D2837" t="s">
        <v>13535</v>
      </c>
      <c r="E2837" t="s">
        <v>13536</v>
      </c>
      <c r="G2837" t="s">
        <v>13537</v>
      </c>
    </row>
    <row r="2838" spans="1:8">
      <c r="A2838" t="s">
        <v>250</v>
      </c>
      <c r="B2838" t="s">
        <v>147</v>
      </c>
      <c r="C2838">
        <v>69</v>
      </c>
      <c r="D2838" t="s">
        <v>13538</v>
      </c>
      <c r="F2838" t="s">
        <v>147</v>
      </c>
    </row>
    <row r="2839" spans="1:8">
      <c r="A2839" t="s">
        <v>250</v>
      </c>
      <c r="B2839" t="s">
        <v>147</v>
      </c>
      <c r="C2839">
        <v>69</v>
      </c>
      <c r="D2839" t="s">
        <v>13539</v>
      </c>
    </row>
    <row r="2840" spans="1:8">
      <c r="A2840" t="s">
        <v>250</v>
      </c>
      <c r="B2840" t="s">
        <v>147</v>
      </c>
      <c r="C2840">
        <v>69</v>
      </c>
      <c r="D2840" t="s">
        <v>13540</v>
      </c>
      <c r="E2840" t="s">
        <v>13541</v>
      </c>
      <c r="F2840" t="s">
        <v>147</v>
      </c>
    </row>
    <row r="2841" spans="1:8">
      <c r="A2841" t="s">
        <v>250</v>
      </c>
      <c r="B2841" t="s">
        <v>147</v>
      </c>
      <c r="C2841">
        <v>69</v>
      </c>
      <c r="D2841" t="s">
        <v>13542</v>
      </c>
    </row>
    <row r="2842" spans="1:8">
      <c r="A2842" t="s">
        <v>250</v>
      </c>
      <c r="B2842" t="s">
        <v>147</v>
      </c>
      <c r="C2842">
        <v>69</v>
      </c>
      <c r="D2842" t="s">
        <v>13543</v>
      </c>
    </row>
    <row r="2843" spans="1:8">
      <c r="A2843" t="s">
        <v>250</v>
      </c>
      <c r="B2843" t="s">
        <v>147</v>
      </c>
      <c r="C2843">
        <v>69</v>
      </c>
      <c r="D2843" t="s">
        <v>13544</v>
      </c>
      <c r="F2843" t="s">
        <v>147</v>
      </c>
    </row>
    <row r="2844" spans="1:8">
      <c r="A2844" t="s">
        <v>250</v>
      </c>
      <c r="B2844" t="s">
        <v>147</v>
      </c>
      <c r="C2844">
        <v>69</v>
      </c>
      <c r="D2844" t="s">
        <v>4033</v>
      </c>
      <c r="H2844" t="s">
        <v>13545</v>
      </c>
    </row>
    <row r="2845" spans="1:8">
      <c r="A2845" t="s">
        <v>242</v>
      </c>
      <c r="B2845" t="s">
        <v>155</v>
      </c>
      <c r="C2845">
        <v>69</v>
      </c>
      <c r="D2845" t="s">
        <v>9052</v>
      </c>
      <c r="E2845" t="s">
        <v>16497</v>
      </c>
      <c r="F2845" t="s">
        <v>155</v>
      </c>
      <c r="H2845" t="s">
        <v>9054</v>
      </c>
    </row>
    <row r="2846" spans="1:8">
      <c r="A2846" t="s">
        <v>243</v>
      </c>
      <c r="B2846" t="s">
        <v>155</v>
      </c>
      <c r="C2846">
        <v>69</v>
      </c>
      <c r="D2846" t="s">
        <v>16498</v>
      </c>
      <c r="E2846" t="s">
        <v>16499</v>
      </c>
      <c r="F2846" t="s">
        <v>155</v>
      </c>
      <c r="G2846" t="s">
        <v>16500</v>
      </c>
      <c r="H2846" t="s">
        <v>16501</v>
      </c>
    </row>
    <row r="2847" spans="1:8">
      <c r="A2847" t="s">
        <v>240</v>
      </c>
      <c r="B2847" t="s">
        <v>155</v>
      </c>
      <c r="C2847">
        <v>69</v>
      </c>
      <c r="D2847" t="s">
        <v>16502</v>
      </c>
      <c r="E2847" t="s">
        <v>13132</v>
      </c>
      <c r="F2847" t="s">
        <v>155</v>
      </c>
      <c r="H2847" t="s">
        <v>16503</v>
      </c>
    </row>
    <row r="2848" spans="1:8">
      <c r="A2848" t="s">
        <v>240</v>
      </c>
      <c r="B2848" t="s">
        <v>155</v>
      </c>
      <c r="C2848">
        <v>69</v>
      </c>
      <c r="D2848" t="s">
        <v>16504</v>
      </c>
      <c r="E2848" t="s">
        <v>13132</v>
      </c>
      <c r="F2848" t="s">
        <v>155</v>
      </c>
      <c r="H2848" t="s">
        <v>16503</v>
      </c>
    </row>
    <row r="2849" spans="1:8">
      <c r="A2849" t="s">
        <v>241</v>
      </c>
      <c r="B2849" t="s">
        <v>155</v>
      </c>
      <c r="C2849">
        <v>69</v>
      </c>
      <c r="D2849" t="s">
        <v>16505</v>
      </c>
      <c r="E2849" t="s">
        <v>16506</v>
      </c>
      <c r="H2849" t="s">
        <v>16507</v>
      </c>
    </row>
    <row r="2850" spans="1:8">
      <c r="A2850" t="s">
        <v>250</v>
      </c>
      <c r="B2850" t="s">
        <v>228</v>
      </c>
      <c r="C2850">
        <v>70</v>
      </c>
      <c r="D2850" t="s">
        <v>13546</v>
      </c>
      <c r="E2850" t="s">
        <v>13547</v>
      </c>
      <c r="F2850" t="s">
        <v>228</v>
      </c>
      <c r="G2850" t="s">
        <v>13548</v>
      </c>
    </row>
    <row r="2851" spans="1:8">
      <c r="A2851" t="s">
        <v>250</v>
      </c>
      <c r="B2851" t="s">
        <v>228</v>
      </c>
      <c r="C2851">
        <v>70</v>
      </c>
      <c r="D2851" t="s">
        <v>13549</v>
      </c>
      <c r="E2851" t="s">
        <v>13550</v>
      </c>
      <c r="F2851" t="s">
        <v>228</v>
      </c>
      <c r="G2851" t="s">
        <v>13551</v>
      </c>
    </row>
    <row r="2852" spans="1:8">
      <c r="A2852" t="s">
        <v>250</v>
      </c>
      <c r="B2852" t="s">
        <v>228</v>
      </c>
      <c r="C2852">
        <v>70</v>
      </c>
      <c r="D2852" t="s">
        <v>13552</v>
      </c>
      <c r="E2852" t="s">
        <v>13547</v>
      </c>
      <c r="F2852" t="s">
        <v>228</v>
      </c>
      <c r="G2852" t="s">
        <v>13553</v>
      </c>
    </row>
    <row r="2853" spans="1:8">
      <c r="A2853" t="s">
        <v>250</v>
      </c>
      <c r="B2853" t="s">
        <v>228</v>
      </c>
      <c r="C2853">
        <v>70</v>
      </c>
      <c r="D2853" t="s">
        <v>13554</v>
      </c>
      <c r="E2853" t="s">
        <v>13547</v>
      </c>
      <c r="F2853" t="s">
        <v>228</v>
      </c>
      <c r="G2853" t="s">
        <v>13555</v>
      </c>
    </row>
    <row r="2854" spans="1:8">
      <c r="A2854" t="s">
        <v>244</v>
      </c>
      <c r="B2854" t="s">
        <v>228</v>
      </c>
      <c r="C2854">
        <v>70</v>
      </c>
      <c r="D2854" t="s">
        <v>13556</v>
      </c>
      <c r="E2854" t="s">
        <v>13557</v>
      </c>
      <c r="F2854" t="s">
        <v>228</v>
      </c>
      <c r="G2854" t="s">
        <v>13558</v>
      </c>
      <c r="H2854" t="s">
        <v>13559</v>
      </c>
    </row>
    <row r="2855" spans="1:8">
      <c r="A2855" t="s">
        <v>250</v>
      </c>
      <c r="B2855" t="s">
        <v>228</v>
      </c>
      <c r="C2855">
        <v>70</v>
      </c>
      <c r="D2855" t="s">
        <v>13560</v>
      </c>
      <c r="E2855" t="s">
        <v>13561</v>
      </c>
      <c r="F2855" t="s">
        <v>228</v>
      </c>
    </row>
    <row r="2856" spans="1:8">
      <c r="A2856" t="s">
        <v>241</v>
      </c>
      <c r="B2856" t="s">
        <v>228</v>
      </c>
      <c r="C2856">
        <v>70</v>
      </c>
      <c r="D2856" t="s">
        <v>13562</v>
      </c>
      <c r="E2856" t="s">
        <v>13563</v>
      </c>
      <c r="F2856" t="s">
        <v>228</v>
      </c>
      <c r="G2856" t="s">
        <v>13564</v>
      </c>
      <c r="H2856" t="s">
        <v>13565</v>
      </c>
    </row>
    <row r="2857" spans="1:8">
      <c r="A2857" t="s">
        <v>241</v>
      </c>
      <c r="B2857" t="s">
        <v>228</v>
      </c>
      <c r="C2857">
        <v>70</v>
      </c>
      <c r="D2857" t="s">
        <v>13566</v>
      </c>
      <c r="E2857" t="s">
        <v>13567</v>
      </c>
      <c r="F2857" t="s">
        <v>228</v>
      </c>
      <c r="G2857" t="s">
        <v>13568</v>
      </c>
      <c r="H2857" t="s">
        <v>13569</v>
      </c>
    </row>
    <row r="2858" spans="1:8">
      <c r="A2858" t="s">
        <v>241</v>
      </c>
      <c r="B2858" t="s">
        <v>228</v>
      </c>
      <c r="C2858">
        <v>70</v>
      </c>
      <c r="D2858" t="s">
        <v>13570</v>
      </c>
      <c r="E2858" t="s">
        <v>13571</v>
      </c>
      <c r="F2858" t="s">
        <v>72</v>
      </c>
      <c r="H2858" t="s">
        <v>13572</v>
      </c>
    </row>
    <row r="2859" spans="1:8">
      <c r="A2859" t="s">
        <v>241</v>
      </c>
      <c r="B2859" t="s">
        <v>228</v>
      </c>
      <c r="C2859">
        <v>70</v>
      </c>
      <c r="D2859" t="s">
        <v>13573</v>
      </c>
      <c r="E2859" t="s">
        <v>13574</v>
      </c>
      <c r="H2859" t="s">
        <v>13575</v>
      </c>
    </row>
    <row r="2860" spans="1:8">
      <c r="A2860" t="s">
        <v>240</v>
      </c>
      <c r="B2860" t="s">
        <v>228</v>
      </c>
      <c r="C2860">
        <v>70</v>
      </c>
      <c r="D2860" t="s">
        <v>13576</v>
      </c>
      <c r="E2860" t="s">
        <v>13577</v>
      </c>
      <c r="F2860" t="s">
        <v>228</v>
      </c>
      <c r="G2860" t="s">
        <v>13578</v>
      </c>
      <c r="H2860" t="s">
        <v>13579</v>
      </c>
    </row>
    <row r="2861" spans="1:8">
      <c r="A2861" t="s">
        <v>240</v>
      </c>
      <c r="B2861" t="s">
        <v>228</v>
      </c>
      <c r="C2861">
        <v>70</v>
      </c>
      <c r="D2861" t="s">
        <v>13580</v>
      </c>
      <c r="E2861" t="s">
        <v>13581</v>
      </c>
      <c r="F2861" t="s">
        <v>228</v>
      </c>
      <c r="G2861" t="s">
        <v>13582</v>
      </c>
      <c r="H2861" t="s">
        <v>13551</v>
      </c>
    </row>
    <row r="2862" spans="1:8">
      <c r="A2862" t="s">
        <v>240</v>
      </c>
      <c r="B2862" t="s">
        <v>228</v>
      </c>
      <c r="C2862">
        <v>70</v>
      </c>
      <c r="D2862" t="s">
        <v>13583</v>
      </c>
      <c r="E2862" t="s">
        <v>13584</v>
      </c>
      <c r="F2862" t="s">
        <v>228</v>
      </c>
      <c r="H2862" t="s">
        <v>13585</v>
      </c>
    </row>
    <row r="2863" spans="1:8">
      <c r="A2863" t="s">
        <v>250</v>
      </c>
      <c r="B2863" t="s">
        <v>228</v>
      </c>
      <c r="C2863">
        <v>70</v>
      </c>
      <c r="D2863" t="s">
        <v>13586</v>
      </c>
      <c r="E2863" t="s">
        <v>13587</v>
      </c>
      <c r="G2863" t="s">
        <v>13588</v>
      </c>
      <c r="H2863" t="s">
        <v>13589</v>
      </c>
    </row>
    <row r="2864" spans="1:8">
      <c r="A2864" t="s">
        <v>240</v>
      </c>
      <c r="B2864" t="s">
        <v>228</v>
      </c>
      <c r="C2864">
        <v>70</v>
      </c>
      <c r="D2864" t="s">
        <v>13590</v>
      </c>
      <c r="E2864" t="s">
        <v>13591</v>
      </c>
      <c r="F2864" t="s">
        <v>228</v>
      </c>
      <c r="H2864" t="s">
        <v>13592</v>
      </c>
    </row>
    <row r="2865" spans="1:8">
      <c r="A2865" t="s">
        <v>240</v>
      </c>
      <c r="B2865" t="s">
        <v>228</v>
      </c>
      <c r="C2865">
        <v>70</v>
      </c>
      <c r="D2865" t="s">
        <v>13593</v>
      </c>
      <c r="E2865" t="s">
        <v>13594</v>
      </c>
      <c r="F2865" t="s">
        <v>228</v>
      </c>
      <c r="G2865" t="s">
        <v>13595</v>
      </c>
      <c r="H2865" t="s">
        <v>13596</v>
      </c>
    </row>
    <row r="2866" spans="1:8">
      <c r="A2866" t="s">
        <v>240</v>
      </c>
      <c r="B2866" t="s">
        <v>228</v>
      </c>
      <c r="C2866">
        <v>70</v>
      </c>
      <c r="D2866" t="s">
        <v>13597</v>
      </c>
      <c r="E2866" t="s">
        <v>13598</v>
      </c>
      <c r="F2866" t="s">
        <v>228</v>
      </c>
    </row>
    <row r="2867" spans="1:8">
      <c r="A2867" t="s">
        <v>240</v>
      </c>
      <c r="B2867" t="s">
        <v>228</v>
      </c>
      <c r="C2867">
        <v>70</v>
      </c>
      <c r="D2867" t="s">
        <v>13599</v>
      </c>
      <c r="E2867" t="s">
        <v>13600</v>
      </c>
      <c r="F2867" t="s">
        <v>228</v>
      </c>
      <c r="G2867" t="s">
        <v>13601</v>
      </c>
      <c r="H2867" t="s">
        <v>13602</v>
      </c>
    </row>
    <row r="2868" spans="1:8">
      <c r="A2868" t="s">
        <v>240</v>
      </c>
      <c r="B2868" t="s">
        <v>228</v>
      </c>
      <c r="C2868">
        <v>70</v>
      </c>
      <c r="D2868" t="s">
        <v>13603</v>
      </c>
      <c r="E2868" t="s">
        <v>13604</v>
      </c>
      <c r="F2868" t="s">
        <v>228</v>
      </c>
      <c r="G2868" t="s">
        <v>13605</v>
      </c>
      <c r="H2868" t="s">
        <v>13606</v>
      </c>
    </row>
    <row r="2869" spans="1:8">
      <c r="A2869" t="s">
        <v>240</v>
      </c>
      <c r="B2869" t="s">
        <v>228</v>
      </c>
      <c r="C2869">
        <v>70</v>
      </c>
      <c r="D2869" t="s">
        <v>13607</v>
      </c>
      <c r="E2869" t="s">
        <v>8218</v>
      </c>
      <c r="F2869" t="s">
        <v>228</v>
      </c>
      <c r="G2869" t="s">
        <v>13608</v>
      </c>
      <c r="H2869" t="s">
        <v>13609</v>
      </c>
    </row>
    <row r="2870" spans="1:8">
      <c r="A2870" t="s">
        <v>240</v>
      </c>
      <c r="B2870" t="s">
        <v>228</v>
      </c>
      <c r="C2870">
        <v>70</v>
      </c>
      <c r="D2870" t="s">
        <v>13610</v>
      </c>
      <c r="E2870" t="s">
        <v>13611</v>
      </c>
      <c r="F2870" t="s">
        <v>228</v>
      </c>
      <c r="G2870" t="s">
        <v>13612</v>
      </c>
      <c r="H2870" t="s">
        <v>13613</v>
      </c>
    </row>
    <row r="2871" spans="1:8">
      <c r="A2871" t="s">
        <v>240</v>
      </c>
      <c r="B2871" t="s">
        <v>228</v>
      </c>
      <c r="C2871">
        <v>70</v>
      </c>
      <c r="D2871" t="s">
        <v>13614</v>
      </c>
      <c r="E2871" t="s">
        <v>13615</v>
      </c>
      <c r="F2871" t="s">
        <v>228</v>
      </c>
      <c r="G2871" t="s">
        <v>13616</v>
      </c>
      <c r="H2871" t="s">
        <v>13617</v>
      </c>
    </row>
    <row r="2872" spans="1:8">
      <c r="A2872" t="s">
        <v>240</v>
      </c>
      <c r="B2872" t="s">
        <v>228</v>
      </c>
      <c r="C2872">
        <v>70</v>
      </c>
      <c r="D2872" t="s">
        <v>13618</v>
      </c>
      <c r="E2872" t="s">
        <v>13619</v>
      </c>
      <c r="F2872" t="s">
        <v>228</v>
      </c>
    </row>
    <row r="2873" spans="1:8">
      <c r="A2873" t="s">
        <v>250</v>
      </c>
      <c r="B2873" t="s">
        <v>228</v>
      </c>
      <c r="C2873">
        <v>70</v>
      </c>
      <c r="D2873" t="s">
        <v>13620</v>
      </c>
      <c r="E2873" t="s">
        <v>13547</v>
      </c>
      <c r="F2873" t="s">
        <v>228</v>
      </c>
    </row>
    <row r="2874" spans="1:8">
      <c r="A2874" t="s">
        <v>246</v>
      </c>
      <c r="B2874" t="s">
        <v>228</v>
      </c>
      <c r="C2874">
        <v>70</v>
      </c>
      <c r="D2874" t="s">
        <v>13621</v>
      </c>
      <c r="E2874" t="s">
        <v>13622</v>
      </c>
      <c r="F2874" t="s">
        <v>228</v>
      </c>
    </row>
    <row r="2875" spans="1:8">
      <c r="A2875" t="s">
        <v>241</v>
      </c>
      <c r="B2875" t="s">
        <v>228</v>
      </c>
      <c r="C2875">
        <v>70</v>
      </c>
      <c r="D2875" t="s">
        <v>13623</v>
      </c>
      <c r="E2875" t="s">
        <v>13624</v>
      </c>
      <c r="F2875" t="s">
        <v>228</v>
      </c>
      <c r="G2875" t="s">
        <v>13625</v>
      </c>
      <c r="H2875" t="s">
        <v>13626</v>
      </c>
    </row>
    <row r="2876" spans="1:8">
      <c r="A2876" t="s">
        <v>243</v>
      </c>
      <c r="B2876" t="s">
        <v>228</v>
      </c>
      <c r="C2876">
        <v>70</v>
      </c>
      <c r="D2876" t="s">
        <v>13627</v>
      </c>
      <c r="E2876" t="s">
        <v>13628</v>
      </c>
      <c r="F2876" t="s">
        <v>228</v>
      </c>
      <c r="H2876" t="s">
        <v>13629</v>
      </c>
    </row>
    <row r="2877" spans="1:8">
      <c r="A2877" t="s">
        <v>241</v>
      </c>
      <c r="B2877" t="s">
        <v>228</v>
      </c>
      <c r="C2877">
        <v>70</v>
      </c>
      <c r="D2877" t="s">
        <v>13630</v>
      </c>
      <c r="E2877" t="s">
        <v>13631</v>
      </c>
      <c r="H2877" t="s">
        <v>13632</v>
      </c>
    </row>
    <row r="2878" spans="1:8">
      <c r="A2878" t="s">
        <v>241</v>
      </c>
      <c r="B2878" t="s">
        <v>228</v>
      </c>
      <c r="C2878">
        <v>70</v>
      </c>
      <c r="D2878" t="s">
        <v>13633</v>
      </c>
      <c r="E2878" t="s">
        <v>13634</v>
      </c>
      <c r="F2878" t="s">
        <v>228</v>
      </c>
      <c r="H2878" t="s">
        <v>13635</v>
      </c>
    </row>
    <row r="2879" spans="1:8">
      <c r="A2879" t="s">
        <v>241</v>
      </c>
      <c r="B2879" t="s">
        <v>228</v>
      </c>
      <c r="C2879">
        <v>70</v>
      </c>
      <c r="D2879" t="s">
        <v>13636</v>
      </c>
      <c r="E2879" t="s">
        <v>13637</v>
      </c>
      <c r="F2879" t="s">
        <v>228</v>
      </c>
      <c r="H2879" t="s">
        <v>13638</v>
      </c>
    </row>
    <row r="2880" spans="1:8">
      <c r="A2880" t="s">
        <v>241</v>
      </c>
      <c r="B2880" t="s">
        <v>228</v>
      </c>
      <c r="C2880">
        <v>70</v>
      </c>
      <c r="D2880" t="s">
        <v>13639</v>
      </c>
      <c r="E2880" t="s">
        <v>13640</v>
      </c>
      <c r="G2880" t="s">
        <v>13641</v>
      </c>
      <c r="H2880" t="s">
        <v>13642</v>
      </c>
    </row>
    <row r="2881" spans="1:8">
      <c r="A2881" t="s">
        <v>241</v>
      </c>
      <c r="B2881" t="s">
        <v>228</v>
      </c>
      <c r="C2881">
        <v>70</v>
      </c>
      <c r="D2881" t="s">
        <v>3532</v>
      </c>
      <c r="E2881" t="s">
        <v>13643</v>
      </c>
      <c r="F2881" t="s">
        <v>228</v>
      </c>
      <c r="G2881" t="s">
        <v>13644</v>
      </c>
      <c r="H2881" t="s">
        <v>13645</v>
      </c>
    </row>
    <row r="2882" spans="1:8">
      <c r="A2882" t="s">
        <v>240</v>
      </c>
      <c r="B2882" t="s">
        <v>228</v>
      </c>
      <c r="C2882">
        <v>70</v>
      </c>
      <c r="D2882" t="s">
        <v>12695</v>
      </c>
      <c r="E2882" t="s">
        <v>13646</v>
      </c>
      <c r="F2882" t="s">
        <v>228</v>
      </c>
      <c r="G2882" t="s">
        <v>13647</v>
      </c>
      <c r="H2882" t="s">
        <v>13648</v>
      </c>
    </row>
    <row r="2883" spans="1:8">
      <c r="A2883" t="s">
        <v>250</v>
      </c>
      <c r="B2883" t="s">
        <v>228</v>
      </c>
      <c r="C2883">
        <v>70</v>
      </c>
      <c r="D2883" t="s">
        <v>13649</v>
      </c>
      <c r="E2883" t="s">
        <v>13550</v>
      </c>
      <c r="F2883" t="s">
        <v>228</v>
      </c>
    </row>
    <row r="2884" spans="1:8">
      <c r="A2884" t="s">
        <v>241</v>
      </c>
      <c r="B2884" t="s">
        <v>228</v>
      </c>
      <c r="C2884">
        <v>70</v>
      </c>
      <c r="D2884" t="s">
        <v>13650</v>
      </c>
      <c r="E2884" t="s">
        <v>13651</v>
      </c>
      <c r="G2884" t="s">
        <v>13652</v>
      </c>
      <c r="H2884" t="s">
        <v>13653</v>
      </c>
    </row>
    <row r="2885" spans="1:8">
      <c r="A2885" t="s">
        <v>250</v>
      </c>
      <c r="B2885" t="s">
        <v>228</v>
      </c>
      <c r="C2885">
        <v>70</v>
      </c>
      <c r="D2885" t="s">
        <v>13654</v>
      </c>
      <c r="G2885" t="s">
        <v>13655</v>
      </c>
    </row>
    <row r="2886" spans="1:8">
      <c r="A2886" t="s">
        <v>241</v>
      </c>
      <c r="B2886" t="s">
        <v>228</v>
      </c>
      <c r="C2886">
        <v>70</v>
      </c>
      <c r="D2886" t="s">
        <v>13656</v>
      </c>
      <c r="E2886" t="s">
        <v>13657</v>
      </c>
      <c r="F2886" t="s">
        <v>228</v>
      </c>
      <c r="H2886" t="s">
        <v>13658</v>
      </c>
    </row>
    <row r="2887" spans="1:8">
      <c r="A2887" t="s">
        <v>241</v>
      </c>
      <c r="B2887" t="s">
        <v>228</v>
      </c>
      <c r="C2887">
        <v>70</v>
      </c>
      <c r="D2887" t="s">
        <v>13659</v>
      </c>
      <c r="E2887" t="s">
        <v>13660</v>
      </c>
      <c r="F2887" t="s">
        <v>13661</v>
      </c>
      <c r="G2887" t="s">
        <v>13661</v>
      </c>
      <c r="H2887" t="s">
        <v>13662</v>
      </c>
    </row>
    <row r="2888" spans="1:8">
      <c r="A2888" t="s">
        <v>241</v>
      </c>
      <c r="B2888" t="s">
        <v>228</v>
      </c>
      <c r="C2888">
        <v>70</v>
      </c>
      <c r="D2888" t="s">
        <v>13663</v>
      </c>
      <c r="E2888" t="s">
        <v>13664</v>
      </c>
      <c r="H2888" t="s">
        <v>13665</v>
      </c>
    </row>
    <row r="2889" spans="1:8">
      <c r="A2889" t="s">
        <v>241</v>
      </c>
      <c r="B2889" t="s">
        <v>228</v>
      </c>
      <c r="C2889">
        <v>70</v>
      </c>
      <c r="D2889" t="s">
        <v>13666</v>
      </c>
      <c r="E2889" t="s">
        <v>13667</v>
      </c>
      <c r="G2889" t="s">
        <v>13668</v>
      </c>
      <c r="H2889" t="s">
        <v>13669</v>
      </c>
    </row>
    <row r="2890" spans="1:8">
      <c r="A2890" t="s">
        <v>241</v>
      </c>
      <c r="B2890" t="s">
        <v>228</v>
      </c>
      <c r="C2890">
        <v>70</v>
      </c>
      <c r="D2890" t="s">
        <v>13670</v>
      </c>
      <c r="E2890" t="s">
        <v>13671</v>
      </c>
      <c r="H2890" t="s">
        <v>13672</v>
      </c>
    </row>
    <row r="2891" spans="1:8">
      <c r="A2891" t="s">
        <v>243</v>
      </c>
      <c r="B2891" t="s">
        <v>228</v>
      </c>
      <c r="C2891">
        <v>70</v>
      </c>
      <c r="D2891" t="s">
        <v>13673</v>
      </c>
      <c r="E2891" t="s">
        <v>13674</v>
      </c>
      <c r="H2891" t="s">
        <v>13569</v>
      </c>
    </row>
    <row r="2892" spans="1:8">
      <c r="A2892" t="s">
        <v>242</v>
      </c>
      <c r="B2892" t="s">
        <v>228</v>
      </c>
      <c r="C2892">
        <v>70</v>
      </c>
      <c r="D2892" t="s">
        <v>13675</v>
      </c>
      <c r="E2892" t="s">
        <v>13676</v>
      </c>
      <c r="F2892" t="s">
        <v>228</v>
      </c>
      <c r="G2892" t="s">
        <v>13677</v>
      </c>
      <c r="H2892" t="s">
        <v>13678</v>
      </c>
    </row>
    <row r="2893" spans="1:8">
      <c r="A2893" t="s">
        <v>240</v>
      </c>
      <c r="B2893" t="s">
        <v>228</v>
      </c>
      <c r="C2893">
        <v>70</v>
      </c>
      <c r="D2893" t="s">
        <v>3958</v>
      </c>
      <c r="E2893" t="s">
        <v>13679</v>
      </c>
      <c r="F2893" t="s">
        <v>228</v>
      </c>
      <c r="G2893" t="s">
        <v>13680</v>
      </c>
      <c r="H2893" t="s">
        <v>13681</v>
      </c>
    </row>
    <row r="2894" spans="1:8">
      <c r="A2894" t="s">
        <v>240</v>
      </c>
      <c r="B2894" t="s">
        <v>228</v>
      </c>
      <c r="C2894">
        <v>70</v>
      </c>
      <c r="D2894" t="s">
        <v>7053</v>
      </c>
      <c r="E2894" t="s">
        <v>13682</v>
      </c>
      <c r="F2894" t="s">
        <v>228</v>
      </c>
      <c r="G2894" t="s">
        <v>13683</v>
      </c>
      <c r="H2894" t="s">
        <v>13684</v>
      </c>
    </row>
    <row r="2895" spans="1:8">
      <c r="A2895" t="s">
        <v>241</v>
      </c>
      <c r="B2895" t="s">
        <v>228</v>
      </c>
      <c r="C2895">
        <v>70</v>
      </c>
      <c r="D2895" t="s">
        <v>2947</v>
      </c>
      <c r="E2895" t="s">
        <v>13685</v>
      </c>
      <c r="F2895" t="s">
        <v>228</v>
      </c>
      <c r="G2895" t="s">
        <v>13686</v>
      </c>
      <c r="H2895" t="s">
        <v>13687</v>
      </c>
    </row>
    <row r="2896" spans="1:8">
      <c r="A2896" t="s">
        <v>241</v>
      </c>
      <c r="B2896" t="s">
        <v>228</v>
      </c>
      <c r="C2896">
        <v>70</v>
      </c>
      <c r="D2896" t="s">
        <v>13688</v>
      </c>
      <c r="E2896" t="s">
        <v>13689</v>
      </c>
      <c r="F2896" t="s">
        <v>228</v>
      </c>
      <c r="H2896" t="s">
        <v>13690</v>
      </c>
    </row>
    <row r="2897" spans="1:8">
      <c r="A2897" t="s">
        <v>250</v>
      </c>
      <c r="B2897" t="s">
        <v>228</v>
      </c>
      <c r="C2897">
        <v>70</v>
      </c>
      <c r="D2897" t="s">
        <v>13691</v>
      </c>
      <c r="E2897" t="s">
        <v>13550</v>
      </c>
      <c r="F2897" t="s">
        <v>228</v>
      </c>
    </row>
    <row r="2898" spans="1:8">
      <c r="A2898" t="s">
        <v>250</v>
      </c>
      <c r="B2898" t="s">
        <v>228</v>
      </c>
      <c r="C2898">
        <v>70</v>
      </c>
      <c r="D2898" t="s">
        <v>13692</v>
      </c>
      <c r="E2898" t="s">
        <v>13550</v>
      </c>
      <c r="F2898" t="s">
        <v>228</v>
      </c>
      <c r="G2898" t="s">
        <v>13693</v>
      </c>
    </row>
    <row r="2899" spans="1:8">
      <c r="A2899" t="s">
        <v>250</v>
      </c>
      <c r="B2899" t="s">
        <v>228</v>
      </c>
      <c r="C2899">
        <v>70</v>
      </c>
      <c r="D2899" t="s">
        <v>13694</v>
      </c>
      <c r="E2899" t="s">
        <v>13695</v>
      </c>
      <c r="F2899" t="s">
        <v>228</v>
      </c>
      <c r="G2899" t="s">
        <v>13696</v>
      </c>
    </row>
    <row r="2900" spans="1:8">
      <c r="A2900" t="s">
        <v>250</v>
      </c>
      <c r="B2900" t="s">
        <v>228</v>
      </c>
      <c r="C2900">
        <v>70</v>
      </c>
      <c r="D2900" t="s">
        <v>13697</v>
      </c>
      <c r="E2900" t="s">
        <v>13550</v>
      </c>
      <c r="F2900" t="s">
        <v>228</v>
      </c>
      <c r="G2900" t="s">
        <v>13698</v>
      </c>
    </row>
    <row r="2901" spans="1:8">
      <c r="A2901" t="s">
        <v>250</v>
      </c>
      <c r="B2901" t="s">
        <v>228</v>
      </c>
      <c r="C2901">
        <v>70</v>
      </c>
      <c r="D2901" t="s">
        <v>13697</v>
      </c>
      <c r="E2901" t="s">
        <v>13550</v>
      </c>
      <c r="F2901" t="s">
        <v>228</v>
      </c>
      <c r="G2901" t="s">
        <v>13699</v>
      </c>
    </row>
    <row r="2902" spans="1:8">
      <c r="A2902" t="s">
        <v>250</v>
      </c>
      <c r="B2902" t="s">
        <v>228</v>
      </c>
      <c r="C2902">
        <v>70</v>
      </c>
      <c r="D2902" t="s">
        <v>13700</v>
      </c>
      <c r="E2902" t="s">
        <v>13550</v>
      </c>
      <c r="F2902" t="s">
        <v>228</v>
      </c>
      <c r="G2902" t="s">
        <v>13701</v>
      </c>
    </row>
    <row r="2903" spans="1:8">
      <c r="A2903" t="s">
        <v>250</v>
      </c>
      <c r="B2903" t="s">
        <v>228</v>
      </c>
      <c r="C2903">
        <v>70</v>
      </c>
      <c r="D2903" t="s">
        <v>13702</v>
      </c>
      <c r="E2903" t="s">
        <v>13703</v>
      </c>
      <c r="F2903" t="s">
        <v>228</v>
      </c>
      <c r="H2903" t="s">
        <v>13704</v>
      </c>
    </row>
    <row r="2904" spans="1:8">
      <c r="A2904" t="s">
        <v>250</v>
      </c>
      <c r="B2904" t="s">
        <v>228</v>
      </c>
      <c r="C2904">
        <v>70</v>
      </c>
      <c r="D2904" t="s">
        <v>13705</v>
      </c>
      <c r="E2904" t="s">
        <v>13550</v>
      </c>
      <c r="F2904" t="s">
        <v>228</v>
      </c>
      <c r="G2904" t="s">
        <v>13706</v>
      </c>
    </row>
    <row r="2905" spans="1:8">
      <c r="A2905" t="s">
        <v>250</v>
      </c>
      <c r="B2905" t="s">
        <v>228</v>
      </c>
      <c r="C2905">
        <v>70</v>
      </c>
      <c r="D2905" t="s">
        <v>13707</v>
      </c>
      <c r="E2905" t="s">
        <v>13550</v>
      </c>
      <c r="F2905" t="s">
        <v>228</v>
      </c>
    </row>
    <row r="2906" spans="1:8">
      <c r="A2906" t="s">
        <v>250</v>
      </c>
      <c r="B2906" t="s">
        <v>228</v>
      </c>
      <c r="C2906">
        <v>70</v>
      </c>
      <c r="D2906" t="s">
        <v>13708</v>
      </c>
      <c r="E2906" t="s">
        <v>13709</v>
      </c>
      <c r="F2906" t="s">
        <v>228</v>
      </c>
    </row>
    <row r="2907" spans="1:8">
      <c r="A2907" t="s">
        <v>250</v>
      </c>
      <c r="B2907" t="s">
        <v>228</v>
      </c>
      <c r="C2907">
        <v>70</v>
      </c>
      <c r="D2907" t="s">
        <v>13710</v>
      </c>
      <c r="E2907" t="s">
        <v>13709</v>
      </c>
      <c r="F2907" t="s">
        <v>228</v>
      </c>
    </row>
    <row r="2908" spans="1:8">
      <c r="A2908" t="s">
        <v>250</v>
      </c>
      <c r="B2908" t="s">
        <v>228</v>
      </c>
      <c r="C2908">
        <v>70</v>
      </c>
      <c r="D2908" t="s">
        <v>4498</v>
      </c>
      <c r="E2908" t="s">
        <v>13550</v>
      </c>
      <c r="F2908" t="s">
        <v>228</v>
      </c>
      <c r="G2908" t="s">
        <v>13711</v>
      </c>
    </row>
    <row r="2909" spans="1:8">
      <c r="A2909" t="s">
        <v>250</v>
      </c>
      <c r="B2909" t="s">
        <v>228</v>
      </c>
      <c r="C2909">
        <v>70</v>
      </c>
      <c r="D2909" t="s">
        <v>13712</v>
      </c>
      <c r="E2909" t="s">
        <v>13550</v>
      </c>
      <c r="F2909" t="s">
        <v>228</v>
      </c>
      <c r="G2909" t="s">
        <v>13713</v>
      </c>
    </row>
    <row r="2910" spans="1:8">
      <c r="A2910" t="s">
        <v>250</v>
      </c>
      <c r="B2910" t="s">
        <v>228</v>
      </c>
      <c r="C2910">
        <v>70</v>
      </c>
      <c r="D2910" t="s">
        <v>13714</v>
      </c>
      <c r="E2910" t="s">
        <v>13550</v>
      </c>
      <c r="F2910" t="s">
        <v>228</v>
      </c>
      <c r="G2910" t="s">
        <v>13715</v>
      </c>
    </row>
    <row r="2911" spans="1:8">
      <c r="A2911" t="s">
        <v>250</v>
      </c>
      <c r="B2911" t="s">
        <v>228</v>
      </c>
      <c r="C2911">
        <v>70</v>
      </c>
      <c r="D2911" t="s">
        <v>13716</v>
      </c>
      <c r="F2911" t="s">
        <v>228</v>
      </c>
      <c r="G2911" t="s">
        <v>13717</v>
      </c>
    </row>
    <row r="2912" spans="1:8">
      <c r="A2912" t="s">
        <v>250</v>
      </c>
      <c r="B2912" t="s">
        <v>228</v>
      </c>
      <c r="C2912">
        <v>70</v>
      </c>
      <c r="D2912" t="s">
        <v>13718</v>
      </c>
      <c r="E2912" t="s">
        <v>13709</v>
      </c>
      <c r="F2912" t="s">
        <v>13719</v>
      </c>
    </row>
    <row r="2913" spans="1:8">
      <c r="A2913" t="s">
        <v>250</v>
      </c>
      <c r="B2913" t="s">
        <v>228</v>
      </c>
      <c r="C2913">
        <v>70</v>
      </c>
      <c r="D2913" t="s">
        <v>13720</v>
      </c>
      <c r="E2913" t="s">
        <v>13721</v>
      </c>
      <c r="F2913" t="s">
        <v>228</v>
      </c>
    </row>
    <row r="2914" spans="1:8">
      <c r="A2914" t="s">
        <v>240</v>
      </c>
      <c r="B2914" t="s">
        <v>228</v>
      </c>
      <c r="C2914">
        <v>70</v>
      </c>
      <c r="D2914" t="s">
        <v>3345</v>
      </c>
      <c r="E2914" t="s">
        <v>13722</v>
      </c>
      <c r="F2914" t="s">
        <v>228</v>
      </c>
      <c r="G2914" t="s">
        <v>13723</v>
      </c>
      <c r="H2914" t="s">
        <v>13724</v>
      </c>
    </row>
    <row r="2915" spans="1:8">
      <c r="A2915" t="s">
        <v>241</v>
      </c>
      <c r="B2915" t="s">
        <v>228</v>
      </c>
      <c r="C2915">
        <v>70</v>
      </c>
      <c r="D2915" t="s">
        <v>13725</v>
      </c>
      <c r="E2915" t="s">
        <v>13726</v>
      </c>
      <c r="G2915" t="s">
        <v>13686</v>
      </c>
      <c r="H2915" t="s">
        <v>13687</v>
      </c>
    </row>
    <row r="2916" spans="1:8">
      <c r="A2916" t="s">
        <v>243</v>
      </c>
      <c r="B2916" t="s">
        <v>228</v>
      </c>
      <c r="C2916">
        <v>70</v>
      </c>
      <c r="D2916" t="s">
        <v>13727</v>
      </c>
      <c r="E2916" t="s">
        <v>13728</v>
      </c>
      <c r="F2916" t="s">
        <v>228</v>
      </c>
      <c r="G2916" t="s">
        <v>13616</v>
      </c>
      <c r="H2916" t="s">
        <v>13617</v>
      </c>
    </row>
    <row r="2917" spans="1:8">
      <c r="A2917" t="s">
        <v>240</v>
      </c>
      <c r="B2917" t="s">
        <v>228</v>
      </c>
      <c r="C2917">
        <v>70</v>
      </c>
      <c r="D2917" t="s">
        <v>13729</v>
      </c>
      <c r="E2917" t="s">
        <v>13730</v>
      </c>
      <c r="F2917" t="s">
        <v>228</v>
      </c>
      <c r="G2917" t="s">
        <v>13731</v>
      </c>
      <c r="H2917" t="s">
        <v>13732</v>
      </c>
    </row>
    <row r="2918" spans="1:8">
      <c r="A2918" t="s">
        <v>250</v>
      </c>
      <c r="B2918" t="s">
        <v>228</v>
      </c>
      <c r="C2918">
        <v>70</v>
      </c>
      <c r="D2918" t="s">
        <v>13733</v>
      </c>
      <c r="F2918" t="s">
        <v>228</v>
      </c>
      <c r="H2918" t="s">
        <v>13734</v>
      </c>
    </row>
    <row r="2919" spans="1:8">
      <c r="A2919" t="s">
        <v>250</v>
      </c>
      <c r="B2919" t="s">
        <v>228</v>
      </c>
      <c r="C2919">
        <v>70</v>
      </c>
      <c r="D2919" t="s">
        <v>13735</v>
      </c>
      <c r="E2919" t="s">
        <v>13550</v>
      </c>
      <c r="F2919" t="s">
        <v>228</v>
      </c>
      <c r="G2919" t="s">
        <v>13736</v>
      </c>
    </row>
    <row r="2920" spans="1:8">
      <c r="A2920" t="s">
        <v>250</v>
      </c>
      <c r="B2920" t="s">
        <v>228</v>
      </c>
      <c r="C2920">
        <v>70</v>
      </c>
      <c r="D2920" t="s">
        <v>13737</v>
      </c>
      <c r="E2920" t="s">
        <v>13550</v>
      </c>
      <c r="F2920" t="s">
        <v>228</v>
      </c>
    </row>
    <row r="2921" spans="1:8">
      <c r="A2921" t="s">
        <v>250</v>
      </c>
      <c r="B2921" t="s">
        <v>228</v>
      </c>
      <c r="C2921">
        <v>70</v>
      </c>
      <c r="D2921" t="s">
        <v>13738</v>
      </c>
      <c r="E2921" t="s">
        <v>13550</v>
      </c>
      <c r="F2921" t="s">
        <v>228</v>
      </c>
      <c r="G2921" t="s">
        <v>13739</v>
      </c>
    </row>
    <row r="2922" spans="1:8">
      <c r="A2922" t="s">
        <v>250</v>
      </c>
      <c r="B2922" t="s">
        <v>228</v>
      </c>
      <c r="C2922">
        <v>70</v>
      </c>
      <c r="D2922" t="s">
        <v>13740</v>
      </c>
      <c r="E2922" t="s">
        <v>13741</v>
      </c>
      <c r="F2922" t="s">
        <v>228</v>
      </c>
      <c r="G2922" t="s">
        <v>13742</v>
      </c>
    </row>
    <row r="2923" spans="1:8">
      <c r="A2923" t="s">
        <v>250</v>
      </c>
      <c r="B2923" t="s">
        <v>228</v>
      </c>
      <c r="C2923">
        <v>70</v>
      </c>
      <c r="D2923" t="s">
        <v>13743</v>
      </c>
      <c r="E2923" t="s">
        <v>13550</v>
      </c>
      <c r="F2923" t="s">
        <v>228</v>
      </c>
    </row>
    <row r="2924" spans="1:8">
      <c r="A2924" t="s">
        <v>250</v>
      </c>
      <c r="B2924" t="s">
        <v>228</v>
      </c>
      <c r="C2924">
        <v>70</v>
      </c>
      <c r="D2924" t="s">
        <v>13744</v>
      </c>
      <c r="E2924" t="s">
        <v>13745</v>
      </c>
      <c r="F2924" t="s">
        <v>228</v>
      </c>
    </row>
    <row r="2925" spans="1:8">
      <c r="A2925" t="s">
        <v>250</v>
      </c>
      <c r="B2925" t="s">
        <v>228</v>
      </c>
      <c r="C2925">
        <v>70</v>
      </c>
      <c r="D2925" t="s">
        <v>13746</v>
      </c>
      <c r="E2925" t="s">
        <v>13550</v>
      </c>
      <c r="F2925" t="s">
        <v>228</v>
      </c>
    </row>
    <row r="2926" spans="1:8">
      <c r="A2926" t="s">
        <v>250</v>
      </c>
      <c r="B2926" t="s">
        <v>228</v>
      </c>
      <c r="C2926">
        <v>70</v>
      </c>
      <c r="D2926" t="s">
        <v>13747</v>
      </c>
      <c r="E2926" t="s">
        <v>13550</v>
      </c>
      <c r="F2926" t="s">
        <v>228</v>
      </c>
    </row>
    <row r="2927" spans="1:8">
      <c r="A2927" t="s">
        <v>250</v>
      </c>
      <c r="B2927" t="s">
        <v>228</v>
      </c>
      <c r="C2927">
        <v>70</v>
      </c>
      <c r="D2927" t="s">
        <v>13748</v>
      </c>
      <c r="E2927" t="s">
        <v>13741</v>
      </c>
      <c r="F2927" t="s">
        <v>228</v>
      </c>
    </row>
    <row r="2928" spans="1:8">
      <c r="A2928" t="s">
        <v>250</v>
      </c>
      <c r="B2928" t="s">
        <v>228</v>
      </c>
      <c r="C2928">
        <v>70</v>
      </c>
      <c r="D2928" t="s">
        <v>13749</v>
      </c>
      <c r="E2928" t="s">
        <v>13550</v>
      </c>
      <c r="F2928" t="s">
        <v>228</v>
      </c>
    </row>
    <row r="2929" spans="1:8">
      <c r="A2929" t="s">
        <v>250</v>
      </c>
      <c r="B2929" t="s">
        <v>228</v>
      </c>
      <c r="C2929">
        <v>70</v>
      </c>
      <c r="D2929" t="s">
        <v>13750</v>
      </c>
      <c r="E2929" t="s">
        <v>13550</v>
      </c>
      <c r="F2929" t="s">
        <v>228</v>
      </c>
    </row>
    <row r="2930" spans="1:8">
      <c r="A2930" t="s">
        <v>250</v>
      </c>
      <c r="B2930" t="s">
        <v>228</v>
      </c>
      <c r="C2930">
        <v>70</v>
      </c>
      <c r="D2930" t="s">
        <v>13751</v>
      </c>
      <c r="E2930" t="s">
        <v>13550</v>
      </c>
      <c r="F2930" t="s">
        <v>228</v>
      </c>
    </row>
    <row r="2931" spans="1:8">
      <c r="A2931" t="s">
        <v>250</v>
      </c>
      <c r="B2931" t="s">
        <v>228</v>
      </c>
      <c r="C2931">
        <v>70</v>
      </c>
      <c r="D2931" t="s">
        <v>13752</v>
      </c>
      <c r="E2931" t="s">
        <v>13753</v>
      </c>
      <c r="F2931" t="s">
        <v>228</v>
      </c>
      <c r="G2931" t="s">
        <v>13754</v>
      </c>
    </row>
    <row r="2932" spans="1:8">
      <c r="A2932" t="s">
        <v>250</v>
      </c>
      <c r="B2932" t="s">
        <v>228</v>
      </c>
      <c r="C2932">
        <v>70</v>
      </c>
      <c r="D2932" t="s">
        <v>1094</v>
      </c>
      <c r="E2932" t="s">
        <v>13709</v>
      </c>
      <c r="F2932" t="s">
        <v>228</v>
      </c>
      <c r="G2932" t="s">
        <v>13755</v>
      </c>
    </row>
    <row r="2933" spans="1:8">
      <c r="A2933" t="s">
        <v>250</v>
      </c>
      <c r="B2933" t="s">
        <v>228</v>
      </c>
      <c r="C2933">
        <v>70</v>
      </c>
      <c r="D2933" t="s">
        <v>13756</v>
      </c>
      <c r="E2933" t="s">
        <v>13695</v>
      </c>
      <c r="F2933" t="s">
        <v>228</v>
      </c>
      <c r="G2933" t="s">
        <v>13732</v>
      </c>
      <c r="H2933" t="s">
        <v>13731</v>
      </c>
    </row>
    <row r="2934" spans="1:8">
      <c r="A2934" t="s">
        <v>250</v>
      </c>
      <c r="B2934" t="s">
        <v>228</v>
      </c>
      <c r="C2934">
        <v>70</v>
      </c>
      <c r="D2934" t="s">
        <v>3859</v>
      </c>
      <c r="E2934" t="s">
        <v>13550</v>
      </c>
      <c r="F2934" t="s">
        <v>228</v>
      </c>
      <c r="G2934" t="s">
        <v>13757</v>
      </c>
    </row>
    <row r="2935" spans="1:8">
      <c r="A2935" t="s">
        <v>252</v>
      </c>
      <c r="B2935" t="s">
        <v>228</v>
      </c>
      <c r="C2935">
        <v>70</v>
      </c>
      <c r="D2935" t="s">
        <v>1094</v>
      </c>
      <c r="E2935" t="s">
        <v>13758</v>
      </c>
      <c r="F2935" t="s">
        <v>228</v>
      </c>
      <c r="G2935" t="s">
        <v>13759</v>
      </c>
      <c r="H2935" t="s">
        <v>13755</v>
      </c>
    </row>
    <row r="2936" spans="1:8">
      <c r="A2936" t="s">
        <v>250</v>
      </c>
      <c r="B2936" t="s">
        <v>228</v>
      </c>
      <c r="C2936">
        <v>70</v>
      </c>
      <c r="D2936" t="s">
        <v>13760</v>
      </c>
      <c r="E2936" t="s">
        <v>13547</v>
      </c>
      <c r="F2936" t="s">
        <v>228</v>
      </c>
      <c r="G2936" t="s">
        <v>13761</v>
      </c>
    </row>
    <row r="2937" spans="1:8">
      <c r="A2937" t="s">
        <v>250</v>
      </c>
      <c r="B2937" t="s">
        <v>228</v>
      </c>
      <c r="C2937">
        <v>70</v>
      </c>
      <c r="D2937" t="s">
        <v>13762</v>
      </c>
      <c r="E2937" t="s">
        <v>13550</v>
      </c>
      <c r="F2937" t="s">
        <v>228</v>
      </c>
      <c r="G2937" t="s">
        <v>13763</v>
      </c>
    </row>
    <row r="2938" spans="1:8">
      <c r="A2938" t="s">
        <v>250</v>
      </c>
      <c r="B2938" t="s">
        <v>228</v>
      </c>
      <c r="C2938">
        <v>70</v>
      </c>
      <c r="D2938" t="s">
        <v>13764</v>
      </c>
      <c r="E2938" t="s">
        <v>13709</v>
      </c>
      <c r="F2938" t="s">
        <v>228</v>
      </c>
      <c r="G2938" t="s">
        <v>13765</v>
      </c>
    </row>
    <row r="2939" spans="1:8">
      <c r="A2939" t="s">
        <v>250</v>
      </c>
      <c r="B2939" t="s">
        <v>228</v>
      </c>
      <c r="C2939">
        <v>70</v>
      </c>
      <c r="D2939" t="s">
        <v>13766</v>
      </c>
      <c r="E2939" t="s">
        <v>13767</v>
      </c>
      <c r="F2939" t="s">
        <v>228</v>
      </c>
      <c r="G2939" t="s">
        <v>13768</v>
      </c>
      <c r="H2939" t="s">
        <v>13769</v>
      </c>
    </row>
    <row r="2940" spans="1:8">
      <c r="A2940" t="s">
        <v>250</v>
      </c>
      <c r="B2940" t="s">
        <v>228</v>
      </c>
      <c r="C2940">
        <v>70</v>
      </c>
      <c r="D2940" t="s">
        <v>13770</v>
      </c>
      <c r="E2940" t="s">
        <v>13547</v>
      </c>
      <c r="F2940" t="s">
        <v>228</v>
      </c>
      <c r="G2940" t="s">
        <v>13771</v>
      </c>
    </row>
    <row r="2941" spans="1:8">
      <c r="A2941" t="s">
        <v>250</v>
      </c>
      <c r="B2941" t="s">
        <v>228</v>
      </c>
      <c r="C2941">
        <v>70</v>
      </c>
      <c r="D2941" t="s">
        <v>13772</v>
      </c>
      <c r="E2941" t="s">
        <v>13547</v>
      </c>
      <c r="F2941" t="s">
        <v>228</v>
      </c>
      <c r="G2941" t="s">
        <v>13773</v>
      </c>
    </row>
    <row r="2942" spans="1:8">
      <c r="A2942" t="s">
        <v>250</v>
      </c>
      <c r="B2942" t="s">
        <v>228</v>
      </c>
      <c r="C2942">
        <v>70</v>
      </c>
      <c r="D2942" t="s">
        <v>13774</v>
      </c>
      <c r="E2942" t="s">
        <v>13547</v>
      </c>
      <c r="F2942" t="s">
        <v>228</v>
      </c>
      <c r="G2942" t="s">
        <v>13775</v>
      </c>
    </row>
    <row r="2943" spans="1:8">
      <c r="A2943" t="s">
        <v>250</v>
      </c>
      <c r="B2943" t="s">
        <v>228</v>
      </c>
      <c r="C2943">
        <v>70</v>
      </c>
      <c r="D2943" t="s">
        <v>13776</v>
      </c>
      <c r="E2943" t="s">
        <v>13547</v>
      </c>
      <c r="F2943" t="s">
        <v>228</v>
      </c>
      <c r="G2943" t="s">
        <v>13777</v>
      </c>
    </row>
    <row r="2944" spans="1:8">
      <c r="A2944" t="s">
        <v>250</v>
      </c>
      <c r="B2944" t="s">
        <v>228</v>
      </c>
      <c r="C2944">
        <v>70</v>
      </c>
      <c r="D2944" t="s">
        <v>13778</v>
      </c>
      <c r="E2944" t="s">
        <v>13550</v>
      </c>
      <c r="F2944" t="s">
        <v>228</v>
      </c>
      <c r="G2944" t="s">
        <v>13779</v>
      </c>
      <c r="H2944" t="s">
        <v>13779</v>
      </c>
    </row>
    <row r="2945" spans="1:8">
      <c r="A2945" t="s">
        <v>250</v>
      </c>
      <c r="B2945" t="s">
        <v>228</v>
      </c>
      <c r="C2945">
        <v>70</v>
      </c>
      <c r="D2945" t="s">
        <v>1184</v>
      </c>
      <c r="E2945" t="s">
        <v>13550</v>
      </c>
      <c r="F2945" t="s">
        <v>228</v>
      </c>
      <c r="G2945" t="s">
        <v>13780</v>
      </c>
    </row>
    <row r="2946" spans="1:8">
      <c r="A2946" t="s">
        <v>250</v>
      </c>
      <c r="B2946" t="s">
        <v>228</v>
      </c>
      <c r="C2946">
        <v>70</v>
      </c>
      <c r="D2946" t="s">
        <v>13764</v>
      </c>
      <c r="E2946" t="s">
        <v>13709</v>
      </c>
      <c r="F2946" t="s">
        <v>228</v>
      </c>
      <c r="G2946" t="s">
        <v>13765</v>
      </c>
    </row>
    <row r="2947" spans="1:8">
      <c r="A2947" t="s">
        <v>250</v>
      </c>
      <c r="B2947" t="s">
        <v>228</v>
      </c>
      <c r="C2947">
        <v>70</v>
      </c>
      <c r="D2947" t="s">
        <v>13781</v>
      </c>
      <c r="E2947" t="s">
        <v>13550</v>
      </c>
      <c r="F2947" t="s">
        <v>228</v>
      </c>
    </row>
    <row r="2948" spans="1:8">
      <c r="A2948" t="s">
        <v>250</v>
      </c>
      <c r="B2948" t="s">
        <v>228</v>
      </c>
      <c r="C2948">
        <v>70</v>
      </c>
      <c r="D2948" t="s">
        <v>13782</v>
      </c>
      <c r="E2948" t="s">
        <v>13550</v>
      </c>
      <c r="F2948" t="s">
        <v>228</v>
      </c>
    </row>
    <row r="2949" spans="1:8">
      <c r="A2949" t="s">
        <v>250</v>
      </c>
      <c r="B2949" t="s">
        <v>228</v>
      </c>
      <c r="C2949">
        <v>70</v>
      </c>
      <c r="D2949" t="s">
        <v>13783</v>
      </c>
      <c r="E2949" t="s">
        <v>13550</v>
      </c>
      <c r="F2949" t="s">
        <v>228</v>
      </c>
      <c r="G2949" t="s">
        <v>13784</v>
      </c>
    </row>
    <row r="2950" spans="1:8">
      <c r="A2950" t="s">
        <v>250</v>
      </c>
      <c r="B2950" t="s">
        <v>228</v>
      </c>
      <c r="C2950">
        <v>70</v>
      </c>
      <c r="D2950" t="s">
        <v>5490</v>
      </c>
      <c r="E2950" t="s">
        <v>13550</v>
      </c>
      <c r="F2950" t="s">
        <v>228</v>
      </c>
    </row>
    <row r="2951" spans="1:8">
      <c r="A2951" t="s">
        <v>250</v>
      </c>
      <c r="B2951" t="s">
        <v>228</v>
      </c>
      <c r="C2951">
        <v>70</v>
      </c>
      <c r="D2951" t="s">
        <v>13785</v>
      </c>
      <c r="E2951" t="s">
        <v>13547</v>
      </c>
      <c r="F2951" t="s">
        <v>228</v>
      </c>
      <c r="G2951" t="s">
        <v>13786</v>
      </c>
    </row>
    <row r="2952" spans="1:8">
      <c r="A2952" t="s">
        <v>250</v>
      </c>
      <c r="B2952" t="s">
        <v>228</v>
      </c>
      <c r="C2952">
        <v>70</v>
      </c>
      <c r="D2952" t="s">
        <v>13787</v>
      </c>
      <c r="E2952" t="s">
        <v>13550</v>
      </c>
      <c r="F2952" t="s">
        <v>228</v>
      </c>
    </row>
    <row r="2953" spans="1:8">
      <c r="A2953" t="s">
        <v>250</v>
      </c>
      <c r="B2953" t="s">
        <v>228</v>
      </c>
      <c r="C2953">
        <v>70</v>
      </c>
      <c r="D2953" t="s">
        <v>13788</v>
      </c>
      <c r="E2953" t="s">
        <v>13550</v>
      </c>
      <c r="F2953" t="s">
        <v>228</v>
      </c>
      <c r="G2953" t="s">
        <v>13789</v>
      </c>
    </row>
    <row r="2954" spans="1:8">
      <c r="A2954" t="s">
        <v>241</v>
      </c>
      <c r="B2954" t="s">
        <v>196</v>
      </c>
      <c r="C2954">
        <v>71</v>
      </c>
      <c r="D2954" t="s">
        <v>518</v>
      </c>
      <c r="E2954" t="s">
        <v>519</v>
      </c>
      <c r="H2954" t="s">
        <v>520</v>
      </c>
    </row>
    <row r="2955" spans="1:8">
      <c r="A2955" t="s">
        <v>241</v>
      </c>
      <c r="B2955" t="s">
        <v>196</v>
      </c>
      <c r="C2955">
        <v>71</v>
      </c>
      <c r="D2955" t="s">
        <v>521</v>
      </c>
      <c r="E2955" t="s">
        <v>522</v>
      </c>
      <c r="F2955" t="s">
        <v>523</v>
      </c>
      <c r="G2955" t="s">
        <v>524</v>
      </c>
      <c r="H2955" t="s">
        <v>525</v>
      </c>
    </row>
    <row r="2956" spans="1:8">
      <c r="A2956" t="s">
        <v>249</v>
      </c>
      <c r="B2956" t="s">
        <v>196</v>
      </c>
      <c r="C2956">
        <v>71</v>
      </c>
      <c r="D2956" t="s">
        <v>526</v>
      </c>
      <c r="E2956" t="s">
        <v>527</v>
      </c>
      <c r="F2956" t="s">
        <v>528</v>
      </c>
      <c r="G2956" t="s">
        <v>529</v>
      </c>
      <c r="H2956" t="s">
        <v>530</v>
      </c>
    </row>
    <row r="2957" spans="1:8">
      <c r="A2957" t="s">
        <v>249</v>
      </c>
      <c r="B2957" t="s">
        <v>196</v>
      </c>
      <c r="C2957">
        <v>71</v>
      </c>
      <c r="D2957" t="s">
        <v>531</v>
      </c>
      <c r="E2957" t="s">
        <v>532</v>
      </c>
      <c r="F2957" t="s">
        <v>196</v>
      </c>
      <c r="G2957" t="s">
        <v>533</v>
      </c>
      <c r="H2957" t="s">
        <v>534</v>
      </c>
    </row>
    <row r="2958" spans="1:8">
      <c r="A2958" t="s">
        <v>249</v>
      </c>
      <c r="B2958" t="s">
        <v>196</v>
      </c>
      <c r="C2958">
        <v>71</v>
      </c>
      <c r="D2958" t="s">
        <v>535</v>
      </c>
      <c r="E2958" t="s">
        <v>536</v>
      </c>
      <c r="F2958" t="s">
        <v>196</v>
      </c>
      <c r="G2958" t="s">
        <v>537</v>
      </c>
      <c r="H2958" t="s">
        <v>538</v>
      </c>
    </row>
    <row r="2959" spans="1:8">
      <c r="A2959" t="s">
        <v>238</v>
      </c>
      <c r="B2959" t="s">
        <v>196</v>
      </c>
      <c r="C2959">
        <v>71</v>
      </c>
      <c r="D2959" t="s">
        <v>539</v>
      </c>
      <c r="E2959" t="s">
        <v>540</v>
      </c>
      <c r="F2959" t="s">
        <v>196</v>
      </c>
      <c r="G2959" t="s">
        <v>541</v>
      </c>
      <c r="H2959" t="s">
        <v>542</v>
      </c>
    </row>
    <row r="2960" spans="1:8">
      <c r="A2960" t="s">
        <v>242</v>
      </c>
      <c r="B2960" t="s">
        <v>196</v>
      </c>
      <c r="C2960">
        <v>71</v>
      </c>
      <c r="D2960" t="s">
        <v>543</v>
      </c>
      <c r="E2960" t="s">
        <v>544</v>
      </c>
      <c r="F2960" t="s">
        <v>196</v>
      </c>
      <c r="G2960" t="s">
        <v>545</v>
      </c>
      <c r="H2960" t="s">
        <v>546</v>
      </c>
    </row>
    <row r="2961" spans="1:8">
      <c r="A2961" t="s">
        <v>240</v>
      </c>
      <c r="B2961" t="s">
        <v>196</v>
      </c>
      <c r="C2961">
        <v>71</v>
      </c>
      <c r="D2961" t="s">
        <v>547</v>
      </c>
      <c r="E2961" t="s">
        <v>548</v>
      </c>
      <c r="F2961" t="s">
        <v>196</v>
      </c>
    </row>
    <row r="2962" spans="1:8">
      <c r="A2962" t="s">
        <v>241</v>
      </c>
      <c r="B2962" t="s">
        <v>196</v>
      </c>
      <c r="C2962">
        <v>71</v>
      </c>
      <c r="D2962" t="s">
        <v>549</v>
      </c>
      <c r="E2962" t="s">
        <v>550</v>
      </c>
      <c r="F2962" t="s">
        <v>196</v>
      </c>
      <c r="H2962" t="s">
        <v>551</v>
      </c>
    </row>
    <row r="2963" spans="1:8">
      <c r="A2963" t="s">
        <v>250</v>
      </c>
      <c r="B2963" t="s">
        <v>196</v>
      </c>
      <c r="C2963">
        <v>71</v>
      </c>
      <c r="D2963" t="s">
        <v>552</v>
      </c>
      <c r="E2963" t="s">
        <v>553</v>
      </c>
      <c r="F2963" t="s">
        <v>554</v>
      </c>
      <c r="G2963" t="s">
        <v>538</v>
      </c>
      <c r="H2963" t="s">
        <v>537</v>
      </c>
    </row>
    <row r="2964" spans="1:8">
      <c r="A2964" t="s">
        <v>250</v>
      </c>
      <c r="B2964" t="s">
        <v>196</v>
      </c>
      <c r="C2964">
        <v>71</v>
      </c>
      <c r="D2964" t="s">
        <v>555</v>
      </c>
      <c r="E2964" t="s">
        <v>553</v>
      </c>
      <c r="F2964" t="s">
        <v>554</v>
      </c>
      <c r="G2964" t="s">
        <v>538</v>
      </c>
      <c r="H2964" t="s">
        <v>537</v>
      </c>
    </row>
    <row r="2965" spans="1:8">
      <c r="A2965" t="s">
        <v>250</v>
      </c>
      <c r="B2965" t="s">
        <v>196</v>
      </c>
      <c r="C2965">
        <v>71</v>
      </c>
      <c r="D2965" t="s">
        <v>531</v>
      </c>
      <c r="G2965" t="s">
        <v>534</v>
      </c>
      <c r="H2965" t="s">
        <v>533</v>
      </c>
    </row>
    <row r="2966" spans="1:8">
      <c r="A2966" t="s">
        <v>250</v>
      </c>
      <c r="B2966" t="s">
        <v>196</v>
      </c>
      <c r="C2966">
        <v>71</v>
      </c>
      <c r="D2966" t="s">
        <v>556</v>
      </c>
      <c r="F2966" t="s">
        <v>554</v>
      </c>
    </row>
    <row r="2967" spans="1:8">
      <c r="A2967" t="s">
        <v>242</v>
      </c>
      <c r="B2967" t="s">
        <v>196</v>
      </c>
      <c r="C2967">
        <v>71</v>
      </c>
      <c r="D2967" t="s">
        <v>557</v>
      </c>
      <c r="E2967" t="s">
        <v>558</v>
      </c>
      <c r="F2967" t="s">
        <v>196</v>
      </c>
      <c r="G2967" t="s">
        <v>559</v>
      </c>
      <c r="H2967" t="s">
        <v>560</v>
      </c>
    </row>
    <row r="2968" spans="1:8">
      <c r="A2968" t="s">
        <v>241</v>
      </c>
      <c r="B2968" t="s">
        <v>49</v>
      </c>
      <c r="C2968">
        <v>71</v>
      </c>
      <c r="D2968" t="s">
        <v>15705</v>
      </c>
      <c r="E2968" t="s">
        <v>15706</v>
      </c>
      <c r="F2968" t="s">
        <v>49</v>
      </c>
      <c r="G2968" t="s">
        <v>15707</v>
      </c>
      <c r="H2968" t="s">
        <v>15708</v>
      </c>
    </row>
    <row r="2969" spans="1:8">
      <c r="A2969" t="s">
        <v>241</v>
      </c>
      <c r="B2969" t="s">
        <v>49</v>
      </c>
      <c r="C2969">
        <v>71</v>
      </c>
      <c r="D2969" t="s">
        <v>15709</v>
      </c>
      <c r="E2969" t="s">
        <v>15710</v>
      </c>
      <c r="H2969" t="s">
        <v>15711</v>
      </c>
    </row>
    <row r="2970" spans="1:8">
      <c r="A2970" t="s">
        <v>241</v>
      </c>
      <c r="B2970" t="s">
        <v>49</v>
      </c>
      <c r="C2970">
        <v>71</v>
      </c>
      <c r="D2970" t="s">
        <v>15712</v>
      </c>
      <c r="E2970" t="s">
        <v>15713</v>
      </c>
      <c r="F2970" t="s">
        <v>49</v>
      </c>
      <c r="G2970" t="s">
        <v>15714</v>
      </c>
      <c r="H2970" t="s">
        <v>15715</v>
      </c>
    </row>
    <row r="2971" spans="1:8">
      <c r="A2971" t="s">
        <v>239</v>
      </c>
      <c r="B2971" t="s">
        <v>49</v>
      </c>
      <c r="C2971">
        <v>71</v>
      </c>
      <c r="D2971" t="s">
        <v>15716</v>
      </c>
      <c r="E2971" t="s">
        <v>15717</v>
      </c>
      <c r="H2971" t="s">
        <v>15718</v>
      </c>
    </row>
    <row r="2972" spans="1:8">
      <c r="A2972" t="s">
        <v>246</v>
      </c>
      <c r="B2972" t="s">
        <v>49</v>
      </c>
      <c r="C2972">
        <v>71</v>
      </c>
      <c r="D2972" t="s">
        <v>15719</v>
      </c>
      <c r="E2972" t="s">
        <v>15720</v>
      </c>
      <c r="H2972" t="s">
        <v>15721</v>
      </c>
    </row>
    <row r="2973" spans="1:8">
      <c r="A2973" t="s">
        <v>240</v>
      </c>
      <c r="B2973" t="s">
        <v>120</v>
      </c>
      <c r="C2973">
        <v>72</v>
      </c>
      <c r="D2973" t="s">
        <v>4384</v>
      </c>
      <c r="E2973" t="s">
        <v>4385</v>
      </c>
      <c r="F2973" t="s">
        <v>120</v>
      </c>
      <c r="H2973" t="s">
        <v>4386</v>
      </c>
    </row>
    <row r="2974" spans="1:8">
      <c r="A2974" t="s">
        <v>241</v>
      </c>
      <c r="B2974" t="s">
        <v>120</v>
      </c>
      <c r="C2974">
        <v>72</v>
      </c>
      <c r="D2974" t="s">
        <v>4387</v>
      </c>
      <c r="E2974" t="s">
        <v>4388</v>
      </c>
      <c r="F2974" t="s">
        <v>120</v>
      </c>
      <c r="H2974" t="s">
        <v>4389</v>
      </c>
    </row>
    <row r="2975" spans="1:8">
      <c r="A2975" t="s">
        <v>241</v>
      </c>
      <c r="B2975" t="s">
        <v>120</v>
      </c>
      <c r="C2975">
        <v>72</v>
      </c>
      <c r="D2975" t="s">
        <v>4390</v>
      </c>
      <c r="E2975" t="s">
        <v>4391</v>
      </c>
      <c r="F2975" t="s">
        <v>120</v>
      </c>
      <c r="G2975" t="s">
        <v>4392</v>
      </c>
      <c r="H2975" t="s">
        <v>4393</v>
      </c>
    </row>
    <row r="2976" spans="1:8">
      <c r="A2976" t="s">
        <v>242</v>
      </c>
      <c r="B2976" t="s">
        <v>120</v>
      </c>
      <c r="C2976">
        <v>72</v>
      </c>
      <c r="D2976" t="s">
        <v>4394</v>
      </c>
      <c r="E2976" t="s">
        <v>4395</v>
      </c>
      <c r="F2976" t="s">
        <v>120</v>
      </c>
      <c r="G2976" t="s">
        <v>4396</v>
      </c>
      <c r="H2976" t="s">
        <v>4397</v>
      </c>
    </row>
    <row r="2977" spans="1:8">
      <c r="A2977" t="s">
        <v>240</v>
      </c>
      <c r="B2977" t="s">
        <v>120</v>
      </c>
      <c r="C2977">
        <v>72</v>
      </c>
      <c r="D2977" t="s">
        <v>4398</v>
      </c>
      <c r="E2977" t="s">
        <v>4399</v>
      </c>
      <c r="F2977" t="s">
        <v>120</v>
      </c>
      <c r="G2977" t="s">
        <v>4400</v>
      </c>
      <c r="H2977" t="s">
        <v>4401</v>
      </c>
    </row>
    <row r="2978" spans="1:8">
      <c r="A2978" t="s">
        <v>243</v>
      </c>
      <c r="B2978" t="s">
        <v>120</v>
      </c>
      <c r="C2978">
        <v>72</v>
      </c>
      <c r="D2978" t="s">
        <v>4402</v>
      </c>
      <c r="E2978" t="s">
        <v>4403</v>
      </c>
      <c r="H2978" t="s">
        <v>4404</v>
      </c>
    </row>
    <row r="2979" spans="1:8">
      <c r="A2979" t="s">
        <v>241</v>
      </c>
      <c r="B2979" t="s">
        <v>120</v>
      </c>
      <c r="C2979">
        <v>72</v>
      </c>
      <c r="D2979" t="s">
        <v>4405</v>
      </c>
      <c r="E2979" t="s">
        <v>4406</v>
      </c>
      <c r="F2979" t="s">
        <v>4407</v>
      </c>
      <c r="G2979" t="s">
        <v>4408</v>
      </c>
      <c r="H2979" t="s">
        <v>4409</v>
      </c>
    </row>
    <row r="2980" spans="1:8">
      <c r="A2980" t="s">
        <v>240</v>
      </c>
      <c r="B2980" t="s">
        <v>120</v>
      </c>
      <c r="C2980">
        <v>72</v>
      </c>
      <c r="D2980" t="s">
        <v>4410</v>
      </c>
      <c r="E2980" t="s">
        <v>4411</v>
      </c>
      <c r="F2980" t="s">
        <v>120</v>
      </c>
      <c r="G2980" t="s">
        <v>4412</v>
      </c>
      <c r="H2980" t="s">
        <v>4413</v>
      </c>
    </row>
    <row r="2981" spans="1:8">
      <c r="A2981" t="s">
        <v>240</v>
      </c>
      <c r="B2981" t="s">
        <v>120</v>
      </c>
      <c r="C2981">
        <v>72</v>
      </c>
      <c r="D2981" t="s">
        <v>4414</v>
      </c>
      <c r="E2981" t="s">
        <v>4415</v>
      </c>
      <c r="F2981" t="s">
        <v>120</v>
      </c>
      <c r="G2981" t="s">
        <v>4416</v>
      </c>
      <c r="H2981" t="s">
        <v>4417</v>
      </c>
    </row>
    <row r="2982" spans="1:8">
      <c r="A2982" t="s">
        <v>240</v>
      </c>
      <c r="B2982" t="s">
        <v>120</v>
      </c>
      <c r="C2982">
        <v>72</v>
      </c>
      <c r="D2982" t="s">
        <v>4418</v>
      </c>
      <c r="E2982" t="s">
        <v>4419</v>
      </c>
      <c r="G2982" t="s">
        <v>4420</v>
      </c>
      <c r="H2982" t="s">
        <v>4421</v>
      </c>
    </row>
    <row r="2983" spans="1:8">
      <c r="A2983" t="s">
        <v>239</v>
      </c>
      <c r="B2983" t="s">
        <v>120</v>
      </c>
      <c r="C2983">
        <v>72</v>
      </c>
      <c r="D2983" t="s">
        <v>4422</v>
      </c>
      <c r="E2983" t="s">
        <v>4423</v>
      </c>
      <c r="H2983" t="s">
        <v>4424</v>
      </c>
    </row>
    <row r="2984" spans="1:8">
      <c r="A2984" t="s">
        <v>245</v>
      </c>
      <c r="B2984" t="s">
        <v>59</v>
      </c>
      <c r="C2984">
        <v>72</v>
      </c>
      <c r="D2984" t="s">
        <v>18677</v>
      </c>
      <c r="E2984" t="s">
        <v>18678</v>
      </c>
      <c r="F2984" t="s">
        <v>18679</v>
      </c>
    </row>
    <row r="2985" spans="1:8">
      <c r="A2985" t="s">
        <v>242</v>
      </c>
      <c r="B2985" t="s">
        <v>59</v>
      </c>
      <c r="C2985">
        <v>72</v>
      </c>
      <c r="D2985" t="s">
        <v>18680</v>
      </c>
      <c r="E2985" t="s">
        <v>18681</v>
      </c>
      <c r="F2985" t="s">
        <v>59</v>
      </c>
    </row>
    <row r="2986" spans="1:8">
      <c r="A2986" t="s">
        <v>242</v>
      </c>
      <c r="B2986" t="s">
        <v>59</v>
      </c>
      <c r="C2986">
        <v>72</v>
      </c>
      <c r="D2986" t="s">
        <v>18682</v>
      </c>
      <c r="E2986" t="s">
        <v>18683</v>
      </c>
      <c r="F2986" t="s">
        <v>59</v>
      </c>
      <c r="G2986" t="s">
        <v>18684</v>
      </c>
      <c r="H2986" t="s">
        <v>18685</v>
      </c>
    </row>
    <row r="2987" spans="1:8">
      <c r="A2987" t="s">
        <v>242</v>
      </c>
      <c r="B2987" t="s">
        <v>59</v>
      </c>
      <c r="C2987">
        <v>72</v>
      </c>
      <c r="D2987" t="s">
        <v>18686</v>
      </c>
      <c r="E2987" t="s">
        <v>18687</v>
      </c>
      <c r="F2987" t="s">
        <v>59</v>
      </c>
    </row>
    <row r="2988" spans="1:8">
      <c r="A2988" t="s">
        <v>242</v>
      </c>
      <c r="B2988" t="s">
        <v>59</v>
      </c>
      <c r="C2988">
        <v>72</v>
      </c>
      <c r="D2988" t="s">
        <v>18688</v>
      </c>
      <c r="E2988" t="s">
        <v>18689</v>
      </c>
      <c r="F2988" t="s">
        <v>18690</v>
      </c>
      <c r="H2988" t="s">
        <v>18691</v>
      </c>
    </row>
    <row r="2989" spans="1:8">
      <c r="A2989" t="s">
        <v>242</v>
      </c>
      <c r="B2989" t="s">
        <v>59</v>
      </c>
      <c r="C2989">
        <v>72</v>
      </c>
      <c r="D2989" t="s">
        <v>18692</v>
      </c>
      <c r="E2989" t="s">
        <v>18693</v>
      </c>
      <c r="F2989" t="s">
        <v>59</v>
      </c>
      <c r="G2989" t="s">
        <v>18694</v>
      </c>
      <c r="H2989" t="s">
        <v>18695</v>
      </c>
    </row>
    <row r="2990" spans="1:8">
      <c r="A2990" t="s">
        <v>242</v>
      </c>
      <c r="B2990" t="s">
        <v>59</v>
      </c>
      <c r="C2990">
        <v>72</v>
      </c>
      <c r="D2990" t="s">
        <v>18696</v>
      </c>
      <c r="E2990" t="s">
        <v>18681</v>
      </c>
      <c r="F2990" t="s">
        <v>18697</v>
      </c>
      <c r="G2990" t="s">
        <v>13191</v>
      </c>
      <c r="H2990" t="s">
        <v>13192</v>
      </c>
    </row>
    <row r="2991" spans="1:8">
      <c r="A2991" t="s">
        <v>242</v>
      </c>
      <c r="B2991" t="s">
        <v>59</v>
      </c>
      <c r="C2991">
        <v>72</v>
      </c>
      <c r="D2991" t="s">
        <v>18698</v>
      </c>
      <c r="E2991" t="s">
        <v>18699</v>
      </c>
      <c r="F2991" t="s">
        <v>59</v>
      </c>
      <c r="H2991" t="s">
        <v>18700</v>
      </c>
    </row>
    <row r="2992" spans="1:8">
      <c r="A2992" t="s">
        <v>238</v>
      </c>
      <c r="B2992" t="s">
        <v>59</v>
      </c>
      <c r="C2992">
        <v>72</v>
      </c>
      <c r="D2992" t="s">
        <v>18701</v>
      </c>
      <c r="F2992" t="s">
        <v>18702</v>
      </c>
      <c r="G2992" t="s">
        <v>18703</v>
      </c>
      <c r="H2992" t="s">
        <v>18704</v>
      </c>
    </row>
    <row r="2993" spans="1:8">
      <c r="A2993" t="s">
        <v>241</v>
      </c>
      <c r="B2993" t="s">
        <v>59</v>
      </c>
      <c r="C2993">
        <v>72</v>
      </c>
      <c r="D2993" t="s">
        <v>18705</v>
      </c>
      <c r="E2993" t="s">
        <v>18706</v>
      </c>
      <c r="F2993" t="s">
        <v>59</v>
      </c>
      <c r="G2993" t="s">
        <v>18707</v>
      </c>
      <c r="H2993" t="s">
        <v>18708</v>
      </c>
    </row>
    <row r="2994" spans="1:8">
      <c r="A2994" t="s">
        <v>241</v>
      </c>
      <c r="B2994" t="s">
        <v>59</v>
      </c>
      <c r="C2994">
        <v>72</v>
      </c>
      <c r="D2994" t="s">
        <v>18709</v>
      </c>
      <c r="E2994" t="s">
        <v>18710</v>
      </c>
      <c r="F2994" t="s">
        <v>18711</v>
      </c>
      <c r="G2994" t="s">
        <v>18712</v>
      </c>
      <c r="H2994" t="s">
        <v>18713</v>
      </c>
    </row>
    <row r="2995" spans="1:8">
      <c r="A2995" t="s">
        <v>242</v>
      </c>
      <c r="B2995" t="s">
        <v>59</v>
      </c>
      <c r="C2995">
        <v>72</v>
      </c>
      <c r="D2995" t="s">
        <v>18714</v>
      </c>
      <c r="E2995" t="s">
        <v>18715</v>
      </c>
      <c r="F2995" t="s">
        <v>18716</v>
      </c>
      <c r="G2995" t="s">
        <v>18717</v>
      </c>
      <c r="H2995" t="s">
        <v>18718</v>
      </c>
    </row>
    <row r="2996" spans="1:8">
      <c r="A2996" t="s">
        <v>239</v>
      </c>
      <c r="B2996" t="s">
        <v>59</v>
      </c>
      <c r="C2996">
        <v>72</v>
      </c>
      <c r="D2996" t="s">
        <v>18719</v>
      </c>
      <c r="E2996" t="s">
        <v>18720</v>
      </c>
      <c r="H2996" t="s">
        <v>18721</v>
      </c>
    </row>
    <row r="2997" spans="1:8">
      <c r="A2997" t="s">
        <v>241</v>
      </c>
      <c r="B2997" t="s">
        <v>59</v>
      </c>
      <c r="C2997">
        <v>72</v>
      </c>
      <c r="D2997" t="s">
        <v>18722</v>
      </c>
      <c r="E2997" t="s">
        <v>18723</v>
      </c>
      <c r="H2997" t="s">
        <v>18724</v>
      </c>
    </row>
    <row r="2998" spans="1:8">
      <c r="A2998" t="s">
        <v>242</v>
      </c>
      <c r="B2998" t="s">
        <v>59</v>
      </c>
      <c r="C2998">
        <v>72</v>
      </c>
      <c r="D2998" t="s">
        <v>18725</v>
      </c>
      <c r="E2998" t="s">
        <v>18726</v>
      </c>
      <c r="H2998" t="s">
        <v>18727</v>
      </c>
    </row>
    <row r="2999" spans="1:8">
      <c r="A2999" t="s">
        <v>242</v>
      </c>
      <c r="B2999" t="s">
        <v>59</v>
      </c>
      <c r="C2999">
        <v>72</v>
      </c>
      <c r="D2999" t="s">
        <v>18728</v>
      </c>
      <c r="H2999" t="s">
        <v>18729</v>
      </c>
    </row>
    <row r="3000" spans="1:8">
      <c r="A3000" t="s">
        <v>241</v>
      </c>
      <c r="B3000" t="s">
        <v>59</v>
      </c>
      <c r="C3000">
        <v>72</v>
      </c>
      <c r="D3000" t="s">
        <v>18730</v>
      </c>
      <c r="E3000" t="s">
        <v>18731</v>
      </c>
      <c r="F3000" t="s">
        <v>18732</v>
      </c>
      <c r="H3000" t="s">
        <v>18733</v>
      </c>
    </row>
    <row r="3001" spans="1:8">
      <c r="A3001" t="s">
        <v>241</v>
      </c>
      <c r="B3001" t="s">
        <v>59</v>
      </c>
      <c r="C3001">
        <v>72</v>
      </c>
      <c r="D3001" t="s">
        <v>18734</v>
      </c>
      <c r="E3001" t="s">
        <v>18735</v>
      </c>
      <c r="H3001" t="s">
        <v>18736</v>
      </c>
    </row>
    <row r="3002" spans="1:8">
      <c r="A3002" t="s">
        <v>241</v>
      </c>
      <c r="B3002" t="s">
        <v>59</v>
      </c>
      <c r="C3002">
        <v>72</v>
      </c>
      <c r="D3002" t="s">
        <v>18737</v>
      </c>
      <c r="F3002" t="s">
        <v>18738</v>
      </c>
      <c r="G3002" t="s">
        <v>18739</v>
      </c>
      <c r="H3002" t="s">
        <v>18740</v>
      </c>
    </row>
    <row r="3003" spans="1:8">
      <c r="A3003" t="s">
        <v>242</v>
      </c>
      <c r="B3003" t="s">
        <v>59</v>
      </c>
      <c r="C3003">
        <v>72</v>
      </c>
      <c r="D3003" t="s">
        <v>18741</v>
      </c>
      <c r="F3003" t="s">
        <v>18742</v>
      </c>
      <c r="H3003" t="s">
        <v>5374</v>
      </c>
    </row>
    <row r="3004" spans="1:8">
      <c r="A3004" t="s">
        <v>241</v>
      </c>
      <c r="B3004" t="s">
        <v>59</v>
      </c>
      <c r="C3004">
        <v>72</v>
      </c>
      <c r="D3004" t="s">
        <v>18743</v>
      </c>
      <c r="E3004" t="s">
        <v>18744</v>
      </c>
      <c r="F3004" t="s">
        <v>59</v>
      </c>
      <c r="G3004" t="s">
        <v>18745</v>
      </c>
      <c r="H3004" t="s">
        <v>18746</v>
      </c>
    </row>
    <row r="3005" spans="1:8">
      <c r="A3005" t="s">
        <v>242</v>
      </c>
      <c r="B3005" t="s">
        <v>59</v>
      </c>
      <c r="C3005">
        <v>72</v>
      </c>
      <c r="D3005" t="s">
        <v>18747</v>
      </c>
      <c r="E3005" t="s">
        <v>18748</v>
      </c>
      <c r="F3005" t="s">
        <v>59</v>
      </c>
      <c r="G3005" t="s">
        <v>18749</v>
      </c>
      <c r="H3005" t="s">
        <v>18750</v>
      </c>
    </row>
    <row r="3006" spans="1:8">
      <c r="A3006" t="s">
        <v>238</v>
      </c>
      <c r="B3006" t="s">
        <v>59</v>
      </c>
      <c r="C3006">
        <v>72</v>
      </c>
      <c r="D3006" t="s">
        <v>18751</v>
      </c>
      <c r="E3006" t="s">
        <v>18752</v>
      </c>
      <c r="F3006" t="s">
        <v>18753</v>
      </c>
      <c r="G3006" t="s">
        <v>18754</v>
      </c>
      <c r="H3006" t="s">
        <v>18755</v>
      </c>
    </row>
    <row r="3007" spans="1:8">
      <c r="A3007" t="s">
        <v>242</v>
      </c>
      <c r="B3007" t="s">
        <v>59</v>
      </c>
      <c r="C3007">
        <v>72</v>
      </c>
      <c r="D3007" t="s">
        <v>18756</v>
      </c>
      <c r="E3007" t="s">
        <v>18757</v>
      </c>
      <c r="F3007" t="s">
        <v>59</v>
      </c>
      <c r="G3007" t="s">
        <v>18758</v>
      </c>
      <c r="H3007" t="s">
        <v>18759</v>
      </c>
    </row>
    <row r="3008" spans="1:8">
      <c r="A3008" t="s">
        <v>242</v>
      </c>
      <c r="B3008" t="s">
        <v>59</v>
      </c>
      <c r="C3008">
        <v>72</v>
      </c>
      <c r="D3008" t="s">
        <v>299</v>
      </c>
      <c r="E3008" t="s">
        <v>18760</v>
      </c>
      <c r="F3008" t="s">
        <v>59</v>
      </c>
      <c r="G3008" t="s">
        <v>18761</v>
      </c>
      <c r="H3008" t="s">
        <v>18762</v>
      </c>
    </row>
    <row r="3009" spans="1:8">
      <c r="A3009" t="s">
        <v>241</v>
      </c>
      <c r="B3009" t="s">
        <v>59</v>
      </c>
      <c r="C3009">
        <v>72</v>
      </c>
      <c r="D3009" t="s">
        <v>18763</v>
      </c>
      <c r="E3009" t="s">
        <v>18764</v>
      </c>
      <c r="F3009" t="s">
        <v>18765</v>
      </c>
      <c r="H3009" t="s">
        <v>18766</v>
      </c>
    </row>
    <row r="3010" spans="1:8">
      <c r="A3010" t="s">
        <v>241</v>
      </c>
      <c r="B3010" t="s">
        <v>59</v>
      </c>
      <c r="C3010">
        <v>72</v>
      </c>
      <c r="D3010" t="s">
        <v>18767</v>
      </c>
      <c r="E3010" t="s">
        <v>18768</v>
      </c>
      <c r="H3010" t="s">
        <v>18769</v>
      </c>
    </row>
    <row r="3011" spans="1:8">
      <c r="A3011" t="s">
        <v>241</v>
      </c>
      <c r="B3011" t="s">
        <v>59</v>
      </c>
      <c r="C3011">
        <v>72</v>
      </c>
      <c r="D3011" t="s">
        <v>16655</v>
      </c>
      <c r="E3011" t="s">
        <v>18770</v>
      </c>
      <c r="H3011" t="s">
        <v>18771</v>
      </c>
    </row>
    <row r="3012" spans="1:8">
      <c r="A3012" t="s">
        <v>241</v>
      </c>
      <c r="B3012" t="s">
        <v>59</v>
      </c>
      <c r="C3012">
        <v>72</v>
      </c>
      <c r="D3012" t="s">
        <v>18772</v>
      </c>
      <c r="E3012" t="s">
        <v>18773</v>
      </c>
      <c r="F3012" t="s">
        <v>18774</v>
      </c>
      <c r="H3012" t="s">
        <v>18775</v>
      </c>
    </row>
    <row r="3013" spans="1:8">
      <c r="A3013" t="s">
        <v>238</v>
      </c>
      <c r="B3013" t="s">
        <v>59</v>
      </c>
      <c r="C3013">
        <v>72</v>
      </c>
      <c r="D3013" t="s">
        <v>18776</v>
      </c>
      <c r="E3013" t="s">
        <v>18777</v>
      </c>
      <c r="H3013" t="s">
        <v>18778</v>
      </c>
    </row>
    <row r="3014" spans="1:8">
      <c r="A3014" t="s">
        <v>241</v>
      </c>
      <c r="B3014" t="s">
        <v>59</v>
      </c>
      <c r="C3014">
        <v>72</v>
      </c>
      <c r="D3014" t="s">
        <v>18779</v>
      </c>
      <c r="F3014" t="s">
        <v>18780</v>
      </c>
      <c r="H3014" t="s">
        <v>18781</v>
      </c>
    </row>
    <row r="3015" spans="1:8">
      <c r="A3015" t="s">
        <v>241</v>
      </c>
      <c r="B3015" t="s">
        <v>59</v>
      </c>
      <c r="C3015">
        <v>72</v>
      </c>
      <c r="D3015" t="s">
        <v>18782</v>
      </c>
      <c r="E3015" t="s">
        <v>18783</v>
      </c>
      <c r="F3015" t="s">
        <v>59</v>
      </c>
    </row>
    <row r="3016" spans="1:8">
      <c r="A3016" t="s">
        <v>242</v>
      </c>
      <c r="B3016" t="s">
        <v>59</v>
      </c>
      <c r="C3016">
        <v>72</v>
      </c>
      <c r="D3016" t="s">
        <v>18784</v>
      </c>
      <c r="E3016" t="s">
        <v>18785</v>
      </c>
      <c r="F3016" t="s">
        <v>18786</v>
      </c>
      <c r="G3016" t="s">
        <v>18787</v>
      </c>
      <c r="H3016" t="s">
        <v>18788</v>
      </c>
    </row>
    <row r="3017" spans="1:8">
      <c r="A3017" t="s">
        <v>241</v>
      </c>
      <c r="B3017" t="s">
        <v>59</v>
      </c>
      <c r="C3017">
        <v>72</v>
      </c>
      <c r="D3017" t="s">
        <v>18789</v>
      </c>
      <c r="E3017" t="s">
        <v>18790</v>
      </c>
      <c r="F3017" t="s">
        <v>59</v>
      </c>
    </row>
    <row r="3018" spans="1:8">
      <c r="A3018" t="s">
        <v>244</v>
      </c>
      <c r="B3018" t="s">
        <v>59</v>
      </c>
      <c r="C3018">
        <v>72</v>
      </c>
      <c r="D3018" t="s">
        <v>1282</v>
      </c>
      <c r="F3018" t="s">
        <v>18791</v>
      </c>
    </row>
    <row r="3019" spans="1:8">
      <c r="A3019" t="s">
        <v>238</v>
      </c>
      <c r="B3019" t="s">
        <v>59</v>
      </c>
      <c r="C3019">
        <v>72</v>
      </c>
      <c r="D3019" t="s">
        <v>18792</v>
      </c>
      <c r="E3019" t="s">
        <v>18793</v>
      </c>
      <c r="F3019" t="s">
        <v>59</v>
      </c>
      <c r="G3019" t="s">
        <v>18794</v>
      </c>
      <c r="H3019" t="s">
        <v>18795</v>
      </c>
    </row>
    <row r="3020" spans="1:8">
      <c r="A3020" t="s">
        <v>244</v>
      </c>
      <c r="B3020" t="s">
        <v>59</v>
      </c>
      <c r="C3020">
        <v>72</v>
      </c>
      <c r="D3020" t="s">
        <v>18796</v>
      </c>
      <c r="E3020" t="s">
        <v>18797</v>
      </c>
      <c r="F3020" t="s">
        <v>18798</v>
      </c>
    </row>
    <row r="3021" spans="1:8">
      <c r="A3021" t="s">
        <v>241</v>
      </c>
      <c r="B3021" t="s">
        <v>59</v>
      </c>
      <c r="C3021">
        <v>72</v>
      </c>
      <c r="D3021" t="s">
        <v>18799</v>
      </c>
      <c r="E3021" t="s">
        <v>18800</v>
      </c>
      <c r="F3021" t="s">
        <v>59</v>
      </c>
    </row>
    <row r="3022" spans="1:8">
      <c r="A3022" t="s">
        <v>240</v>
      </c>
      <c r="B3022" t="s">
        <v>59</v>
      </c>
      <c r="C3022">
        <v>72</v>
      </c>
      <c r="D3022" t="s">
        <v>7269</v>
      </c>
      <c r="E3022" t="s">
        <v>18801</v>
      </c>
      <c r="F3022" t="s">
        <v>59</v>
      </c>
    </row>
    <row r="3023" spans="1:8">
      <c r="A3023" t="s">
        <v>238</v>
      </c>
      <c r="B3023" t="s">
        <v>59</v>
      </c>
      <c r="C3023">
        <v>72</v>
      </c>
      <c r="D3023" t="s">
        <v>18802</v>
      </c>
      <c r="E3023" t="s">
        <v>18803</v>
      </c>
      <c r="F3023" t="s">
        <v>59</v>
      </c>
      <c r="G3023" t="s">
        <v>18804</v>
      </c>
      <c r="H3023" t="s">
        <v>18805</v>
      </c>
    </row>
    <row r="3024" spans="1:8">
      <c r="A3024" t="s">
        <v>240</v>
      </c>
      <c r="B3024" t="s">
        <v>59</v>
      </c>
      <c r="C3024">
        <v>72</v>
      </c>
      <c r="D3024" t="s">
        <v>18806</v>
      </c>
      <c r="E3024" t="s">
        <v>18807</v>
      </c>
      <c r="F3024" t="s">
        <v>59</v>
      </c>
      <c r="H3024" t="s">
        <v>18808</v>
      </c>
    </row>
    <row r="3025" spans="1:8">
      <c r="A3025" t="s">
        <v>238</v>
      </c>
      <c r="B3025" t="s">
        <v>82</v>
      </c>
      <c r="C3025">
        <v>73</v>
      </c>
      <c r="D3025" t="s">
        <v>9141</v>
      </c>
      <c r="E3025" t="s">
        <v>9142</v>
      </c>
      <c r="F3025" t="s">
        <v>82</v>
      </c>
      <c r="G3025" t="s">
        <v>9143</v>
      </c>
      <c r="H3025" t="s">
        <v>9144</v>
      </c>
    </row>
    <row r="3026" spans="1:8">
      <c r="A3026" t="s">
        <v>240</v>
      </c>
      <c r="B3026" t="s">
        <v>82</v>
      </c>
      <c r="C3026">
        <v>73</v>
      </c>
      <c r="D3026" t="s">
        <v>9145</v>
      </c>
      <c r="E3026" t="s">
        <v>9146</v>
      </c>
      <c r="F3026" t="s">
        <v>82</v>
      </c>
      <c r="G3026" t="s">
        <v>9147</v>
      </c>
      <c r="H3026" t="s">
        <v>9148</v>
      </c>
    </row>
    <row r="3027" spans="1:8">
      <c r="A3027" t="s">
        <v>242</v>
      </c>
      <c r="B3027" t="s">
        <v>82</v>
      </c>
      <c r="C3027">
        <v>73</v>
      </c>
      <c r="D3027" t="s">
        <v>9149</v>
      </c>
      <c r="E3027" t="s">
        <v>9150</v>
      </c>
      <c r="F3027" t="s">
        <v>82</v>
      </c>
      <c r="G3027" t="s">
        <v>9151</v>
      </c>
      <c r="H3027" t="s">
        <v>9152</v>
      </c>
    </row>
    <row r="3028" spans="1:8">
      <c r="A3028" t="s">
        <v>242</v>
      </c>
      <c r="B3028" t="s">
        <v>82</v>
      </c>
      <c r="C3028">
        <v>73</v>
      </c>
      <c r="D3028" t="s">
        <v>9153</v>
      </c>
      <c r="E3028" t="s">
        <v>9154</v>
      </c>
      <c r="F3028" t="s">
        <v>82</v>
      </c>
      <c r="G3028" t="s">
        <v>9155</v>
      </c>
      <c r="H3028" t="s">
        <v>9156</v>
      </c>
    </row>
    <row r="3029" spans="1:8">
      <c r="A3029" t="s">
        <v>244</v>
      </c>
      <c r="B3029" t="s">
        <v>82</v>
      </c>
      <c r="C3029">
        <v>73</v>
      </c>
      <c r="D3029" t="s">
        <v>9157</v>
      </c>
      <c r="E3029" t="s">
        <v>9158</v>
      </c>
      <c r="F3029" t="s">
        <v>82</v>
      </c>
      <c r="G3029" t="s">
        <v>9159</v>
      </c>
      <c r="H3029" t="s">
        <v>9160</v>
      </c>
    </row>
    <row r="3030" spans="1:8">
      <c r="A3030" t="s">
        <v>241</v>
      </c>
      <c r="B3030" t="s">
        <v>82</v>
      </c>
      <c r="C3030">
        <v>73</v>
      </c>
      <c r="D3030" t="s">
        <v>9161</v>
      </c>
      <c r="E3030" t="s">
        <v>9162</v>
      </c>
      <c r="F3030" t="s">
        <v>82</v>
      </c>
    </row>
    <row r="3031" spans="1:8">
      <c r="A3031" t="s">
        <v>241</v>
      </c>
      <c r="B3031" t="s">
        <v>82</v>
      </c>
      <c r="C3031">
        <v>73</v>
      </c>
      <c r="D3031" t="s">
        <v>9163</v>
      </c>
      <c r="E3031" t="s">
        <v>9164</v>
      </c>
      <c r="F3031" t="s">
        <v>82</v>
      </c>
      <c r="G3031" t="s">
        <v>9165</v>
      </c>
      <c r="H3031" t="s">
        <v>9166</v>
      </c>
    </row>
    <row r="3032" spans="1:8">
      <c r="A3032" t="s">
        <v>243</v>
      </c>
      <c r="B3032" t="s">
        <v>82</v>
      </c>
      <c r="C3032">
        <v>73</v>
      </c>
      <c r="D3032" t="s">
        <v>9167</v>
      </c>
      <c r="E3032" t="s">
        <v>9168</v>
      </c>
      <c r="H3032" t="s">
        <v>9169</v>
      </c>
    </row>
    <row r="3033" spans="1:8">
      <c r="A3033" t="s">
        <v>239</v>
      </c>
      <c r="B3033" t="s">
        <v>82</v>
      </c>
      <c r="C3033">
        <v>73</v>
      </c>
      <c r="D3033" t="s">
        <v>9170</v>
      </c>
      <c r="E3033" t="s">
        <v>9171</v>
      </c>
      <c r="H3033" t="s">
        <v>9172</v>
      </c>
    </row>
    <row r="3034" spans="1:8">
      <c r="A3034" t="s">
        <v>241</v>
      </c>
      <c r="B3034" t="s">
        <v>82</v>
      </c>
      <c r="C3034">
        <v>73</v>
      </c>
      <c r="D3034" t="s">
        <v>9173</v>
      </c>
      <c r="E3034" t="s">
        <v>9174</v>
      </c>
      <c r="G3034" t="s">
        <v>9175</v>
      </c>
      <c r="H3034" t="s">
        <v>9176</v>
      </c>
    </row>
    <row r="3035" spans="1:8">
      <c r="A3035" t="s">
        <v>241</v>
      </c>
      <c r="B3035" t="s">
        <v>82</v>
      </c>
      <c r="C3035">
        <v>73</v>
      </c>
      <c r="D3035" t="s">
        <v>9177</v>
      </c>
      <c r="E3035" t="s">
        <v>9178</v>
      </c>
    </row>
    <row r="3036" spans="1:8">
      <c r="A3036" t="s">
        <v>241</v>
      </c>
      <c r="B3036" t="s">
        <v>82</v>
      </c>
      <c r="C3036">
        <v>73</v>
      </c>
      <c r="D3036" t="s">
        <v>9179</v>
      </c>
      <c r="E3036" t="s">
        <v>9180</v>
      </c>
      <c r="H3036" t="s">
        <v>9181</v>
      </c>
    </row>
    <row r="3037" spans="1:8">
      <c r="A3037" t="s">
        <v>239</v>
      </c>
      <c r="B3037" t="s">
        <v>82</v>
      </c>
      <c r="C3037">
        <v>73</v>
      </c>
      <c r="D3037" t="s">
        <v>9182</v>
      </c>
      <c r="E3037" t="s">
        <v>9183</v>
      </c>
      <c r="F3037" t="s">
        <v>82</v>
      </c>
      <c r="G3037" t="s">
        <v>9184</v>
      </c>
      <c r="H3037" t="s">
        <v>9184</v>
      </c>
    </row>
    <row r="3038" spans="1:8">
      <c r="A3038" t="s">
        <v>241</v>
      </c>
      <c r="B3038" t="s">
        <v>82</v>
      </c>
      <c r="C3038">
        <v>73</v>
      </c>
      <c r="D3038" t="s">
        <v>9185</v>
      </c>
      <c r="E3038" t="s">
        <v>9186</v>
      </c>
      <c r="F3038" t="s">
        <v>82</v>
      </c>
      <c r="G3038" t="s">
        <v>9187</v>
      </c>
      <c r="H3038" t="s">
        <v>9188</v>
      </c>
    </row>
    <row r="3039" spans="1:8">
      <c r="A3039" t="s">
        <v>238</v>
      </c>
      <c r="B3039" t="s">
        <v>87</v>
      </c>
      <c r="C3039">
        <v>74</v>
      </c>
      <c r="D3039" t="s">
        <v>9897</v>
      </c>
      <c r="E3039" t="s">
        <v>9898</v>
      </c>
      <c r="F3039" t="s">
        <v>87</v>
      </c>
      <c r="G3039" t="s">
        <v>9899</v>
      </c>
      <c r="H3039" t="s">
        <v>9900</v>
      </c>
    </row>
    <row r="3040" spans="1:8">
      <c r="A3040" t="s">
        <v>238</v>
      </c>
      <c r="B3040" t="s">
        <v>87</v>
      </c>
      <c r="C3040">
        <v>74</v>
      </c>
      <c r="D3040" t="s">
        <v>9901</v>
      </c>
      <c r="E3040" t="s">
        <v>9902</v>
      </c>
      <c r="F3040" t="s">
        <v>87</v>
      </c>
      <c r="G3040" t="s">
        <v>9903</v>
      </c>
      <c r="H3040" t="s">
        <v>9904</v>
      </c>
    </row>
    <row r="3041" spans="1:8">
      <c r="A3041" t="s">
        <v>241</v>
      </c>
      <c r="B3041" t="s">
        <v>87</v>
      </c>
      <c r="C3041">
        <v>74</v>
      </c>
      <c r="D3041" t="s">
        <v>9905</v>
      </c>
      <c r="E3041" t="s">
        <v>9906</v>
      </c>
      <c r="F3041" t="s">
        <v>87</v>
      </c>
      <c r="G3041" t="s">
        <v>9907</v>
      </c>
      <c r="H3041" t="s">
        <v>9908</v>
      </c>
    </row>
    <row r="3042" spans="1:8">
      <c r="A3042" t="s">
        <v>241</v>
      </c>
      <c r="B3042" t="s">
        <v>87</v>
      </c>
      <c r="C3042">
        <v>74</v>
      </c>
      <c r="D3042" t="s">
        <v>9909</v>
      </c>
      <c r="F3042" t="s">
        <v>87</v>
      </c>
      <c r="H3042" t="s">
        <v>9910</v>
      </c>
    </row>
    <row r="3043" spans="1:8">
      <c r="A3043" t="s">
        <v>242</v>
      </c>
      <c r="B3043" t="s">
        <v>87</v>
      </c>
      <c r="C3043">
        <v>74</v>
      </c>
      <c r="D3043" t="s">
        <v>9911</v>
      </c>
      <c r="E3043" t="s">
        <v>9912</v>
      </c>
      <c r="F3043" t="s">
        <v>9913</v>
      </c>
      <c r="G3043" t="s">
        <v>9914</v>
      </c>
      <c r="H3043" t="s">
        <v>9915</v>
      </c>
    </row>
    <row r="3044" spans="1:8">
      <c r="A3044" t="s">
        <v>238</v>
      </c>
      <c r="B3044" t="s">
        <v>87</v>
      </c>
      <c r="C3044">
        <v>74</v>
      </c>
      <c r="D3044" t="s">
        <v>9916</v>
      </c>
      <c r="E3044" t="s">
        <v>9917</v>
      </c>
      <c r="F3044" t="s">
        <v>87</v>
      </c>
      <c r="G3044" t="s">
        <v>9918</v>
      </c>
      <c r="H3044" t="s">
        <v>9919</v>
      </c>
    </row>
    <row r="3045" spans="1:8">
      <c r="A3045" t="s">
        <v>242</v>
      </c>
      <c r="B3045" t="s">
        <v>87</v>
      </c>
      <c r="C3045">
        <v>74</v>
      </c>
      <c r="D3045" t="s">
        <v>9920</v>
      </c>
      <c r="E3045" t="s">
        <v>9921</v>
      </c>
      <c r="F3045" t="s">
        <v>87</v>
      </c>
      <c r="G3045" t="s">
        <v>9922</v>
      </c>
      <c r="H3045" t="s">
        <v>9923</v>
      </c>
    </row>
    <row r="3046" spans="1:8">
      <c r="A3046" t="s">
        <v>250</v>
      </c>
      <c r="B3046" t="s">
        <v>229</v>
      </c>
      <c r="C3046">
        <v>74</v>
      </c>
      <c r="D3046" t="s">
        <v>13790</v>
      </c>
      <c r="E3046" t="s">
        <v>13791</v>
      </c>
      <c r="F3046" t="s">
        <v>13792</v>
      </c>
    </row>
    <row r="3047" spans="1:8">
      <c r="A3047" t="s">
        <v>241</v>
      </c>
      <c r="B3047" t="s">
        <v>229</v>
      </c>
      <c r="C3047">
        <v>74</v>
      </c>
      <c r="D3047" t="s">
        <v>13793</v>
      </c>
      <c r="E3047" t="s">
        <v>13794</v>
      </c>
      <c r="F3047" t="s">
        <v>13795</v>
      </c>
      <c r="G3047" t="s">
        <v>13796</v>
      </c>
      <c r="H3047" t="s">
        <v>13797</v>
      </c>
    </row>
    <row r="3048" spans="1:8">
      <c r="A3048" t="s">
        <v>241</v>
      </c>
      <c r="B3048" t="s">
        <v>229</v>
      </c>
      <c r="C3048">
        <v>74</v>
      </c>
      <c r="D3048" t="s">
        <v>13798</v>
      </c>
      <c r="E3048" t="s">
        <v>13799</v>
      </c>
      <c r="H3048" t="s">
        <v>13800</v>
      </c>
    </row>
    <row r="3049" spans="1:8">
      <c r="A3049" t="s">
        <v>243</v>
      </c>
      <c r="B3049" t="s">
        <v>229</v>
      </c>
      <c r="C3049">
        <v>74</v>
      </c>
      <c r="D3049" t="s">
        <v>13801</v>
      </c>
      <c r="E3049" t="s">
        <v>13802</v>
      </c>
      <c r="G3049" t="s">
        <v>13803</v>
      </c>
      <c r="H3049" t="s">
        <v>13804</v>
      </c>
    </row>
    <row r="3050" spans="1:8">
      <c r="A3050" t="s">
        <v>241</v>
      </c>
      <c r="B3050" t="s">
        <v>229</v>
      </c>
      <c r="C3050">
        <v>74</v>
      </c>
      <c r="D3050" t="s">
        <v>13805</v>
      </c>
      <c r="E3050" t="s">
        <v>13806</v>
      </c>
      <c r="G3050" t="s">
        <v>13807</v>
      </c>
      <c r="H3050" t="s">
        <v>13808</v>
      </c>
    </row>
    <row r="3051" spans="1:8">
      <c r="A3051" t="s">
        <v>241</v>
      </c>
      <c r="B3051" t="s">
        <v>229</v>
      </c>
      <c r="C3051">
        <v>74</v>
      </c>
      <c r="D3051" t="s">
        <v>13809</v>
      </c>
      <c r="E3051" t="s">
        <v>13810</v>
      </c>
      <c r="G3051" t="s">
        <v>13811</v>
      </c>
      <c r="H3051" t="s">
        <v>13812</v>
      </c>
    </row>
    <row r="3052" spans="1:8">
      <c r="A3052" t="s">
        <v>241</v>
      </c>
      <c r="B3052" t="s">
        <v>229</v>
      </c>
      <c r="C3052">
        <v>74</v>
      </c>
      <c r="D3052" t="s">
        <v>13813</v>
      </c>
      <c r="E3052" t="s">
        <v>13814</v>
      </c>
      <c r="F3052" t="s">
        <v>13815</v>
      </c>
      <c r="H3052" t="s">
        <v>13816</v>
      </c>
    </row>
    <row r="3053" spans="1:8">
      <c r="A3053" t="s">
        <v>241</v>
      </c>
      <c r="B3053" t="s">
        <v>229</v>
      </c>
      <c r="C3053">
        <v>74</v>
      </c>
      <c r="D3053" t="s">
        <v>13817</v>
      </c>
      <c r="E3053" t="s">
        <v>13818</v>
      </c>
      <c r="F3053" t="s">
        <v>7581</v>
      </c>
      <c r="H3053" t="s">
        <v>13819</v>
      </c>
    </row>
    <row r="3054" spans="1:8">
      <c r="A3054" t="s">
        <v>241</v>
      </c>
      <c r="B3054" t="s">
        <v>229</v>
      </c>
      <c r="C3054">
        <v>74</v>
      </c>
      <c r="D3054" t="s">
        <v>13820</v>
      </c>
      <c r="E3054" t="s">
        <v>13821</v>
      </c>
      <c r="H3054" t="s">
        <v>13822</v>
      </c>
    </row>
    <row r="3055" spans="1:8">
      <c r="A3055" t="s">
        <v>241</v>
      </c>
      <c r="B3055" t="s">
        <v>229</v>
      </c>
      <c r="C3055">
        <v>74</v>
      </c>
      <c r="D3055" t="s">
        <v>13823</v>
      </c>
      <c r="E3055" t="s">
        <v>13824</v>
      </c>
      <c r="G3055" t="s">
        <v>13825</v>
      </c>
      <c r="H3055" t="s">
        <v>13826</v>
      </c>
    </row>
    <row r="3056" spans="1:8">
      <c r="A3056" t="s">
        <v>241</v>
      </c>
      <c r="B3056" t="s">
        <v>229</v>
      </c>
      <c r="C3056">
        <v>74</v>
      </c>
      <c r="D3056" t="s">
        <v>13827</v>
      </c>
      <c r="E3056" t="s">
        <v>13828</v>
      </c>
      <c r="G3056" t="s">
        <v>13829</v>
      </c>
      <c r="H3056" t="s">
        <v>13826</v>
      </c>
    </row>
    <row r="3057" spans="1:8">
      <c r="A3057" t="s">
        <v>241</v>
      </c>
      <c r="B3057" t="s">
        <v>229</v>
      </c>
      <c r="C3057">
        <v>74</v>
      </c>
      <c r="D3057" t="s">
        <v>13830</v>
      </c>
      <c r="E3057" t="s">
        <v>13831</v>
      </c>
      <c r="G3057" t="s">
        <v>13832</v>
      </c>
      <c r="H3057" t="s">
        <v>13833</v>
      </c>
    </row>
    <row r="3058" spans="1:8">
      <c r="A3058" t="s">
        <v>241</v>
      </c>
      <c r="B3058" t="s">
        <v>229</v>
      </c>
      <c r="C3058">
        <v>74</v>
      </c>
      <c r="D3058" t="s">
        <v>13834</v>
      </c>
      <c r="E3058" t="s">
        <v>13835</v>
      </c>
      <c r="H3058" t="s">
        <v>13836</v>
      </c>
    </row>
    <row r="3059" spans="1:8">
      <c r="A3059" t="s">
        <v>240</v>
      </c>
      <c r="B3059" t="s">
        <v>229</v>
      </c>
      <c r="C3059">
        <v>74</v>
      </c>
      <c r="D3059" t="s">
        <v>13837</v>
      </c>
      <c r="E3059" t="s">
        <v>13838</v>
      </c>
      <c r="F3059" t="s">
        <v>13792</v>
      </c>
      <c r="G3059" t="s">
        <v>13839</v>
      </c>
      <c r="H3059" t="s">
        <v>13840</v>
      </c>
    </row>
    <row r="3060" spans="1:8">
      <c r="A3060" t="s">
        <v>250</v>
      </c>
      <c r="B3060" t="s">
        <v>229</v>
      </c>
      <c r="C3060">
        <v>74</v>
      </c>
      <c r="D3060" t="s">
        <v>13841</v>
      </c>
    </row>
    <row r="3061" spans="1:8">
      <c r="A3061" t="s">
        <v>241</v>
      </c>
      <c r="B3061" t="s">
        <v>229</v>
      </c>
      <c r="C3061">
        <v>74</v>
      </c>
      <c r="D3061" t="s">
        <v>13842</v>
      </c>
      <c r="E3061" t="s">
        <v>13843</v>
      </c>
      <c r="H3061" t="s">
        <v>13844</v>
      </c>
    </row>
    <row r="3062" spans="1:8">
      <c r="A3062" t="s">
        <v>244</v>
      </c>
      <c r="B3062" t="s">
        <v>229</v>
      </c>
      <c r="C3062">
        <v>74</v>
      </c>
      <c r="D3062" t="s">
        <v>13845</v>
      </c>
      <c r="H3062" t="s">
        <v>13846</v>
      </c>
    </row>
    <row r="3063" spans="1:8">
      <c r="A3063" t="s">
        <v>241</v>
      </c>
      <c r="B3063" t="s">
        <v>229</v>
      </c>
      <c r="C3063">
        <v>74</v>
      </c>
      <c r="D3063" t="s">
        <v>13847</v>
      </c>
      <c r="E3063" t="s">
        <v>13848</v>
      </c>
      <c r="F3063" t="s">
        <v>13792</v>
      </c>
      <c r="H3063" t="s">
        <v>13849</v>
      </c>
    </row>
    <row r="3064" spans="1:8">
      <c r="A3064" t="s">
        <v>243</v>
      </c>
      <c r="B3064" t="s">
        <v>229</v>
      </c>
      <c r="C3064">
        <v>74</v>
      </c>
      <c r="D3064" t="s">
        <v>13850</v>
      </c>
      <c r="E3064" t="s">
        <v>13851</v>
      </c>
      <c r="F3064" t="s">
        <v>13792</v>
      </c>
      <c r="G3064" t="s">
        <v>13852</v>
      </c>
      <c r="H3064" t="s">
        <v>13853</v>
      </c>
    </row>
    <row r="3065" spans="1:8">
      <c r="A3065" t="s">
        <v>250</v>
      </c>
      <c r="B3065" t="s">
        <v>229</v>
      </c>
      <c r="C3065">
        <v>74</v>
      </c>
      <c r="D3065" t="s">
        <v>13854</v>
      </c>
      <c r="E3065" t="s">
        <v>12380</v>
      </c>
      <c r="F3065" t="s">
        <v>41</v>
      </c>
    </row>
    <row r="3066" spans="1:8">
      <c r="A3066" t="s">
        <v>241</v>
      </c>
      <c r="B3066" t="s">
        <v>229</v>
      </c>
      <c r="C3066">
        <v>74</v>
      </c>
      <c r="D3066" t="s">
        <v>13855</v>
      </c>
      <c r="E3066" t="s">
        <v>13856</v>
      </c>
      <c r="F3066" t="s">
        <v>229</v>
      </c>
      <c r="H3066" t="s">
        <v>13857</v>
      </c>
    </row>
    <row r="3067" spans="1:8">
      <c r="A3067" t="s">
        <v>241</v>
      </c>
      <c r="B3067" t="s">
        <v>229</v>
      </c>
      <c r="C3067">
        <v>74</v>
      </c>
      <c r="D3067" t="s">
        <v>13858</v>
      </c>
      <c r="E3067" t="s">
        <v>13859</v>
      </c>
      <c r="F3067" t="s">
        <v>13860</v>
      </c>
      <c r="G3067" t="s">
        <v>13861</v>
      </c>
      <c r="H3067" t="s">
        <v>13862</v>
      </c>
    </row>
    <row r="3068" spans="1:8">
      <c r="A3068" t="s">
        <v>241</v>
      </c>
      <c r="B3068" t="s">
        <v>229</v>
      </c>
      <c r="C3068">
        <v>74</v>
      </c>
      <c r="D3068" t="s">
        <v>13863</v>
      </c>
      <c r="E3068" t="s">
        <v>13864</v>
      </c>
      <c r="F3068" t="s">
        <v>13863</v>
      </c>
    </row>
    <row r="3069" spans="1:8">
      <c r="A3069" t="s">
        <v>239</v>
      </c>
      <c r="B3069" t="s">
        <v>229</v>
      </c>
      <c r="C3069">
        <v>74</v>
      </c>
      <c r="D3069" t="s">
        <v>13865</v>
      </c>
      <c r="E3069" t="s">
        <v>13866</v>
      </c>
      <c r="F3069" t="s">
        <v>229</v>
      </c>
      <c r="H3069" t="s">
        <v>13867</v>
      </c>
    </row>
    <row r="3070" spans="1:8">
      <c r="A3070" t="s">
        <v>241</v>
      </c>
      <c r="B3070" t="s">
        <v>229</v>
      </c>
      <c r="C3070">
        <v>74</v>
      </c>
      <c r="D3070" t="s">
        <v>13868</v>
      </c>
      <c r="E3070" t="s">
        <v>13869</v>
      </c>
      <c r="F3070" t="s">
        <v>229</v>
      </c>
      <c r="H3070" t="s">
        <v>13870</v>
      </c>
    </row>
    <row r="3071" spans="1:8">
      <c r="A3071" t="s">
        <v>241</v>
      </c>
      <c r="B3071" t="s">
        <v>229</v>
      </c>
      <c r="C3071">
        <v>74</v>
      </c>
      <c r="D3071" t="s">
        <v>13871</v>
      </c>
      <c r="E3071" t="s">
        <v>13872</v>
      </c>
      <c r="H3071" t="s">
        <v>13873</v>
      </c>
    </row>
    <row r="3072" spans="1:8">
      <c r="A3072" t="s">
        <v>241</v>
      </c>
      <c r="B3072" t="s">
        <v>229</v>
      </c>
      <c r="C3072">
        <v>74</v>
      </c>
      <c r="D3072" t="s">
        <v>5799</v>
      </c>
      <c r="E3072" t="s">
        <v>13874</v>
      </c>
      <c r="H3072" t="s">
        <v>13875</v>
      </c>
    </row>
    <row r="3073" spans="1:8">
      <c r="A3073" t="s">
        <v>241</v>
      </c>
      <c r="B3073" t="s">
        <v>229</v>
      </c>
      <c r="C3073">
        <v>74</v>
      </c>
      <c r="D3073" t="s">
        <v>13876</v>
      </c>
      <c r="E3073" t="s">
        <v>13877</v>
      </c>
      <c r="H3073" t="s">
        <v>13878</v>
      </c>
    </row>
    <row r="3074" spans="1:8">
      <c r="A3074" t="s">
        <v>241</v>
      </c>
      <c r="B3074" t="s">
        <v>229</v>
      </c>
      <c r="C3074">
        <v>74</v>
      </c>
      <c r="D3074" t="s">
        <v>13879</v>
      </c>
      <c r="E3074" t="s">
        <v>13880</v>
      </c>
      <c r="F3074" t="s">
        <v>13881</v>
      </c>
      <c r="H3074" t="s">
        <v>13882</v>
      </c>
    </row>
    <row r="3075" spans="1:8">
      <c r="A3075" t="s">
        <v>241</v>
      </c>
      <c r="B3075" t="s">
        <v>229</v>
      </c>
      <c r="C3075">
        <v>74</v>
      </c>
      <c r="D3075" t="s">
        <v>13883</v>
      </c>
      <c r="E3075" t="s">
        <v>13884</v>
      </c>
      <c r="H3075" t="s">
        <v>13885</v>
      </c>
    </row>
    <row r="3076" spans="1:8">
      <c r="A3076" t="s">
        <v>241</v>
      </c>
      <c r="B3076" t="s">
        <v>229</v>
      </c>
      <c r="C3076">
        <v>74</v>
      </c>
      <c r="D3076" t="s">
        <v>13886</v>
      </c>
      <c r="E3076" t="s">
        <v>13887</v>
      </c>
      <c r="H3076" t="s">
        <v>13888</v>
      </c>
    </row>
    <row r="3077" spans="1:8">
      <c r="A3077" t="s">
        <v>241</v>
      </c>
      <c r="B3077" t="s">
        <v>229</v>
      </c>
      <c r="C3077">
        <v>74</v>
      </c>
      <c r="D3077" t="s">
        <v>13889</v>
      </c>
      <c r="E3077" t="s">
        <v>13890</v>
      </c>
      <c r="F3077" t="s">
        <v>13792</v>
      </c>
      <c r="G3077" t="s">
        <v>13891</v>
      </c>
      <c r="H3077" t="s">
        <v>13892</v>
      </c>
    </row>
    <row r="3078" spans="1:8">
      <c r="A3078" t="s">
        <v>250</v>
      </c>
      <c r="B3078" t="s">
        <v>229</v>
      </c>
      <c r="C3078">
        <v>74</v>
      </c>
      <c r="D3078" t="s">
        <v>13893</v>
      </c>
      <c r="E3078" t="s">
        <v>13894</v>
      </c>
      <c r="F3078" t="s">
        <v>13792</v>
      </c>
      <c r="G3078" t="s">
        <v>13895</v>
      </c>
      <c r="H3078" t="s">
        <v>13896</v>
      </c>
    </row>
    <row r="3079" spans="1:8">
      <c r="A3079" t="s">
        <v>250</v>
      </c>
      <c r="B3079" t="s">
        <v>229</v>
      </c>
      <c r="C3079">
        <v>74</v>
      </c>
      <c r="D3079" t="s">
        <v>13897</v>
      </c>
      <c r="E3079" t="s">
        <v>13894</v>
      </c>
      <c r="F3079" t="s">
        <v>13792</v>
      </c>
    </row>
    <row r="3080" spans="1:8">
      <c r="A3080" t="s">
        <v>250</v>
      </c>
      <c r="B3080" t="s">
        <v>229</v>
      </c>
      <c r="C3080">
        <v>74</v>
      </c>
      <c r="D3080" t="s">
        <v>13898</v>
      </c>
      <c r="E3080" t="s">
        <v>13894</v>
      </c>
      <c r="F3080" t="s">
        <v>13792</v>
      </c>
      <c r="G3080" t="s">
        <v>13899</v>
      </c>
      <c r="H3080" t="s">
        <v>13900</v>
      </c>
    </row>
    <row r="3081" spans="1:8">
      <c r="A3081" t="s">
        <v>250</v>
      </c>
      <c r="B3081" t="s">
        <v>229</v>
      </c>
      <c r="C3081">
        <v>74</v>
      </c>
      <c r="D3081" t="s">
        <v>7801</v>
      </c>
      <c r="E3081" t="s">
        <v>13901</v>
      </c>
      <c r="F3081" t="s">
        <v>13902</v>
      </c>
      <c r="G3081" t="s">
        <v>13903</v>
      </c>
    </row>
    <row r="3082" spans="1:8">
      <c r="A3082" t="s">
        <v>250</v>
      </c>
      <c r="B3082" t="s">
        <v>229</v>
      </c>
      <c r="C3082">
        <v>74</v>
      </c>
      <c r="D3082" t="s">
        <v>13904</v>
      </c>
      <c r="E3082" t="s">
        <v>13894</v>
      </c>
      <c r="F3082" t="s">
        <v>13792</v>
      </c>
    </row>
    <row r="3083" spans="1:8">
      <c r="A3083" t="s">
        <v>250</v>
      </c>
      <c r="B3083" t="s">
        <v>229</v>
      </c>
      <c r="C3083">
        <v>74</v>
      </c>
      <c r="D3083" t="s">
        <v>13905</v>
      </c>
      <c r="E3083" t="s">
        <v>12380</v>
      </c>
      <c r="F3083" t="s">
        <v>41</v>
      </c>
    </row>
    <row r="3084" spans="1:8">
      <c r="A3084" t="s">
        <v>250</v>
      </c>
      <c r="B3084" t="s">
        <v>229</v>
      </c>
      <c r="C3084">
        <v>74</v>
      </c>
      <c r="D3084" t="s">
        <v>13906</v>
      </c>
      <c r="E3084" t="s">
        <v>13907</v>
      </c>
      <c r="F3084" t="s">
        <v>13792</v>
      </c>
    </row>
    <row r="3085" spans="1:8">
      <c r="A3085" t="s">
        <v>250</v>
      </c>
      <c r="B3085" t="s">
        <v>229</v>
      </c>
      <c r="C3085">
        <v>74</v>
      </c>
      <c r="D3085" t="s">
        <v>13908</v>
      </c>
      <c r="E3085" t="s">
        <v>13909</v>
      </c>
      <c r="F3085" t="s">
        <v>13792</v>
      </c>
    </row>
    <row r="3086" spans="1:8">
      <c r="A3086" t="s">
        <v>250</v>
      </c>
      <c r="B3086" t="s">
        <v>229</v>
      </c>
      <c r="C3086">
        <v>74</v>
      </c>
      <c r="D3086" t="s">
        <v>13910</v>
      </c>
      <c r="E3086" t="s">
        <v>5102</v>
      </c>
      <c r="F3086" t="s">
        <v>13792</v>
      </c>
      <c r="G3086" t="s">
        <v>13911</v>
      </c>
      <c r="H3086" t="s">
        <v>13912</v>
      </c>
    </row>
    <row r="3087" spans="1:8">
      <c r="A3087" t="s">
        <v>250</v>
      </c>
      <c r="B3087" t="s">
        <v>229</v>
      </c>
      <c r="C3087">
        <v>74</v>
      </c>
      <c r="D3087" t="s">
        <v>13913</v>
      </c>
      <c r="E3087" t="s">
        <v>12380</v>
      </c>
    </row>
    <row r="3088" spans="1:8">
      <c r="A3088" t="s">
        <v>250</v>
      </c>
      <c r="B3088" t="s">
        <v>229</v>
      </c>
      <c r="C3088">
        <v>74</v>
      </c>
      <c r="D3088" t="s">
        <v>13914</v>
      </c>
      <c r="E3088" t="s">
        <v>13915</v>
      </c>
      <c r="F3088" t="s">
        <v>13792</v>
      </c>
      <c r="G3088" t="s">
        <v>13916</v>
      </c>
    </row>
    <row r="3089" spans="1:8">
      <c r="A3089" t="s">
        <v>250</v>
      </c>
      <c r="B3089" t="s">
        <v>229</v>
      </c>
      <c r="C3089">
        <v>74</v>
      </c>
      <c r="D3089" t="s">
        <v>13917</v>
      </c>
      <c r="E3089" t="s">
        <v>12380</v>
      </c>
      <c r="F3089" t="s">
        <v>41</v>
      </c>
    </row>
    <row r="3090" spans="1:8">
      <c r="A3090" t="s">
        <v>250</v>
      </c>
      <c r="B3090" t="s">
        <v>229</v>
      </c>
      <c r="C3090">
        <v>74</v>
      </c>
      <c r="D3090" t="s">
        <v>13507</v>
      </c>
    </row>
    <row r="3091" spans="1:8">
      <c r="A3091" t="s">
        <v>240</v>
      </c>
      <c r="B3091" t="s">
        <v>229</v>
      </c>
      <c r="C3091">
        <v>74</v>
      </c>
      <c r="D3091" t="s">
        <v>13918</v>
      </c>
      <c r="E3091" t="s">
        <v>13919</v>
      </c>
      <c r="F3091" t="s">
        <v>13792</v>
      </c>
      <c r="G3091" t="s">
        <v>13920</v>
      </c>
      <c r="H3091" t="s">
        <v>13921</v>
      </c>
    </row>
    <row r="3092" spans="1:8">
      <c r="A3092" t="s">
        <v>250</v>
      </c>
      <c r="B3092" t="s">
        <v>229</v>
      </c>
      <c r="C3092">
        <v>74</v>
      </c>
      <c r="D3092" t="s">
        <v>13922</v>
      </c>
      <c r="E3092" t="s">
        <v>13894</v>
      </c>
      <c r="F3092" t="s">
        <v>13792</v>
      </c>
      <c r="G3092" t="s">
        <v>13923</v>
      </c>
      <c r="H3092" t="s">
        <v>13924</v>
      </c>
    </row>
    <row r="3093" spans="1:8">
      <c r="A3093" t="s">
        <v>250</v>
      </c>
      <c r="B3093" t="s">
        <v>229</v>
      </c>
      <c r="C3093">
        <v>74</v>
      </c>
      <c r="D3093" t="s">
        <v>13925</v>
      </c>
      <c r="E3093" t="s">
        <v>12380</v>
      </c>
      <c r="F3093" t="s">
        <v>41</v>
      </c>
    </row>
    <row r="3094" spans="1:8">
      <c r="A3094" t="s">
        <v>250</v>
      </c>
      <c r="B3094" t="s">
        <v>229</v>
      </c>
      <c r="C3094">
        <v>74</v>
      </c>
      <c r="D3094" t="s">
        <v>13926</v>
      </c>
    </row>
    <row r="3095" spans="1:8">
      <c r="A3095" t="s">
        <v>250</v>
      </c>
      <c r="B3095" t="s">
        <v>229</v>
      </c>
      <c r="C3095">
        <v>74</v>
      </c>
      <c r="D3095" t="s">
        <v>13927</v>
      </c>
      <c r="E3095" t="s">
        <v>13894</v>
      </c>
      <c r="F3095" t="s">
        <v>13792</v>
      </c>
    </row>
    <row r="3096" spans="1:8">
      <c r="A3096" t="s">
        <v>250</v>
      </c>
      <c r="B3096" t="s">
        <v>229</v>
      </c>
      <c r="C3096">
        <v>74</v>
      </c>
      <c r="D3096" t="s">
        <v>13928</v>
      </c>
      <c r="G3096" t="s">
        <v>13929</v>
      </c>
    </row>
    <row r="3097" spans="1:8">
      <c r="A3097" t="s">
        <v>250</v>
      </c>
      <c r="B3097" t="s">
        <v>229</v>
      </c>
      <c r="C3097">
        <v>74</v>
      </c>
      <c r="D3097" t="s">
        <v>13930</v>
      </c>
      <c r="E3097" t="s">
        <v>13547</v>
      </c>
      <c r="F3097" t="s">
        <v>228</v>
      </c>
    </row>
    <row r="3098" spans="1:8">
      <c r="A3098" t="s">
        <v>250</v>
      </c>
      <c r="B3098" t="s">
        <v>229</v>
      </c>
      <c r="C3098">
        <v>74</v>
      </c>
      <c r="D3098" t="s">
        <v>13931</v>
      </c>
    </row>
    <row r="3099" spans="1:8">
      <c r="A3099" t="s">
        <v>250</v>
      </c>
      <c r="B3099" t="s">
        <v>229</v>
      </c>
      <c r="C3099">
        <v>74</v>
      </c>
      <c r="D3099" t="s">
        <v>13932</v>
      </c>
      <c r="E3099" t="s">
        <v>13894</v>
      </c>
      <c r="F3099" t="s">
        <v>13792</v>
      </c>
    </row>
    <row r="3100" spans="1:8">
      <c r="A3100" t="s">
        <v>250</v>
      </c>
      <c r="B3100" t="s">
        <v>229</v>
      </c>
      <c r="C3100">
        <v>74</v>
      </c>
      <c r="D3100" t="s">
        <v>13933</v>
      </c>
      <c r="E3100" t="s">
        <v>13934</v>
      </c>
      <c r="F3100" t="s">
        <v>101</v>
      </c>
    </row>
    <row r="3101" spans="1:8">
      <c r="A3101" t="s">
        <v>250</v>
      </c>
      <c r="B3101" t="s">
        <v>229</v>
      </c>
      <c r="C3101">
        <v>74</v>
      </c>
      <c r="D3101" t="s">
        <v>13935</v>
      </c>
      <c r="E3101" t="s">
        <v>13894</v>
      </c>
      <c r="F3101" t="s">
        <v>13792</v>
      </c>
      <c r="G3101" t="s">
        <v>13899</v>
      </c>
      <c r="H3101" t="s">
        <v>13900</v>
      </c>
    </row>
    <row r="3102" spans="1:8">
      <c r="A3102" t="s">
        <v>250</v>
      </c>
      <c r="B3102" t="s">
        <v>229</v>
      </c>
      <c r="C3102">
        <v>74</v>
      </c>
      <c r="D3102" t="s">
        <v>13936</v>
      </c>
      <c r="E3102" t="s">
        <v>13894</v>
      </c>
      <c r="F3102" t="s">
        <v>13792</v>
      </c>
    </row>
    <row r="3103" spans="1:8">
      <c r="A3103" t="s">
        <v>250</v>
      </c>
      <c r="B3103" t="s">
        <v>229</v>
      </c>
      <c r="C3103">
        <v>74</v>
      </c>
      <c r="D3103" t="s">
        <v>1184</v>
      </c>
      <c r="E3103" t="s">
        <v>13934</v>
      </c>
      <c r="F3103" t="s">
        <v>101</v>
      </c>
    </row>
    <row r="3104" spans="1:8">
      <c r="A3104" t="s">
        <v>250</v>
      </c>
      <c r="B3104" t="s">
        <v>229</v>
      </c>
      <c r="C3104">
        <v>74</v>
      </c>
      <c r="D3104" t="s">
        <v>13937</v>
      </c>
    </row>
    <row r="3105" spans="1:8">
      <c r="A3105" t="s">
        <v>250</v>
      </c>
      <c r="B3105" t="s">
        <v>229</v>
      </c>
      <c r="C3105">
        <v>74</v>
      </c>
      <c r="D3105" t="s">
        <v>13938</v>
      </c>
      <c r="E3105" t="s">
        <v>13894</v>
      </c>
      <c r="F3105" t="s">
        <v>13792</v>
      </c>
      <c r="G3105" t="s">
        <v>13939</v>
      </c>
    </row>
    <row r="3106" spans="1:8">
      <c r="A3106" t="s">
        <v>241</v>
      </c>
      <c r="B3106" t="s">
        <v>229</v>
      </c>
      <c r="C3106">
        <v>74</v>
      </c>
      <c r="D3106" t="s">
        <v>13940</v>
      </c>
      <c r="E3106" t="s">
        <v>13941</v>
      </c>
      <c r="F3106" t="s">
        <v>13792</v>
      </c>
      <c r="H3106" t="s">
        <v>13942</v>
      </c>
    </row>
    <row r="3107" spans="1:8">
      <c r="A3107" t="s">
        <v>250</v>
      </c>
      <c r="B3107" t="s">
        <v>229</v>
      </c>
      <c r="C3107">
        <v>74</v>
      </c>
      <c r="D3107" t="s">
        <v>13943</v>
      </c>
      <c r="E3107" t="s">
        <v>13944</v>
      </c>
      <c r="F3107" t="s">
        <v>13792</v>
      </c>
    </row>
    <row r="3108" spans="1:8">
      <c r="A3108" t="s">
        <v>241</v>
      </c>
      <c r="B3108" t="s">
        <v>229</v>
      </c>
      <c r="C3108">
        <v>74</v>
      </c>
      <c r="D3108" t="s">
        <v>13945</v>
      </c>
      <c r="E3108" t="s">
        <v>13946</v>
      </c>
      <c r="F3108" t="s">
        <v>13792</v>
      </c>
      <c r="G3108" t="s">
        <v>13947</v>
      </c>
      <c r="H3108" t="s">
        <v>13948</v>
      </c>
    </row>
    <row r="3109" spans="1:8">
      <c r="A3109" t="s">
        <v>241</v>
      </c>
      <c r="B3109" t="s">
        <v>229</v>
      </c>
      <c r="C3109">
        <v>74</v>
      </c>
      <c r="D3109" t="s">
        <v>13949</v>
      </c>
      <c r="E3109" t="s">
        <v>13950</v>
      </c>
      <c r="F3109" t="s">
        <v>13792</v>
      </c>
      <c r="G3109" t="s">
        <v>13951</v>
      </c>
      <c r="H3109" t="s">
        <v>13952</v>
      </c>
    </row>
    <row r="3110" spans="1:8">
      <c r="A3110" t="s">
        <v>241</v>
      </c>
      <c r="B3110" t="s">
        <v>229</v>
      </c>
      <c r="C3110">
        <v>74</v>
      </c>
      <c r="D3110" t="s">
        <v>13953</v>
      </c>
      <c r="E3110" t="s">
        <v>13950</v>
      </c>
      <c r="F3110" t="s">
        <v>13792</v>
      </c>
      <c r="G3110" t="s">
        <v>13951</v>
      </c>
      <c r="H3110" t="s">
        <v>13952</v>
      </c>
    </row>
    <row r="3111" spans="1:8">
      <c r="A3111" t="s">
        <v>250</v>
      </c>
      <c r="B3111" t="s">
        <v>229</v>
      </c>
      <c r="C3111">
        <v>74</v>
      </c>
      <c r="D3111" t="s">
        <v>13954</v>
      </c>
      <c r="E3111" t="s">
        <v>13894</v>
      </c>
      <c r="F3111" t="s">
        <v>13792</v>
      </c>
    </row>
    <row r="3112" spans="1:8">
      <c r="A3112" t="s">
        <v>250</v>
      </c>
      <c r="B3112" t="s">
        <v>229</v>
      </c>
      <c r="C3112">
        <v>74</v>
      </c>
      <c r="D3112" t="s">
        <v>13955</v>
      </c>
      <c r="E3112" t="s">
        <v>13956</v>
      </c>
      <c r="F3112" t="s">
        <v>13792</v>
      </c>
      <c r="G3112" t="s">
        <v>13957</v>
      </c>
      <c r="H3112" t="s">
        <v>13958</v>
      </c>
    </row>
    <row r="3113" spans="1:8">
      <c r="A3113" t="s">
        <v>240</v>
      </c>
      <c r="B3113" t="s">
        <v>229</v>
      </c>
      <c r="C3113">
        <v>74</v>
      </c>
      <c r="D3113" t="s">
        <v>13959</v>
      </c>
      <c r="E3113" t="s">
        <v>13960</v>
      </c>
      <c r="F3113" t="s">
        <v>13792</v>
      </c>
      <c r="G3113" t="s">
        <v>13961</v>
      </c>
      <c r="H3113" t="s">
        <v>13962</v>
      </c>
    </row>
    <row r="3114" spans="1:8">
      <c r="A3114" t="s">
        <v>248</v>
      </c>
      <c r="B3114" t="s">
        <v>229</v>
      </c>
      <c r="C3114">
        <v>74</v>
      </c>
      <c r="D3114" t="s">
        <v>13963</v>
      </c>
      <c r="E3114" t="s">
        <v>13964</v>
      </c>
      <c r="F3114" t="s">
        <v>229</v>
      </c>
      <c r="G3114" t="s">
        <v>13965</v>
      </c>
      <c r="H3114" t="s">
        <v>13966</v>
      </c>
    </row>
    <row r="3115" spans="1:8">
      <c r="A3115" t="s">
        <v>250</v>
      </c>
      <c r="B3115" t="s">
        <v>229</v>
      </c>
      <c r="C3115">
        <v>74</v>
      </c>
      <c r="D3115" t="s">
        <v>13967</v>
      </c>
      <c r="E3115" t="s">
        <v>13894</v>
      </c>
      <c r="F3115" t="s">
        <v>13792</v>
      </c>
    </row>
    <row r="3116" spans="1:8">
      <c r="A3116" t="s">
        <v>240</v>
      </c>
      <c r="B3116" t="s">
        <v>229</v>
      </c>
      <c r="C3116">
        <v>74</v>
      </c>
      <c r="D3116" t="s">
        <v>7209</v>
      </c>
      <c r="E3116" t="s">
        <v>13968</v>
      </c>
      <c r="F3116" t="s">
        <v>13969</v>
      </c>
      <c r="G3116" t="s">
        <v>13970</v>
      </c>
      <c r="H3116" t="s">
        <v>13971</v>
      </c>
    </row>
    <row r="3117" spans="1:8">
      <c r="A3117" t="s">
        <v>250</v>
      </c>
      <c r="B3117" t="s">
        <v>229</v>
      </c>
      <c r="C3117">
        <v>74</v>
      </c>
      <c r="D3117" t="s">
        <v>13972</v>
      </c>
      <c r="E3117" t="s">
        <v>13894</v>
      </c>
      <c r="F3117" t="s">
        <v>13792</v>
      </c>
    </row>
    <row r="3118" spans="1:8">
      <c r="A3118" t="s">
        <v>248</v>
      </c>
      <c r="B3118" t="s">
        <v>229</v>
      </c>
      <c r="C3118">
        <v>74</v>
      </c>
      <c r="D3118" t="s">
        <v>13973</v>
      </c>
      <c r="E3118" t="s">
        <v>13974</v>
      </c>
      <c r="F3118" t="s">
        <v>13792</v>
      </c>
      <c r="G3118" t="s">
        <v>13975</v>
      </c>
      <c r="H3118" t="s">
        <v>13976</v>
      </c>
    </row>
    <row r="3119" spans="1:8">
      <c r="A3119" t="s">
        <v>250</v>
      </c>
      <c r="B3119" t="s">
        <v>229</v>
      </c>
      <c r="C3119">
        <v>74</v>
      </c>
      <c r="D3119" t="s">
        <v>13977</v>
      </c>
      <c r="E3119" t="s">
        <v>13978</v>
      </c>
      <c r="F3119" t="s">
        <v>13792</v>
      </c>
      <c r="G3119" t="s">
        <v>13779</v>
      </c>
      <c r="H3119" t="s">
        <v>13779</v>
      </c>
    </row>
    <row r="3120" spans="1:8">
      <c r="A3120" t="s">
        <v>249</v>
      </c>
      <c r="B3120" t="s">
        <v>229</v>
      </c>
      <c r="C3120">
        <v>74</v>
      </c>
      <c r="D3120" t="s">
        <v>13979</v>
      </c>
      <c r="E3120" t="s">
        <v>13980</v>
      </c>
      <c r="F3120" t="s">
        <v>13792</v>
      </c>
      <c r="G3120" t="s">
        <v>13981</v>
      </c>
      <c r="H3120" t="s">
        <v>13903</v>
      </c>
    </row>
    <row r="3121" spans="1:8">
      <c r="A3121" t="s">
        <v>250</v>
      </c>
      <c r="B3121" t="s">
        <v>229</v>
      </c>
      <c r="C3121">
        <v>74</v>
      </c>
      <c r="D3121" t="s">
        <v>13982</v>
      </c>
    </row>
    <row r="3122" spans="1:8">
      <c r="A3122" t="s">
        <v>241</v>
      </c>
      <c r="B3122" t="s">
        <v>229</v>
      </c>
      <c r="C3122">
        <v>74</v>
      </c>
      <c r="D3122" t="s">
        <v>2215</v>
      </c>
      <c r="E3122" t="s">
        <v>13983</v>
      </c>
      <c r="F3122" t="s">
        <v>13792</v>
      </c>
      <c r="H3122" t="s">
        <v>13984</v>
      </c>
    </row>
    <row r="3123" spans="1:8">
      <c r="A3123" t="s">
        <v>249</v>
      </c>
      <c r="B3123" t="s">
        <v>229</v>
      </c>
      <c r="C3123">
        <v>74</v>
      </c>
      <c r="D3123" t="s">
        <v>12502</v>
      </c>
      <c r="E3123" t="s">
        <v>13964</v>
      </c>
      <c r="F3123" t="s">
        <v>229</v>
      </c>
      <c r="G3123" t="s">
        <v>13965</v>
      </c>
      <c r="H3123" t="s">
        <v>13966</v>
      </c>
    </row>
    <row r="3124" spans="1:8">
      <c r="A3124" t="s">
        <v>252</v>
      </c>
      <c r="B3124" t="s">
        <v>229</v>
      </c>
      <c r="C3124">
        <v>74</v>
      </c>
      <c r="D3124" t="s">
        <v>13955</v>
      </c>
      <c r="E3124" t="s">
        <v>13985</v>
      </c>
      <c r="F3124" t="s">
        <v>13792</v>
      </c>
      <c r="G3124" t="s">
        <v>13958</v>
      </c>
      <c r="H3124" t="s">
        <v>13957</v>
      </c>
    </row>
    <row r="3125" spans="1:8">
      <c r="A3125" t="s">
        <v>241</v>
      </c>
      <c r="B3125" t="s">
        <v>229</v>
      </c>
      <c r="C3125">
        <v>74</v>
      </c>
      <c r="D3125" t="s">
        <v>13986</v>
      </c>
      <c r="E3125" t="s">
        <v>13987</v>
      </c>
      <c r="F3125" t="s">
        <v>13792</v>
      </c>
      <c r="G3125" t="s">
        <v>13988</v>
      </c>
      <c r="H3125" t="s">
        <v>13989</v>
      </c>
    </row>
    <row r="3126" spans="1:8">
      <c r="A3126" t="s">
        <v>240</v>
      </c>
      <c r="B3126" t="s">
        <v>229</v>
      </c>
      <c r="C3126">
        <v>74</v>
      </c>
      <c r="D3126" t="s">
        <v>2621</v>
      </c>
      <c r="E3126" t="s">
        <v>13990</v>
      </c>
      <c r="F3126" t="s">
        <v>13991</v>
      </c>
      <c r="G3126" t="s">
        <v>13992</v>
      </c>
      <c r="H3126" t="s">
        <v>13993</v>
      </c>
    </row>
    <row r="3127" spans="1:8">
      <c r="A3127" t="s">
        <v>241</v>
      </c>
      <c r="B3127" t="s">
        <v>192</v>
      </c>
      <c r="C3127">
        <v>74</v>
      </c>
      <c r="D3127" t="s">
        <v>14627</v>
      </c>
      <c r="E3127" t="s">
        <v>14628</v>
      </c>
      <c r="H3127" t="s">
        <v>14629</v>
      </c>
    </row>
    <row r="3128" spans="1:8">
      <c r="A3128" t="s">
        <v>245</v>
      </c>
      <c r="B3128" t="s">
        <v>192</v>
      </c>
      <c r="C3128">
        <v>74</v>
      </c>
      <c r="D3128" t="s">
        <v>2397</v>
      </c>
      <c r="E3128" t="s">
        <v>14630</v>
      </c>
      <c r="F3128" t="s">
        <v>192</v>
      </c>
      <c r="G3128" t="s">
        <v>14631</v>
      </c>
      <c r="H3128" t="s">
        <v>14632</v>
      </c>
    </row>
    <row r="3129" spans="1:8">
      <c r="A3129" t="s">
        <v>239</v>
      </c>
      <c r="B3129" t="s">
        <v>192</v>
      </c>
      <c r="C3129">
        <v>74</v>
      </c>
      <c r="D3129" t="s">
        <v>14633</v>
      </c>
      <c r="E3129" t="s">
        <v>14634</v>
      </c>
      <c r="F3129" t="s">
        <v>14635</v>
      </c>
      <c r="H3129" t="s">
        <v>14636</v>
      </c>
    </row>
    <row r="3130" spans="1:8">
      <c r="A3130" t="s">
        <v>241</v>
      </c>
      <c r="B3130" t="s">
        <v>192</v>
      </c>
      <c r="C3130">
        <v>74</v>
      </c>
      <c r="D3130" t="s">
        <v>14637</v>
      </c>
      <c r="E3130" t="s">
        <v>14638</v>
      </c>
      <c r="H3130" t="s">
        <v>14639</v>
      </c>
    </row>
    <row r="3131" spans="1:8">
      <c r="A3131" t="s">
        <v>241</v>
      </c>
      <c r="B3131" t="s">
        <v>192</v>
      </c>
      <c r="C3131">
        <v>74</v>
      </c>
      <c r="D3131" t="s">
        <v>14640</v>
      </c>
      <c r="E3131" t="s">
        <v>14641</v>
      </c>
      <c r="F3131" t="s">
        <v>192</v>
      </c>
      <c r="G3131" t="s">
        <v>14642</v>
      </c>
      <c r="H3131" t="s">
        <v>14643</v>
      </c>
    </row>
    <row r="3132" spans="1:8">
      <c r="A3132" t="s">
        <v>242</v>
      </c>
      <c r="B3132" t="s">
        <v>192</v>
      </c>
      <c r="C3132">
        <v>74</v>
      </c>
      <c r="D3132" t="s">
        <v>14644</v>
      </c>
      <c r="H3132" t="s">
        <v>14645</v>
      </c>
    </row>
    <row r="3133" spans="1:8">
      <c r="A3133" t="s">
        <v>239</v>
      </c>
      <c r="B3133" t="s">
        <v>3</v>
      </c>
      <c r="C3133">
        <v>75</v>
      </c>
      <c r="D3133" t="s">
        <v>259</v>
      </c>
      <c r="E3133" t="s">
        <v>260</v>
      </c>
      <c r="H3133" t="s">
        <v>261</v>
      </c>
    </row>
    <row r="3134" spans="1:8">
      <c r="A3134" t="s">
        <v>239</v>
      </c>
      <c r="B3134" t="s">
        <v>3</v>
      </c>
      <c r="C3134">
        <v>75</v>
      </c>
      <c r="D3134" t="s">
        <v>262</v>
      </c>
      <c r="E3134" t="s">
        <v>263</v>
      </c>
      <c r="H3134" t="s">
        <v>264</v>
      </c>
    </row>
    <row r="3135" spans="1:8">
      <c r="A3135" t="s">
        <v>244</v>
      </c>
      <c r="B3135" t="s">
        <v>3</v>
      </c>
      <c r="C3135">
        <v>75</v>
      </c>
      <c r="D3135" t="s">
        <v>265</v>
      </c>
      <c r="E3135" t="s">
        <v>266</v>
      </c>
      <c r="F3135" t="s">
        <v>267</v>
      </c>
      <c r="G3135" t="s">
        <v>268</v>
      </c>
      <c r="H3135" t="s">
        <v>269</v>
      </c>
    </row>
    <row r="3136" spans="1:8">
      <c r="A3136" t="s">
        <v>243</v>
      </c>
      <c r="B3136" t="s">
        <v>3</v>
      </c>
      <c r="C3136">
        <v>75</v>
      </c>
      <c r="D3136" t="s">
        <v>270</v>
      </c>
      <c r="E3136" t="s">
        <v>271</v>
      </c>
      <c r="F3136" t="s">
        <v>272</v>
      </c>
      <c r="G3136" t="s">
        <v>273</v>
      </c>
      <c r="H3136" t="s">
        <v>274</v>
      </c>
    </row>
    <row r="3137" spans="1:8">
      <c r="A3137" t="s">
        <v>239</v>
      </c>
      <c r="B3137" t="s">
        <v>3</v>
      </c>
      <c r="C3137">
        <v>75</v>
      </c>
      <c r="D3137" t="s">
        <v>275</v>
      </c>
      <c r="E3137" t="s">
        <v>276</v>
      </c>
    </row>
    <row r="3138" spans="1:8">
      <c r="A3138" t="s">
        <v>239</v>
      </c>
      <c r="B3138" t="s">
        <v>3</v>
      </c>
      <c r="C3138">
        <v>75</v>
      </c>
      <c r="D3138" t="s">
        <v>277</v>
      </c>
    </row>
    <row r="3139" spans="1:8">
      <c r="A3139" t="s">
        <v>239</v>
      </c>
      <c r="B3139" t="s">
        <v>3</v>
      </c>
      <c r="C3139">
        <v>75</v>
      </c>
      <c r="D3139" t="s">
        <v>278</v>
      </c>
      <c r="E3139" t="s">
        <v>279</v>
      </c>
      <c r="F3139" t="s">
        <v>3</v>
      </c>
      <c r="G3139" t="s">
        <v>280</v>
      </c>
      <c r="H3139" t="s">
        <v>281</v>
      </c>
    </row>
    <row r="3140" spans="1:8">
      <c r="A3140" t="s">
        <v>242</v>
      </c>
      <c r="B3140" t="s">
        <v>3</v>
      </c>
      <c r="C3140">
        <v>75</v>
      </c>
      <c r="D3140" t="s">
        <v>282</v>
      </c>
      <c r="E3140" t="s">
        <v>283</v>
      </c>
    </row>
    <row r="3141" spans="1:8">
      <c r="A3141" t="s">
        <v>239</v>
      </c>
      <c r="B3141" t="s">
        <v>3</v>
      </c>
      <c r="C3141">
        <v>75</v>
      </c>
      <c r="D3141" t="s">
        <v>284</v>
      </c>
      <c r="E3141" t="s">
        <v>285</v>
      </c>
      <c r="F3141" t="s">
        <v>3</v>
      </c>
    </row>
    <row r="3142" spans="1:8">
      <c r="A3142" t="s">
        <v>238</v>
      </c>
      <c r="B3142" t="s">
        <v>3</v>
      </c>
      <c r="C3142">
        <v>75</v>
      </c>
      <c r="D3142" t="s">
        <v>286</v>
      </c>
      <c r="E3142" t="s">
        <v>287</v>
      </c>
      <c r="F3142" t="s">
        <v>3</v>
      </c>
      <c r="G3142" t="s">
        <v>288</v>
      </c>
      <c r="H3142" t="s">
        <v>289</v>
      </c>
    </row>
    <row r="3143" spans="1:8">
      <c r="A3143" t="s">
        <v>240</v>
      </c>
      <c r="B3143" t="s">
        <v>3</v>
      </c>
      <c r="C3143">
        <v>75</v>
      </c>
      <c r="D3143" t="s">
        <v>290</v>
      </c>
      <c r="E3143" t="s">
        <v>291</v>
      </c>
      <c r="F3143" t="s">
        <v>3</v>
      </c>
      <c r="G3143" t="s">
        <v>292</v>
      </c>
      <c r="H3143" t="s">
        <v>293</v>
      </c>
    </row>
    <row r="3144" spans="1:8">
      <c r="A3144" t="s">
        <v>242</v>
      </c>
      <c r="B3144" t="s">
        <v>3</v>
      </c>
      <c r="C3144">
        <v>75</v>
      </c>
      <c r="D3144" t="s">
        <v>294</v>
      </c>
      <c r="E3144" t="s">
        <v>295</v>
      </c>
      <c r="F3144" t="s">
        <v>3</v>
      </c>
      <c r="H3144" t="s">
        <v>296</v>
      </c>
    </row>
    <row r="3145" spans="1:8">
      <c r="A3145" t="s">
        <v>242</v>
      </c>
      <c r="B3145" t="s">
        <v>3</v>
      </c>
      <c r="C3145">
        <v>75</v>
      </c>
      <c r="D3145" t="s">
        <v>297</v>
      </c>
      <c r="E3145" t="s">
        <v>298</v>
      </c>
      <c r="F3145" t="s">
        <v>299</v>
      </c>
      <c r="G3145" t="s">
        <v>300</v>
      </c>
      <c r="H3145" t="s">
        <v>301</v>
      </c>
    </row>
    <row r="3146" spans="1:8">
      <c r="A3146" t="s">
        <v>241</v>
      </c>
      <c r="B3146" t="s">
        <v>3</v>
      </c>
      <c r="C3146">
        <v>75</v>
      </c>
      <c r="D3146" t="s">
        <v>302</v>
      </c>
      <c r="E3146" t="s">
        <v>303</v>
      </c>
      <c r="F3146" t="s">
        <v>3</v>
      </c>
      <c r="G3146" t="s">
        <v>304</v>
      </c>
      <c r="H3146" t="s">
        <v>305</v>
      </c>
    </row>
    <row r="3147" spans="1:8">
      <c r="A3147" t="s">
        <v>241</v>
      </c>
      <c r="B3147" t="s">
        <v>3</v>
      </c>
      <c r="C3147">
        <v>75</v>
      </c>
      <c r="D3147" t="s">
        <v>306</v>
      </c>
      <c r="E3147" t="s">
        <v>307</v>
      </c>
      <c r="F3147" t="s">
        <v>3</v>
      </c>
      <c r="H3147" t="s">
        <v>308</v>
      </c>
    </row>
    <row r="3148" spans="1:8">
      <c r="A3148" t="s">
        <v>240</v>
      </c>
      <c r="B3148" t="s">
        <v>3</v>
      </c>
      <c r="C3148">
        <v>75</v>
      </c>
      <c r="D3148" t="s">
        <v>309</v>
      </c>
      <c r="E3148" t="s">
        <v>310</v>
      </c>
      <c r="F3148" t="s">
        <v>3</v>
      </c>
      <c r="G3148" t="s">
        <v>311</v>
      </c>
      <c r="H3148" t="s">
        <v>312</v>
      </c>
    </row>
    <row r="3149" spans="1:8">
      <c r="A3149" t="s">
        <v>240</v>
      </c>
      <c r="B3149" t="s">
        <v>3</v>
      </c>
      <c r="C3149">
        <v>75</v>
      </c>
      <c r="D3149" t="s">
        <v>313</v>
      </c>
      <c r="E3149" t="s">
        <v>314</v>
      </c>
      <c r="F3149" t="s">
        <v>3</v>
      </c>
      <c r="G3149" t="s">
        <v>315</v>
      </c>
      <c r="H3149" t="s">
        <v>316</v>
      </c>
    </row>
    <row r="3150" spans="1:8">
      <c r="A3150" t="s">
        <v>242</v>
      </c>
      <c r="B3150" t="s">
        <v>3</v>
      </c>
      <c r="C3150">
        <v>75</v>
      </c>
      <c r="D3150" t="s">
        <v>317</v>
      </c>
      <c r="E3150" t="s">
        <v>307</v>
      </c>
      <c r="F3150" t="s">
        <v>3</v>
      </c>
    </row>
    <row r="3151" spans="1:8">
      <c r="A3151" t="s">
        <v>241</v>
      </c>
      <c r="B3151" t="s">
        <v>3</v>
      </c>
      <c r="C3151">
        <v>75</v>
      </c>
      <c r="D3151" t="s">
        <v>318</v>
      </c>
      <c r="E3151" t="s">
        <v>319</v>
      </c>
      <c r="F3151" t="s">
        <v>320</v>
      </c>
      <c r="G3151" t="s">
        <v>321</v>
      </c>
      <c r="H3151" t="s">
        <v>322</v>
      </c>
    </row>
    <row r="3152" spans="1:8">
      <c r="A3152" t="s">
        <v>239</v>
      </c>
      <c r="B3152" t="s">
        <v>3</v>
      </c>
      <c r="C3152">
        <v>75</v>
      </c>
      <c r="D3152" t="s">
        <v>323</v>
      </c>
      <c r="E3152" t="s">
        <v>324</v>
      </c>
      <c r="F3152" t="s">
        <v>3</v>
      </c>
      <c r="H3152" t="s">
        <v>325</v>
      </c>
    </row>
    <row r="3153" spans="1:8">
      <c r="A3153" t="s">
        <v>240</v>
      </c>
      <c r="B3153" t="s">
        <v>3</v>
      </c>
      <c r="C3153">
        <v>75</v>
      </c>
      <c r="D3153" t="s">
        <v>326</v>
      </c>
      <c r="E3153" t="s">
        <v>327</v>
      </c>
      <c r="F3153" t="s">
        <v>3</v>
      </c>
      <c r="H3153" t="s">
        <v>328</v>
      </c>
    </row>
    <row r="3154" spans="1:8">
      <c r="A3154" t="s">
        <v>240</v>
      </c>
      <c r="B3154" t="s">
        <v>3</v>
      </c>
      <c r="C3154">
        <v>75</v>
      </c>
      <c r="D3154" t="s">
        <v>329</v>
      </c>
      <c r="E3154" t="s">
        <v>330</v>
      </c>
      <c r="F3154" t="s">
        <v>3</v>
      </c>
    </row>
    <row r="3155" spans="1:8">
      <c r="A3155" t="s">
        <v>239</v>
      </c>
      <c r="B3155" t="s">
        <v>3</v>
      </c>
      <c r="C3155">
        <v>75</v>
      </c>
      <c r="D3155" t="s">
        <v>331</v>
      </c>
      <c r="E3155" t="s">
        <v>332</v>
      </c>
      <c r="F3155" t="s">
        <v>3</v>
      </c>
      <c r="H3155" t="s">
        <v>333</v>
      </c>
    </row>
    <row r="3156" spans="1:8">
      <c r="A3156" t="s">
        <v>240</v>
      </c>
      <c r="B3156" t="s">
        <v>3</v>
      </c>
      <c r="C3156">
        <v>75</v>
      </c>
      <c r="D3156" t="s">
        <v>334</v>
      </c>
      <c r="E3156" t="s">
        <v>335</v>
      </c>
      <c r="F3156" t="s">
        <v>3</v>
      </c>
    </row>
    <row r="3157" spans="1:8">
      <c r="A3157" t="s">
        <v>239</v>
      </c>
      <c r="B3157" t="s">
        <v>3</v>
      </c>
      <c r="C3157">
        <v>75</v>
      </c>
      <c r="D3157" t="s">
        <v>336</v>
      </c>
      <c r="E3157" t="s">
        <v>337</v>
      </c>
      <c r="F3157" t="s">
        <v>3</v>
      </c>
      <c r="H3157" t="s">
        <v>338</v>
      </c>
    </row>
    <row r="3158" spans="1:8">
      <c r="A3158" t="s">
        <v>244</v>
      </c>
      <c r="B3158" t="s">
        <v>198</v>
      </c>
      <c r="C3158">
        <v>75</v>
      </c>
      <c r="D3158" t="s">
        <v>1282</v>
      </c>
    </row>
    <row r="3159" spans="1:8">
      <c r="A3159" t="s">
        <v>241</v>
      </c>
      <c r="B3159" t="s">
        <v>198</v>
      </c>
      <c r="C3159">
        <v>75</v>
      </c>
      <c r="D3159" t="s">
        <v>2309</v>
      </c>
      <c r="E3159" t="s">
        <v>2310</v>
      </c>
      <c r="F3159" t="s">
        <v>198</v>
      </c>
      <c r="H3159" t="s">
        <v>2311</v>
      </c>
    </row>
    <row r="3160" spans="1:8">
      <c r="A3160" t="s">
        <v>241</v>
      </c>
      <c r="B3160" t="s">
        <v>198</v>
      </c>
      <c r="C3160">
        <v>75</v>
      </c>
      <c r="D3160" t="s">
        <v>2312</v>
      </c>
      <c r="E3160" t="s">
        <v>2313</v>
      </c>
      <c r="F3160" t="s">
        <v>198</v>
      </c>
    </row>
    <row r="3161" spans="1:8">
      <c r="A3161" t="s">
        <v>243</v>
      </c>
      <c r="B3161" t="s">
        <v>198</v>
      </c>
      <c r="C3161">
        <v>75</v>
      </c>
      <c r="D3161" t="s">
        <v>2314</v>
      </c>
      <c r="E3161" t="s">
        <v>2315</v>
      </c>
      <c r="F3161" t="s">
        <v>198</v>
      </c>
    </row>
    <row r="3162" spans="1:8">
      <c r="A3162" t="s">
        <v>242</v>
      </c>
      <c r="B3162" t="s">
        <v>198</v>
      </c>
      <c r="C3162">
        <v>75</v>
      </c>
      <c r="D3162" t="s">
        <v>2316</v>
      </c>
      <c r="E3162" t="s">
        <v>2317</v>
      </c>
      <c r="H3162" t="s">
        <v>2318</v>
      </c>
    </row>
    <row r="3163" spans="1:8">
      <c r="A3163" t="s">
        <v>246</v>
      </c>
      <c r="B3163" t="s">
        <v>198</v>
      </c>
      <c r="C3163">
        <v>75</v>
      </c>
      <c r="D3163" t="s">
        <v>2319</v>
      </c>
      <c r="E3163" t="s">
        <v>2320</v>
      </c>
      <c r="F3163" t="s">
        <v>198</v>
      </c>
      <c r="H3163" t="s">
        <v>2321</v>
      </c>
    </row>
    <row r="3164" spans="1:8">
      <c r="A3164" t="s">
        <v>241</v>
      </c>
      <c r="B3164" t="s">
        <v>73</v>
      </c>
      <c r="C3164">
        <v>75</v>
      </c>
      <c r="D3164" t="s">
        <v>4270</v>
      </c>
      <c r="E3164" t="s">
        <v>4271</v>
      </c>
      <c r="F3164" t="s">
        <v>73</v>
      </c>
      <c r="G3164" t="s">
        <v>4272</v>
      </c>
      <c r="H3164" t="s">
        <v>4273</v>
      </c>
    </row>
    <row r="3165" spans="1:8">
      <c r="A3165" t="s">
        <v>244</v>
      </c>
      <c r="B3165" t="s">
        <v>73</v>
      </c>
      <c r="C3165">
        <v>75</v>
      </c>
      <c r="D3165" t="s">
        <v>4274</v>
      </c>
      <c r="E3165" t="s">
        <v>4275</v>
      </c>
      <c r="F3165" t="s">
        <v>73</v>
      </c>
    </row>
    <row r="3166" spans="1:8">
      <c r="A3166" t="s">
        <v>241</v>
      </c>
      <c r="B3166" t="s">
        <v>73</v>
      </c>
      <c r="C3166">
        <v>75</v>
      </c>
      <c r="D3166" t="s">
        <v>4276</v>
      </c>
      <c r="E3166" t="s">
        <v>4277</v>
      </c>
      <c r="F3166" t="s">
        <v>73</v>
      </c>
      <c r="G3166" t="s">
        <v>4278</v>
      </c>
      <c r="H3166" t="s">
        <v>4279</v>
      </c>
    </row>
    <row r="3167" spans="1:8">
      <c r="A3167" t="s">
        <v>241</v>
      </c>
      <c r="B3167" t="s">
        <v>73</v>
      </c>
      <c r="C3167">
        <v>75</v>
      </c>
      <c r="D3167" t="s">
        <v>4280</v>
      </c>
      <c r="E3167" t="s">
        <v>4281</v>
      </c>
      <c r="F3167" t="s">
        <v>73</v>
      </c>
      <c r="G3167" t="s">
        <v>4282</v>
      </c>
      <c r="H3167" t="s">
        <v>4283</v>
      </c>
    </row>
    <row r="3168" spans="1:8">
      <c r="A3168" t="s">
        <v>241</v>
      </c>
      <c r="B3168" t="s">
        <v>73</v>
      </c>
      <c r="C3168">
        <v>75</v>
      </c>
      <c r="D3168" t="s">
        <v>4284</v>
      </c>
      <c r="E3168" t="s">
        <v>4285</v>
      </c>
      <c r="F3168" t="s">
        <v>73</v>
      </c>
      <c r="H3168" t="s">
        <v>4286</v>
      </c>
    </row>
    <row r="3169" spans="1:8">
      <c r="A3169" t="s">
        <v>239</v>
      </c>
      <c r="B3169" t="s">
        <v>73</v>
      </c>
      <c r="C3169">
        <v>75</v>
      </c>
      <c r="D3169" t="s">
        <v>4287</v>
      </c>
      <c r="E3169" t="s">
        <v>4288</v>
      </c>
      <c r="H3169" t="s">
        <v>4289</v>
      </c>
    </row>
    <row r="3170" spans="1:8">
      <c r="A3170" t="s">
        <v>240</v>
      </c>
      <c r="B3170" t="s">
        <v>73</v>
      </c>
      <c r="C3170">
        <v>75</v>
      </c>
      <c r="D3170" t="s">
        <v>4290</v>
      </c>
      <c r="E3170" t="s">
        <v>4291</v>
      </c>
      <c r="F3170" t="s">
        <v>73</v>
      </c>
      <c r="G3170" t="s">
        <v>4292</v>
      </c>
      <c r="H3170" t="s">
        <v>4293</v>
      </c>
    </row>
    <row r="3171" spans="1:8">
      <c r="A3171" t="s">
        <v>241</v>
      </c>
      <c r="B3171" t="s">
        <v>73</v>
      </c>
      <c r="C3171">
        <v>75</v>
      </c>
      <c r="D3171" t="s">
        <v>4294</v>
      </c>
      <c r="E3171" t="s">
        <v>4295</v>
      </c>
      <c r="F3171" t="s">
        <v>73</v>
      </c>
    </row>
    <row r="3172" spans="1:8">
      <c r="A3172" t="s">
        <v>239</v>
      </c>
      <c r="B3172" t="s">
        <v>73</v>
      </c>
      <c r="C3172">
        <v>75</v>
      </c>
      <c r="D3172" t="s">
        <v>4296</v>
      </c>
      <c r="E3172" t="s">
        <v>4297</v>
      </c>
      <c r="F3172" t="s">
        <v>73</v>
      </c>
      <c r="H3172" t="s">
        <v>4298</v>
      </c>
    </row>
    <row r="3173" spans="1:8">
      <c r="A3173" t="s">
        <v>238</v>
      </c>
      <c r="B3173" t="s">
        <v>73</v>
      </c>
      <c r="C3173">
        <v>75</v>
      </c>
      <c r="D3173" t="s">
        <v>4299</v>
      </c>
      <c r="F3173" t="s">
        <v>4300</v>
      </c>
    </row>
    <row r="3174" spans="1:8">
      <c r="A3174" t="s">
        <v>241</v>
      </c>
      <c r="B3174" t="s">
        <v>73</v>
      </c>
      <c r="C3174">
        <v>75</v>
      </c>
      <c r="D3174" t="s">
        <v>4301</v>
      </c>
      <c r="E3174" t="s">
        <v>4302</v>
      </c>
      <c r="F3174" t="s">
        <v>73</v>
      </c>
      <c r="G3174" t="s">
        <v>4303</v>
      </c>
      <c r="H3174" t="s">
        <v>4304</v>
      </c>
    </row>
    <row r="3175" spans="1:8">
      <c r="A3175" t="s">
        <v>241</v>
      </c>
      <c r="B3175" t="s">
        <v>73</v>
      </c>
      <c r="C3175">
        <v>75</v>
      </c>
      <c r="D3175" t="s">
        <v>4305</v>
      </c>
      <c r="E3175" t="s">
        <v>4306</v>
      </c>
      <c r="F3175" t="s">
        <v>73</v>
      </c>
      <c r="H3175" t="s">
        <v>4307</v>
      </c>
    </row>
    <row r="3176" spans="1:8">
      <c r="A3176" t="s">
        <v>249</v>
      </c>
      <c r="B3176" t="s">
        <v>73</v>
      </c>
      <c r="C3176">
        <v>75</v>
      </c>
      <c r="D3176" t="s">
        <v>4308</v>
      </c>
      <c r="E3176" t="s">
        <v>4309</v>
      </c>
      <c r="F3176" t="s">
        <v>73</v>
      </c>
      <c r="G3176" t="s">
        <v>4310</v>
      </c>
      <c r="H3176" t="s">
        <v>4311</v>
      </c>
    </row>
    <row r="3177" spans="1:8">
      <c r="A3177" t="s">
        <v>240</v>
      </c>
      <c r="B3177" t="s">
        <v>73</v>
      </c>
      <c r="C3177">
        <v>75</v>
      </c>
      <c r="D3177" t="s">
        <v>4312</v>
      </c>
      <c r="E3177" t="s">
        <v>4313</v>
      </c>
      <c r="F3177" t="s">
        <v>73</v>
      </c>
      <c r="G3177" t="s">
        <v>4314</v>
      </c>
      <c r="H3177" t="s">
        <v>4315</v>
      </c>
    </row>
    <row r="3178" spans="1:8">
      <c r="A3178" t="s">
        <v>241</v>
      </c>
      <c r="B3178" t="s">
        <v>73</v>
      </c>
      <c r="C3178">
        <v>75</v>
      </c>
      <c r="D3178" t="s">
        <v>4316</v>
      </c>
      <c r="E3178" t="s">
        <v>4317</v>
      </c>
      <c r="F3178" t="s">
        <v>73</v>
      </c>
      <c r="H3178" t="s">
        <v>4318</v>
      </c>
    </row>
    <row r="3179" spans="1:8">
      <c r="A3179" t="s">
        <v>238</v>
      </c>
      <c r="B3179" t="s">
        <v>73</v>
      </c>
      <c r="C3179">
        <v>75</v>
      </c>
      <c r="D3179" t="s">
        <v>4319</v>
      </c>
      <c r="E3179" t="s">
        <v>4320</v>
      </c>
      <c r="G3179" t="s">
        <v>4321</v>
      </c>
      <c r="H3179" t="s">
        <v>4322</v>
      </c>
    </row>
    <row r="3180" spans="1:8">
      <c r="A3180" t="s">
        <v>242</v>
      </c>
      <c r="B3180" t="s">
        <v>73</v>
      </c>
      <c r="C3180">
        <v>75</v>
      </c>
      <c r="D3180" t="s">
        <v>4323</v>
      </c>
      <c r="E3180" t="s">
        <v>4324</v>
      </c>
      <c r="F3180" t="s">
        <v>73</v>
      </c>
      <c r="G3180" t="s">
        <v>4325</v>
      </c>
      <c r="H3180" t="s">
        <v>4326</v>
      </c>
    </row>
    <row r="3181" spans="1:8">
      <c r="A3181" t="s">
        <v>241</v>
      </c>
      <c r="B3181" t="s">
        <v>73</v>
      </c>
      <c r="C3181">
        <v>75</v>
      </c>
      <c r="D3181" t="s">
        <v>4327</v>
      </c>
      <c r="E3181" t="s">
        <v>4328</v>
      </c>
      <c r="F3181" t="s">
        <v>73</v>
      </c>
      <c r="G3181" t="s">
        <v>4329</v>
      </c>
      <c r="H3181" t="s">
        <v>4330</v>
      </c>
    </row>
    <row r="3182" spans="1:8">
      <c r="A3182" t="s">
        <v>241</v>
      </c>
      <c r="B3182" t="s">
        <v>73</v>
      </c>
      <c r="C3182">
        <v>75</v>
      </c>
      <c r="D3182" t="s">
        <v>4331</v>
      </c>
      <c r="E3182" t="s">
        <v>4332</v>
      </c>
      <c r="F3182" t="s">
        <v>73</v>
      </c>
      <c r="G3182" t="s">
        <v>4333</v>
      </c>
      <c r="H3182" t="s">
        <v>4334</v>
      </c>
    </row>
    <row r="3183" spans="1:8">
      <c r="A3183" t="s">
        <v>239</v>
      </c>
      <c r="B3183" t="s">
        <v>73</v>
      </c>
      <c r="C3183">
        <v>75</v>
      </c>
      <c r="D3183" t="s">
        <v>4335</v>
      </c>
      <c r="E3183" t="s">
        <v>4336</v>
      </c>
      <c r="F3183" t="s">
        <v>73</v>
      </c>
      <c r="H3183" t="s">
        <v>4337</v>
      </c>
    </row>
    <row r="3184" spans="1:8">
      <c r="A3184" t="s">
        <v>239</v>
      </c>
      <c r="B3184" t="s">
        <v>73</v>
      </c>
      <c r="C3184">
        <v>75</v>
      </c>
      <c r="D3184" t="s">
        <v>4294</v>
      </c>
      <c r="E3184" t="s">
        <v>4338</v>
      </c>
      <c r="F3184" t="s">
        <v>73</v>
      </c>
      <c r="G3184" t="s">
        <v>4339</v>
      </c>
      <c r="H3184" t="s">
        <v>4340</v>
      </c>
    </row>
    <row r="3185" spans="1:8">
      <c r="A3185" t="s">
        <v>239</v>
      </c>
      <c r="B3185" t="s">
        <v>73</v>
      </c>
      <c r="C3185">
        <v>75</v>
      </c>
      <c r="D3185" t="s">
        <v>4341</v>
      </c>
      <c r="E3185" t="s">
        <v>4342</v>
      </c>
      <c r="F3185" t="s">
        <v>4343</v>
      </c>
      <c r="H3185" t="s">
        <v>4344</v>
      </c>
    </row>
    <row r="3186" spans="1:8">
      <c r="A3186" t="s">
        <v>242</v>
      </c>
      <c r="B3186" t="s">
        <v>73</v>
      </c>
      <c r="C3186">
        <v>75</v>
      </c>
      <c r="D3186" t="s">
        <v>4345</v>
      </c>
      <c r="E3186" t="s">
        <v>4346</v>
      </c>
      <c r="H3186" t="s">
        <v>4347</v>
      </c>
    </row>
    <row r="3187" spans="1:8">
      <c r="A3187" t="s">
        <v>242</v>
      </c>
      <c r="B3187" t="s">
        <v>73</v>
      </c>
      <c r="C3187">
        <v>75</v>
      </c>
      <c r="D3187" t="s">
        <v>4348</v>
      </c>
      <c r="E3187" t="s">
        <v>4349</v>
      </c>
      <c r="F3187" t="s">
        <v>73</v>
      </c>
      <c r="G3187" t="s">
        <v>4350</v>
      </c>
      <c r="H3187" t="s">
        <v>4351</v>
      </c>
    </row>
    <row r="3188" spans="1:8">
      <c r="A3188" t="s">
        <v>241</v>
      </c>
      <c r="B3188" t="s">
        <v>73</v>
      </c>
      <c r="C3188">
        <v>75</v>
      </c>
      <c r="D3188" t="s">
        <v>4352</v>
      </c>
      <c r="E3188" t="s">
        <v>4353</v>
      </c>
      <c r="F3188" t="s">
        <v>73</v>
      </c>
      <c r="G3188" t="s">
        <v>4354</v>
      </c>
      <c r="H3188" t="s">
        <v>4355</v>
      </c>
    </row>
    <row r="3189" spans="1:8">
      <c r="A3189" t="s">
        <v>239</v>
      </c>
      <c r="B3189" t="s">
        <v>73</v>
      </c>
      <c r="C3189">
        <v>75</v>
      </c>
      <c r="D3189" t="s">
        <v>4356</v>
      </c>
      <c r="E3189" t="s">
        <v>4357</v>
      </c>
    </row>
    <row r="3190" spans="1:8">
      <c r="A3190" t="s">
        <v>239</v>
      </c>
      <c r="B3190" t="s">
        <v>73</v>
      </c>
      <c r="C3190">
        <v>75</v>
      </c>
      <c r="D3190" t="s">
        <v>4358</v>
      </c>
      <c r="E3190" t="s">
        <v>4359</v>
      </c>
    </row>
    <row r="3191" spans="1:8">
      <c r="A3191" t="s">
        <v>239</v>
      </c>
      <c r="B3191" t="s">
        <v>73</v>
      </c>
      <c r="C3191">
        <v>75</v>
      </c>
      <c r="D3191" t="s">
        <v>4360</v>
      </c>
      <c r="E3191" t="s">
        <v>4361</v>
      </c>
      <c r="H3191" t="s">
        <v>4362</v>
      </c>
    </row>
    <row r="3192" spans="1:8">
      <c r="A3192" t="s">
        <v>239</v>
      </c>
      <c r="B3192" t="s">
        <v>73</v>
      </c>
      <c r="C3192">
        <v>75</v>
      </c>
      <c r="D3192" t="s">
        <v>4363</v>
      </c>
      <c r="E3192" t="s">
        <v>4364</v>
      </c>
      <c r="H3192" t="s">
        <v>4365</v>
      </c>
    </row>
    <row r="3193" spans="1:8">
      <c r="A3193" t="s">
        <v>242</v>
      </c>
      <c r="B3193" t="s">
        <v>73</v>
      </c>
      <c r="C3193">
        <v>75</v>
      </c>
      <c r="D3193" t="s">
        <v>4366</v>
      </c>
      <c r="E3193" t="s">
        <v>4367</v>
      </c>
      <c r="H3193" t="s">
        <v>4368</v>
      </c>
    </row>
    <row r="3194" spans="1:8">
      <c r="A3194" t="s">
        <v>243</v>
      </c>
      <c r="B3194" t="s">
        <v>73</v>
      </c>
      <c r="C3194">
        <v>75</v>
      </c>
      <c r="D3194" t="s">
        <v>4369</v>
      </c>
      <c r="E3194" t="s">
        <v>4271</v>
      </c>
      <c r="F3194" t="s">
        <v>73</v>
      </c>
      <c r="G3194" t="s">
        <v>4272</v>
      </c>
      <c r="H3194" t="s">
        <v>4273</v>
      </c>
    </row>
    <row r="3195" spans="1:8">
      <c r="A3195" t="s">
        <v>241</v>
      </c>
      <c r="B3195" t="s">
        <v>73</v>
      </c>
      <c r="C3195">
        <v>75</v>
      </c>
      <c r="D3195" t="s">
        <v>4370</v>
      </c>
      <c r="E3195" t="s">
        <v>4371</v>
      </c>
      <c r="G3195" t="s">
        <v>4310</v>
      </c>
      <c r="H3195" t="s">
        <v>4372</v>
      </c>
    </row>
    <row r="3196" spans="1:8">
      <c r="A3196" t="s">
        <v>238</v>
      </c>
      <c r="B3196" t="s">
        <v>73</v>
      </c>
      <c r="C3196">
        <v>75</v>
      </c>
      <c r="D3196" t="s">
        <v>4373</v>
      </c>
      <c r="E3196" t="s">
        <v>4374</v>
      </c>
      <c r="F3196" t="s">
        <v>73</v>
      </c>
      <c r="G3196" t="s">
        <v>4375</v>
      </c>
      <c r="H3196" t="s">
        <v>4376</v>
      </c>
    </row>
    <row r="3197" spans="1:8">
      <c r="A3197" t="s">
        <v>239</v>
      </c>
      <c r="B3197" t="s">
        <v>73</v>
      </c>
      <c r="C3197">
        <v>75</v>
      </c>
      <c r="D3197" t="s">
        <v>4377</v>
      </c>
      <c r="E3197" t="s">
        <v>4378</v>
      </c>
      <c r="H3197" t="s">
        <v>4379</v>
      </c>
    </row>
    <row r="3198" spans="1:8">
      <c r="A3198" t="s">
        <v>240</v>
      </c>
      <c r="B3198" t="s">
        <v>73</v>
      </c>
      <c r="C3198">
        <v>75</v>
      </c>
      <c r="D3198" t="s">
        <v>4380</v>
      </c>
      <c r="E3198" t="s">
        <v>4381</v>
      </c>
      <c r="F3198" t="s">
        <v>73</v>
      </c>
      <c r="G3198" t="s">
        <v>4382</v>
      </c>
      <c r="H3198" t="s">
        <v>4383</v>
      </c>
    </row>
    <row r="3199" spans="1:8">
      <c r="A3199" t="s">
        <v>242</v>
      </c>
      <c r="B3199" t="s">
        <v>18</v>
      </c>
      <c r="C3199">
        <v>75</v>
      </c>
      <c r="D3199" t="s">
        <v>6970</v>
      </c>
      <c r="E3199" t="s">
        <v>6971</v>
      </c>
      <c r="F3199" t="s">
        <v>18</v>
      </c>
      <c r="H3199" t="s">
        <v>6972</v>
      </c>
    </row>
    <row r="3200" spans="1:8">
      <c r="A3200" t="s">
        <v>243</v>
      </c>
      <c r="B3200" t="s">
        <v>18</v>
      </c>
      <c r="C3200">
        <v>75</v>
      </c>
      <c r="D3200" t="s">
        <v>6973</v>
      </c>
      <c r="F3200" t="s">
        <v>6974</v>
      </c>
      <c r="G3200" t="s">
        <v>6975</v>
      </c>
      <c r="H3200" t="s">
        <v>6976</v>
      </c>
    </row>
    <row r="3201" spans="1:8">
      <c r="A3201" t="s">
        <v>241</v>
      </c>
      <c r="B3201" t="s">
        <v>18</v>
      </c>
      <c r="C3201">
        <v>75</v>
      </c>
      <c r="D3201" t="s">
        <v>6977</v>
      </c>
      <c r="E3201" t="s">
        <v>6978</v>
      </c>
      <c r="F3201" t="s">
        <v>18</v>
      </c>
      <c r="G3201" t="s">
        <v>6979</v>
      </c>
      <c r="H3201" t="s">
        <v>6980</v>
      </c>
    </row>
    <row r="3202" spans="1:8">
      <c r="A3202" t="s">
        <v>241</v>
      </c>
      <c r="B3202" t="s">
        <v>18</v>
      </c>
      <c r="C3202">
        <v>75</v>
      </c>
      <c r="D3202" t="s">
        <v>6981</v>
      </c>
      <c r="E3202" t="s">
        <v>6982</v>
      </c>
      <c r="F3202" t="s">
        <v>6983</v>
      </c>
      <c r="H3202" t="s">
        <v>6984</v>
      </c>
    </row>
    <row r="3203" spans="1:8">
      <c r="A3203" t="s">
        <v>243</v>
      </c>
      <c r="B3203" t="s">
        <v>18</v>
      </c>
      <c r="C3203">
        <v>75</v>
      </c>
      <c r="D3203" t="s">
        <v>6985</v>
      </c>
      <c r="E3203" t="s">
        <v>6986</v>
      </c>
      <c r="F3203" t="s">
        <v>87</v>
      </c>
      <c r="G3203" t="s">
        <v>6987</v>
      </c>
      <c r="H3203" t="s">
        <v>6988</v>
      </c>
    </row>
    <row r="3204" spans="1:8">
      <c r="A3204" t="s">
        <v>244</v>
      </c>
      <c r="B3204" t="s">
        <v>18</v>
      </c>
      <c r="C3204">
        <v>75</v>
      </c>
      <c r="D3204" t="s">
        <v>6989</v>
      </c>
      <c r="E3204" t="s">
        <v>6990</v>
      </c>
      <c r="G3204" t="s">
        <v>6991</v>
      </c>
      <c r="H3204" t="s">
        <v>6992</v>
      </c>
    </row>
    <row r="3205" spans="1:8">
      <c r="A3205" t="s">
        <v>240</v>
      </c>
      <c r="B3205" t="s">
        <v>18</v>
      </c>
      <c r="C3205">
        <v>75</v>
      </c>
      <c r="D3205" t="s">
        <v>6993</v>
      </c>
      <c r="E3205" t="s">
        <v>6994</v>
      </c>
      <c r="F3205" t="s">
        <v>18</v>
      </c>
      <c r="H3205" t="s">
        <v>6995</v>
      </c>
    </row>
    <row r="3206" spans="1:8">
      <c r="A3206" t="s">
        <v>243</v>
      </c>
      <c r="B3206" t="s">
        <v>18</v>
      </c>
      <c r="C3206">
        <v>75</v>
      </c>
      <c r="D3206" t="s">
        <v>6996</v>
      </c>
      <c r="E3206" t="s">
        <v>6997</v>
      </c>
      <c r="F3206" t="s">
        <v>18</v>
      </c>
      <c r="G3206" t="s">
        <v>6998</v>
      </c>
      <c r="H3206" t="s">
        <v>6999</v>
      </c>
    </row>
    <row r="3207" spans="1:8">
      <c r="A3207" t="s">
        <v>242</v>
      </c>
      <c r="B3207" t="s">
        <v>18</v>
      </c>
      <c r="C3207">
        <v>75</v>
      </c>
      <c r="D3207" t="s">
        <v>3369</v>
      </c>
      <c r="E3207" t="s">
        <v>7000</v>
      </c>
      <c r="F3207" t="s">
        <v>62</v>
      </c>
    </row>
    <row r="3208" spans="1:8">
      <c r="A3208" t="s">
        <v>241</v>
      </c>
      <c r="B3208" t="s">
        <v>18</v>
      </c>
      <c r="C3208">
        <v>75</v>
      </c>
      <c r="D3208" t="s">
        <v>7001</v>
      </c>
      <c r="E3208" t="s">
        <v>7002</v>
      </c>
      <c r="F3208" t="s">
        <v>18</v>
      </c>
      <c r="H3208" t="s">
        <v>7003</v>
      </c>
    </row>
    <row r="3209" spans="1:8">
      <c r="A3209" t="s">
        <v>247</v>
      </c>
      <c r="B3209" t="s">
        <v>18</v>
      </c>
      <c r="C3209">
        <v>75</v>
      </c>
      <c r="D3209" t="s">
        <v>7004</v>
      </c>
      <c r="F3209" t="s">
        <v>7005</v>
      </c>
      <c r="H3209" t="s">
        <v>7006</v>
      </c>
    </row>
    <row r="3210" spans="1:8">
      <c r="A3210" t="s">
        <v>241</v>
      </c>
      <c r="B3210" t="s">
        <v>18</v>
      </c>
      <c r="C3210">
        <v>75</v>
      </c>
      <c r="D3210" t="s">
        <v>7007</v>
      </c>
      <c r="E3210" t="s">
        <v>7008</v>
      </c>
      <c r="F3210" t="s">
        <v>18</v>
      </c>
      <c r="G3210" t="s">
        <v>7009</v>
      </c>
      <c r="H3210" t="s">
        <v>7010</v>
      </c>
    </row>
    <row r="3211" spans="1:8">
      <c r="A3211" t="s">
        <v>243</v>
      </c>
      <c r="B3211" t="s">
        <v>18</v>
      </c>
      <c r="C3211">
        <v>75</v>
      </c>
      <c r="D3211" t="s">
        <v>7011</v>
      </c>
      <c r="E3211" t="s">
        <v>7012</v>
      </c>
      <c r="F3211" t="s">
        <v>18</v>
      </c>
    </row>
    <row r="3212" spans="1:8">
      <c r="A3212" t="s">
        <v>241</v>
      </c>
      <c r="B3212" t="s">
        <v>99</v>
      </c>
      <c r="C3212">
        <v>75</v>
      </c>
      <c r="D3212" t="s">
        <v>16172</v>
      </c>
      <c r="E3212" t="s">
        <v>16173</v>
      </c>
      <c r="F3212" t="s">
        <v>99</v>
      </c>
      <c r="G3212" t="s">
        <v>16174</v>
      </c>
      <c r="H3212" t="s">
        <v>16175</v>
      </c>
    </row>
    <row r="3213" spans="1:8">
      <c r="A3213" t="s">
        <v>241</v>
      </c>
      <c r="B3213" t="s">
        <v>99</v>
      </c>
      <c r="C3213">
        <v>75</v>
      </c>
      <c r="D3213" t="s">
        <v>16176</v>
      </c>
      <c r="E3213" t="s">
        <v>16177</v>
      </c>
      <c r="F3213" t="s">
        <v>99</v>
      </c>
      <c r="H3213" t="s">
        <v>16178</v>
      </c>
    </row>
    <row r="3214" spans="1:8">
      <c r="A3214" t="s">
        <v>241</v>
      </c>
      <c r="B3214" t="s">
        <v>99</v>
      </c>
      <c r="C3214">
        <v>75</v>
      </c>
      <c r="D3214" t="s">
        <v>16179</v>
      </c>
      <c r="E3214" t="s">
        <v>16180</v>
      </c>
      <c r="F3214" t="s">
        <v>99</v>
      </c>
      <c r="H3214" t="s">
        <v>16178</v>
      </c>
    </row>
    <row r="3215" spans="1:8">
      <c r="A3215" t="s">
        <v>243</v>
      </c>
      <c r="B3215" t="s">
        <v>99</v>
      </c>
      <c r="C3215">
        <v>75</v>
      </c>
      <c r="D3215" t="s">
        <v>2130</v>
      </c>
      <c r="E3215" t="s">
        <v>16181</v>
      </c>
      <c r="F3215" t="s">
        <v>99</v>
      </c>
      <c r="H3215" t="s">
        <v>8257</v>
      </c>
    </row>
    <row r="3216" spans="1:8">
      <c r="A3216" t="s">
        <v>242</v>
      </c>
      <c r="B3216" t="s">
        <v>99</v>
      </c>
      <c r="C3216">
        <v>75</v>
      </c>
      <c r="D3216" t="s">
        <v>16182</v>
      </c>
      <c r="E3216" t="s">
        <v>16183</v>
      </c>
      <c r="F3216" t="s">
        <v>99</v>
      </c>
      <c r="H3216" t="s">
        <v>16184</v>
      </c>
    </row>
    <row r="3217" spans="1:8">
      <c r="A3217" t="s">
        <v>241</v>
      </c>
      <c r="B3217" t="s">
        <v>161</v>
      </c>
      <c r="C3217">
        <v>75</v>
      </c>
      <c r="D3217" t="s">
        <v>19307</v>
      </c>
      <c r="E3217" t="s">
        <v>19308</v>
      </c>
      <c r="F3217" t="s">
        <v>19309</v>
      </c>
      <c r="H3217" t="s">
        <v>19310</v>
      </c>
    </row>
    <row r="3218" spans="1:8">
      <c r="A3218" t="s">
        <v>241</v>
      </c>
      <c r="B3218" t="s">
        <v>161</v>
      </c>
      <c r="C3218">
        <v>75</v>
      </c>
      <c r="D3218" t="s">
        <v>19311</v>
      </c>
      <c r="E3218" t="s">
        <v>19312</v>
      </c>
      <c r="F3218" t="s">
        <v>161</v>
      </c>
      <c r="H3218" t="s">
        <v>19313</v>
      </c>
    </row>
    <row r="3219" spans="1:8">
      <c r="A3219" t="s">
        <v>241</v>
      </c>
      <c r="B3219" t="s">
        <v>161</v>
      </c>
      <c r="C3219">
        <v>75</v>
      </c>
      <c r="D3219" t="s">
        <v>19314</v>
      </c>
      <c r="E3219" t="s">
        <v>19315</v>
      </c>
      <c r="F3219" t="s">
        <v>19316</v>
      </c>
      <c r="H3219" t="s">
        <v>19317</v>
      </c>
    </row>
    <row r="3220" spans="1:8">
      <c r="A3220" t="s">
        <v>241</v>
      </c>
      <c r="B3220" t="s">
        <v>161</v>
      </c>
      <c r="C3220">
        <v>75</v>
      </c>
      <c r="D3220" t="s">
        <v>19318</v>
      </c>
      <c r="H3220" t="s">
        <v>19319</v>
      </c>
    </row>
    <row r="3221" spans="1:8">
      <c r="A3221" t="s">
        <v>241</v>
      </c>
      <c r="B3221" t="s">
        <v>161</v>
      </c>
      <c r="C3221">
        <v>75</v>
      </c>
      <c r="D3221" t="s">
        <v>19320</v>
      </c>
      <c r="E3221" t="s">
        <v>19321</v>
      </c>
      <c r="F3221" t="s">
        <v>19309</v>
      </c>
      <c r="H3221" t="s">
        <v>19322</v>
      </c>
    </row>
    <row r="3222" spans="1:8">
      <c r="A3222" t="s">
        <v>240</v>
      </c>
      <c r="B3222" t="s">
        <v>161</v>
      </c>
      <c r="C3222">
        <v>75</v>
      </c>
      <c r="D3222" t="s">
        <v>19323</v>
      </c>
      <c r="F3222" t="s">
        <v>161</v>
      </c>
      <c r="H3222" t="s">
        <v>19324</v>
      </c>
    </row>
    <row r="3223" spans="1:8">
      <c r="A3223" t="s">
        <v>239</v>
      </c>
      <c r="B3223" t="s">
        <v>161</v>
      </c>
      <c r="C3223">
        <v>75</v>
      </c>
      <c r="D3223" t="s">
        <v>19325</v>
      </c>
      <c r="E3223" t="s">
        <v>19326</v>
      </c>
      <c r="F3223" t="s">
        <v>161</v>
      </c>
      <c r="G3223" t="s">
        <v>8688</v>
      </c>
      <c r="H3223" t="s">
        <v>8689</v>
      </c>
    </row>
    <row r="3224" spans="1:8">
      <c r="A3224" t="s">
        <v>240</v>
      </c>
      <c r="B3224" t="s">
        <v>161</v>
      </c>
      <c r="C3224">
        <v>75</v>
      </c>
      <c r="D3224" t="s">
        <v>19327</v>
      </c>
      <c r="E3224" t="s">
        <v>19328</v>
      </c>
      <c r="F3224" t="s">
        <v>161</v>
      </c>
      <c r="G3224" t="s">
        <v>19329</v>
      </c>
      <c r="H3224" t="s">
        <v>19330</v>
      </c>
    </row>
    <row r="3225" spans="1:8">
      <c r="A3225" t="s">
        <v>240</v>
      </c>
      <c r="B3225" t="s">
        <v>161</v>
      </c>
      <c r="C3225">
        <v>75</v>
      </c>
      <c r="D3225" t="s">
        <v>19331</v>
      </c>
      <c r="F3225" t="s">
        <v>19332</v>
      </c>
      <c r="G3225" t="s">
        <v>19333</v>
      </c>
      <c r="H3225" t="s">
        <v>19334</v>
      </c>
    </row>
    <row r="3226" spans="1:8">
      <c r="A3226" t="s">
        <v>246</v>
      </c>
      <c r="B3226" t="s">
        <v>161</v>
      </c>
      <c r="C3226">
        <v>75</v>
      </c>
      <c r="D3226" t="s">
        <v>19335</v>
      </c>
      <c r="E3226" t="s">
        <v>19336</v>
      </c>
      <c r="F3226" t="s">
        <v>161</v>
      </c>
      <c r="G3226" t="s">
        <v>19337</v>
      </c>
      <c r="H3226" t="s">
        <v>19338</v>
      </c>
    </row>
    <row r="3227" spans="1:8">
      <c r="A3227" t="s">
        <v>245</v>
      </c>
      <c r="B3227" t="s">
        <v>161</v>
      </c>
      <c r="C3227">
        <v>75</v>
      </c>
      <c r="D3227" t="s">
        <v>19339</v>
      </c>
      <c r="F3227" t="s">
        <v>19340</v>
      </c>
    </row>
    <row r="3228" spans="1:8">
      <c r="A3228" t="s">
        <v>246</v>
      </c>
      <c r="B3228" t="s">
        <v>161</v>
      </c>
      <c r="C3228">
        <v>75</v>
      </c>
      <c r="D3228" t="s">
        <v>19341</v>
      </c>
      <c r="F3228" t="s">
        <v>19342</v>
      </c>
      <c r="H3228" t="s">
        <v>19343</v>
      </c>
    </row>
    <row r="3229" spans="1:8">
      <c r="A3229" t="s">
        <v>241</v>
      </c>
      <c r="B3229" t="s">
        <v>161</v>
      </c>
      <c r="C3229">
        <v>75</v>
      </c>
      <c r="D3229" t="s">
        <v>19344</v>
      </c>
      <c r="E3229" t="s">
        <v>19345</v>
      </c>
      <c r="G3229" t="s">
        <v>19346</v>
      </c>
      <c r="H3229" t="s">
        <v>19347</v>
      </c>
    </row>
    <row r="3230" spans="1:8">
      <c r="A3230" t="s">
        <v>249</v>
      </c>
      <c r="B3230" t="s">
        <v>161</v>
      </c>
      <c r="C3230">
        <v>75</v>
      </c>
      <c r="D3230" t="s">
        <v>19348</v>
      </c>
      <c r="E3230" t="s">
        <v>19349</v>
      </c>
      <c r="F3230" t="s">
        <v>161</v>
      </c>
      <c r="H3230" t="s">
        <v>19350</v>
      </c>
    </row>
    <row r="3231" spans="1:8">
      <c r="A3231" t="s">
        <v>241</v>
      </c>
      <c r="B3231" t="s">
        <v>161</v>
      </c>
      <c r="C3231">
        <v>75</v>
      </c>
      <c r="D3231" t="s">
        <v>19351</v>
      </c>
      <c r="E3231" t="s">
        <v>19352</v>
      </c>
      <c r="F3231" t="s">
        <v>19353</v>
      </c>
      <c r="H3231" t="s">
        <v>19354</v>
      </c>
    </row>
    <row r="3232" spans="1:8">
      <c r="A3232" t="s">
        <v>243</v>
      </c>
      <c r="B3232" t="s">
        <v>161</v>
      </c>
      <c r="C3232">
        <v>75</v>
      </c>
      <c r="D3232" t="s">
        <v>19355</v>
      </c>
      <c r="F3232" t="s">
        <v>19356</v>
      </c>
      <c r="G3232" t="s">
        <v>19357</v>
      </c>
      <c r="H3232" t="s">
        <v>19358</v>
      </c>
    </row>
    <row r="3233" spans="1:8">
      <c r="A3233" t="s">
        <v>247</v>
      </c>
      <c r="B3233" t="s">
        <v>161</v>
      </c>
      <c r="C3233">
        <v>75</v>
      </c>
      <c r="D3233" t="s">
        <v>19359</v>
      </c>
      <c r="E3233" t="s">
        <v>19360</v>
      </c>
      <c r="F3233" t="s">
        <v>19361</v>
      </c>
    </row>
    <row r="3234" spans="1:8">
      <c r="A3234" t="s">
        <v>240</v>
      </c>
      <c r="B3234" t="s">
        <v>161</v>
      </c>
      <c r="C3234">
        <v>75</v>
      </c>
      <c r="D3234" t="s">
        <v>19362</v>
      </c>
      <c r="E3234" t="s">
        <v>19363</v>
      </c>
      <c r="F3234" t="s">
        <v>161</v>
      </c>
      <c r="G3234" t="s">
        <v>19364</v>
      </c>
      <c r="H3234" t="s">
        <v>19365</v>
      </c>
    </row>
    <row r="3235" spans="1:8">
      <c r="A3235" t="s">
        <v>247</v>
      </c>
      <c r="B3235" t="s">
        <v>161</v>
      </c>
      <c r="C3235">
        <v>75</v>
      </c>
      <c r="D3235" t="s">
        <v>19366</v>
      </c>
      <c r="F3235" t="s">
        <v>19367</v>
      </c>
      <c r="G3235" t="s">
        <v>19368</v>
      </c>
      <c r="H3235" t="s">
        <v>19369</v>
      </c>
    </row>
    <row r="3236" spans="1:8">
      <c r="A3236" t="s">
        <v>242</v>
      </c>
      <c r="B3236" t="s">
        <v>116</v>
      </c>
      <c r="C3236">
        <v>76</v>
      </c>
      <c r="D3236" t="s">
        <v>3494</v>
      </c>
      <c r="G3236" t="s">
        <v>3495</v>
      </c>
    </row>
    <row r="3237" spans="1:8">
      <c r="A3237" t="s">
        <v>238</v>
      </c>
      <c r="B3237" t="s">
        <v>116</v>
      </c>
      <c r="C3237">
        <v>76</v>
      </c>
      <c r="D3237" t="s">
        <v>3496</v>
      </c>
      <c r="E3237" t="s">
        <v>3497</v>
      </c>
      <c r="F3237" t="s">
        <v>116</v>
      </c>
      <c r="G3237" t="s">
        <v>3498</v>
      </c>
      <c r="H3237" t="s">
        <v>3499</v>
      </c>
    </row>
    <row r="3238" spans="1:8">
      <c r="A3238" t="s">
        <v>239</v>
      </c>
      <c r="B3238" t="s">
        <v>116</v>
      </c>
      <c r="C3238">
        <v>76</v>
      </c>
      <c r="D3238" t="s">
        <v>3500</v>
      </c>
    </row>
    <row r="3239" spans="1:8">
      <c r="A3239" t="s">
        <v>242</v>
      </c>
      <c r="B3239" t="s">
        <v>116</v>
      </c>
      <c r="C3239">
        <v>76</v>
      </c>
      <c r="D3239" t="s">
        <v>3501</v>
      </c>
      <c r="E3239" t="s">
        <v>3502</v>
      </c>
      <c r="F3239" t="s">
        <v>116</v>
      </c>
      <c r="G3239" t="s">
        <v>3503</v>
      </c>
      <c r="H3239" t="s">
        <v>3504</v>
      </c>
    </row>
    <row r="3240" spans="1:8">
      <c r="A3240" t="s">
        <v>242</v>
      </c>
      <c r="B3240" t="s">
        <v>116</v>
      </c>
      <c r="C3240">
        <v>76</v>
      </c>
      <c r="D3240" t="s">
        <v>3505</v>
      </c>
      <c r="E3240" t="s">
        <v>3506</v>
      </c>
      <c r="H3240" t="s">
        <v>3507</v>
      </c>
    </row>
    <row r="3241" spans="1:8">
      <c r="A3241" t="s">
        <v>239</v>
      </c>
      <c r="B3241" t="s">
        <v>116</v>
      </c>
      <c r="C3241">
        <v>76</v>
      </c>
      <c r="D3241" t="s">
        <v>3508</v>
      </c>
      <c r="E3241" t="s">
        <v>3509</v>
      </c>
      <c r="H3241" t="s">
        <v>3510</v>
      </c>
    </row>
    <row r="3242" spans="1:8">
      <c r="A3242" t="s">
        <v>242</v>
      </c>
      <c r="B3242" t="s">
        <v>116</v>
      </c>
      <c r="C3242">
        <v>76</v>
      </c>
      <c r="D3242" t="s">
        <v>3511</v>
      </c>
      <c r="E3242" t="s">
        <v>3512</v>
      </c>
      <c r="F3242" t="s">
        <v>116</v>
      </c>
    </row>
    <row r="3243" spans="1:8">
      <c r="A3243" t="s">
        <v>242</v>
      </c>
      <c r="B3243" t="s">
        <v>116</v>
      </c>
      <c r="C3243">
        <v>76</v>
      </c>
      <c r="D3243" t="s">
        <v>3513</v>
      </c>
      <c r="F3243" t="s">
        <v>3514</v>
      </c>
      <c r="H3243" t="s">
        <v>3515</v>
      </c>
    </row>
    <row r="3244" spans="1:8">
      <c r="A3244" t="s">
        <v>242</v>
      </c>
      <c r="B3244" t="s">
        <v>116</v>
      </c>
      <c r="C3244">
        <v>76</v>
      </c>
      <c r="D3244" t="s">
        <v>3516</v>
      </c>
      <c r="E3244" t="s">
        <v>3517</v>
      </c>
      <c r="F3244" t="s">
        <v>116</v>
      </c>
      <c r="H3244" t="s">
        <v>3518</v>
      </c>
    </row>
    <row r="3245" spans="1:8">
      <c r="A3245" t="s">
        <v>242</v>
      </c>
      <c r="B3245" t="s">
        <v>116</v>
      </c>
      <c r="C3245">
        <v>76</v>
      </c>
      <c r="D3245" t="s">
        <v>3519</v>
      </c>
      <c r="F3245" t="s">
        <v>3520</v>
      </c>
      <c r="H3245" t="s">
        <v>3521</v>
      </c>
    </row>
    <row r="3246" spans="1:8">
      <c r="A3246" t="s">
        <v>238</v>
      </c>
      <c r="B3246" t="s">
        <v>116</v>
      </c>
      <c r="C3246">
        <v>76</v>
      </c>
      <c r="D3246" t="s">
        <v>3522</v>
      </c>
      <c r="F3246" t="s">
        <v>3523</v>
      </c>
      <c r="G3246" t="s">
        <v>3495</v>
      </c>
    </row>
    <row r="3247" spans="1:8">
      <c r="A3247" t="s">
        <v>242</v>
      </c>
      <c r="B3247" t="s">
        <v>116</v>
      </c>
      <c r="C3247">
        <v>76</v>
      </c>
      <c r="D3247" t="s">
        <v>3524</v>
      </c>
      <c r="E3247" t="s">
        <v>3525</v>
      </c>
      <c r="F3247" t="s">
        <v>3523</v>
      </c>
      <c r="G3247" t="s">
        <v>3526</v>
      </c>
      <c r="H3247" t="s">
        <v>3527</v>
      </c>
    </row>
    <row r="3248" spans="1:8">
      <c r="A3248" t="s">
        <v>241</v>
      </c>
      <c r="B3248" t="s">
        <v>117</v>
      </c>
      <c r="C3248">
        <v>76</v>
      </c>
      <c r="D3248" t="s">
        <v>3543</v>
      </c>
      <c r="E3248" t="s">
        <v>3544</v>
      </c>
      <c r="F3248" t="s">
        <v>3545</v>
      </c>
      <c r="H3248" t="s">
        <v>3546</v>
      </c>
    </row>
    <row r="3249" spans="1:8">
      <c r="A3249" t="s">
        <v>241</v>
      </c>
      <c r="B3249" t="s">
        <v>117</v>
      </c>
      <c r="C3249">
        <v>76</v>
      </c>
      <c r="D3249" t="s">
        <v>3547</v>
      </c>
      <c r="E3249" t="s">
        <v>3548</v>
      </c>
      <c r="F3249" t="s">
        <v>3549</v>
      </c>
      <c r="H3249" t="s">
        <v>3550</v>
      </c>
    </row>
    <row r="3250" spans="1:8">
      <c r="A3250" t="s">
        <v>243</v>
      </c>
      <c r="B3250" t="s">
        <v>117</v>
      </c>
      <c r="C3250">
        <v>76</v>
      </c>
      <c r="D3250" t="s">
        <v>3551</v>
      </c>
      <c r="E3250" t="s">
        <v>3552</v>
      </c>
      <c r="F3250" t="s">
        <v>117</v>
      </c>
      <c r="G3250" t="s">
        <v>3553</v>
      </c>
      <c r="H3250" t="s">
        <v>3554</v>
      </c>
    </row>
    <row r="3251" spans="1:8">
      <c r="A3251" t="s">
        <v>246</v>
      </c>
      <c r="B3251" t="s">
        <v>117</v>
      </c>
      <c r="C3251">
        <v>76</v>
      </c>
      <c r="D3251" t="s">
        <v>3555</v>
      </c>
      <c r="E3251" t="s">
        <v>3556</v>
      </c>
      <c r="F3251" t="s">
        <v>117</v>
      </c>
      <c r="H3251" t="s">
        <v>3557</v>
      </c>
    </row>
    <row r="3252" spans="1:8">
      <c r="A3252" t="s">
        <v>241</v>
      </c>
      <c r="B3252" t="s">
        <v>117</v>
      </c>
      <c r="C3252">
        <v>76</v>
      </c>
      <c r="D3252" t="s">
        <v>3558</v>
      </c>
      <c r="E3252" t="s">
        <v>3559</v>
      </c>
      <c r="F3252" t="s">
        <v>117</v>
      </c>
      <c r="G3252" t="s">
        <v>3553</v>
      </c>
      <c r="H3252" t="s">
        <v>3554</v>
      </c>
    </row>
    <row r="3253" spans="1:8">
      <c r="A3253" t="s">
        <v>242</v>
      </c>
      <c r="B3253" t="s">
        <v>117</v>
      </c>
      <c r="C3253">
        <v>76</v>
      </c>
      <c r="D3253" t="s">
        <v>3560</v>
      </c>
      <c r="E3253" t="s">
        <v>3561</v>
      </c>
      <c r="F3253" t="s">
        <v>3562</v>
      </c>
      <c r="G3253" t="s">
        <v>3563</v>
      </c>
      <c r="H3253" t="s">
        <v>3564</v>
      </c>
    </row>
    <row r="3254" spans="1:8">
      <c r="A3254" t="s">
        <v>242</v>
      </c>
      <c r="B3254" t="s">
        <v>117</v>
      </c>
      <c r="C3254">
        <v>76</v>
      </c>
      <c r="D3254" t="s">
        <v>3565</v>
      </c>
      <c r="E3254" t="s">
        <v>3566</v>
      </c>
      <c r="G3254" t="s">
        <v>3567</v>
      </c>
      <c r="H3254" t="s">
        <v>3568</v>
      </c>
    </row>
    <row r="3255" spans="1:8">
      <c r="A3255" t="s">
        <v>241</v>
      </c>
      <c r="B3255" t="s">
        <v>117</v>
      </c>
      <c r="C3255">
        <v>76</v>
      </c>
      <c r="D3255" t="s">
        <v>3569</v>
      </c>
      <c r="E3255" t="s">
        <v>3570</v>
      </c>
      <c r="G3255" t="s">
        <v>3571</v>
      </c>
      <c r="H3255" t="s">
        <v>3572</v>
      </c>
    </row>
    <row r="3256" spans="1:8">
      <c r="A3256" t="s">
        <v>239</v>
      </c>
      <c r="B3256" t="s">
        <v>117</v>
      </c>
      <c r="C3256">
        <v>76</v>
      </c>
      <c r="D3256" t="s">
        <v>3573</v>
      </c>
      <c r="E3256" t="s">
        <v>3574</v>
      </c>
      <c r="F3256" t="s">
        <v>3575</v>
      </c>
      <c r="G3256" t="s">
        <v>3576</v>
      </c>
      <c r="H3256" t="s">
        <v>3577</v>
      </c>
    </row>
    <row r="3257" spans="1:8">
      <c r="A3257" t="s">
        <v>244</v>
      </c>
      <c r="B3257" t="s">
        <v>117</v>
      </c>
      <c r="C3257">
        <v>76</v>
      </c>
      <c r="D3257" t="s">
        <v>3578</v>
      </c>
      <c r="F3257" t="s">
        <v>3579</v>
      </c>
      <c r="H3257" t="s">
        <v>3580</v>
      </c>
    </row>
    <row r="3258" spans="1:8">
      <c r="A3258" t="s">
        <v>241</v>
      </c>
      <c r="B3258" t="s">
        <v>117</v>
      </c>
      <c r="C3258">
        <v>76</v>
      </c>
      <c r="D3258" t="s">
        <v>3581</v>
      </c>
      <c r="E3258" t="s">
        <v>3582</v>
      </c>
    </row>
    <row r="3259" spans="1:8">
      <c r="A3259" t="s">
        <v>238</v>
      </c>
      <c r="B3259" t="s">
        <v>117</v>
      </c>
      <c r="C3259">
        <v>76</v>
      </c>
      <c r="D3259" t="s">
        <v>3583</v>
      </c>
      <c r="E3259" t="s">
        <v>3584</v>
      </c>
      <c r="F3259" t="s">
        <v>3585</v>
      </c>
      <c r="G3259" t="s">
        <v>3586</v>
      </c>
      <c r="H3259" t="s">
        <v>3587</v>
      </c>
    </row>
    <row r="3260" spans="1:8">
      <c r="A3260" t="s">
        <v>239</v>
      </c>
      <c r="B3260" t="s">
        <v>117</v>
      </c>
      <c r="C3260">
        <v>76</v>
      </c>
      <c r="D3260" t="s">
        <v>3588</v>
      </c>
      <c r="E3260" t="s">
        <v>3589</v>
      </c>
      <c r="H3260" t="s">
        <v>3590</v>
      </c>
    </row>
    <row r="3261" spans="1:8">
      <c r="A3261" t="s">
        <v>240</v>
      </c>
      <c r="B3261" t="s">
        <v>117</v>
      </c>
      <c r="C3261">
        <v>76</v>
      </c>
      <c r="D3261" t="s">
        <v>3591</v>
      </c>
      <c r="E3261" t="s">
        <v>3592</v>
      </c>
      <c r="F3261" t="s">
        <v>117</v>
      </c>
      <c r="G3261" t="s">
        <v>3593</v>
      </c>
      <c r="H3261" t="s">
        <v>3594</v>
      </c>
    </row>
    <row r="3262" spans="1:8">
      <c r="A3262" t="s">
        <v>240</v>
      </c>
      <c r="B3262" t="s">
        <v>117</v>
      </c>
      <c r="C3262">
        <v>76</v>
      </c>
      <c r="D3262" t="s">
        <v>3595</v>
      </c>
      <c r="E3262" t="s">
        <v>3596</v>
      </c>
      <c r="F3262" t="s">
        <v>117</v>
      </c>
      <c r="G3262" t="s">
        <v>3597</v>
      </c>
      <c r="H3262" t="s">
        <v>3598</v>
      </c>
    </row>
    <row r="3263" spans="1:8">
      <c r="A3263" t="s">
        <v>240</v>
      </c>
      <c r="B3263" t="s">
        <v>117</v>
      </c>
      <c r="C3263">
        <v>76</v>
      </c>
      <c r="D3263" t="s">
        <v>3599</v>
      </c>
      <c r="E3263" t="s">
        <v>3600</v>
      </c>
      <c r="F3263" t="s">
        <v>3601</v>
      </c>
      <c r="H3263" t="s">
        <v>3602</v>
      </c>
    </row>
    <row r="3264" spans="1:8">
      <c r="A3264" t="s">
        <v>240</v>
      </c>
      <c r="B3264" t="s">
        <v>117</v>
      </c>
      <c r="C3264">
        <v>76</v>
      </c>
      <c r="D3264" t="s">
        <v>3603</v>
      </c>
      <c r="E3264" t="s">
        <v>3604</v>
      </c>
      <c r="F3264" t="s">
        <v>117</v>
      </c>
      <c r="G3264" t="s">
        <v>3605</v>
      </c>
      <c r="H3264" t="s">
        <v>3606</v>
      </c>
    </row>
    <row r="3265" spans="1:8">
      <c r="A3265" t="s">
        <v>240</v>
      </c>
      <c r="B3265" t="s">
        <v>117</v>
      </c>
      <c r="C3265">
        <v>76</v>
      </c>
      <c r="D3265" t="s">
        <v>3607</v>
      </c>
      <c r="E3265" t="s">
        <v>3608</v>
      </c>
      <c r="F3265" t="s">
        <v>117</v>
      </c>
      <c r="G3265" t="s">
        <v>3609</v>
      </c>
      <c r="H3265" t="s">
        <v>3610</v>
      </c>
    </row>
    <row r="3266" spans="1:8">
      <c r="A3266" t="s">
        <v>241</v>
      </c>
      <c r="B3266" t="s">
        <v>117</v>
      </c>
      <c r="C3266">
        <v>76</v>
      </c>
      <c r="D3266" t="s">
        <v>3611</v>
      </c>
      <c r="E3266" t="s">
        <v>3612</v>
      </c>
      <c r="F3266" t="s">
        <v>117</v>
      </c>
      <c r="G3266" t="s">
        <v>3613</v>
      </c>
      <c r="H3266" t="s">
        <v>3614</v>
      </c>
    </row>
    <row r="3267" spans="1:8">
      <c r="A3267" t="s">
        <v>241</v>
      </c>
      <c r="B3267" t="s">
        <v>117</v>
      </c>
      <c r="C3267">
        <v>76</v>
      </c>
      <c r="D3267" t="s">
        <v>3615</v>
      </c>
      <c r="E3267" t="s">
        <v>3616</v>
      </c>
      <c r="F3267" t="s">
        <v>117</v>
      </c>
      <c r="G3267" t="s">
        <v>3617</v>
      </c>
      <c r="H3267" t="s">
        <v>3618</v>
      </c>
    </row>
    <row r="3268" spans="1:8">
      <c r="A3268" t="s">
        <v>241</v>
      </c>
      <c r="B3268" t="s">
        <v>117</v>
      </c>
      <c r="C3268">
        <v>76</v>
      </c>
      <c r="D3268" t="s">
        <v>3619</v>
      </c>
      <c r="E3268" t="s">
        <v>3620</v>
      </c>
      <c r="F3268" t="s">
        <v>117</v>
      </c>
      <c r="G3268" t="s">
        <v>3621</v>
      </c>
      <c r="H3268" t="s">
        <v>3622</v>
      </c>
    </row>
    <row r="3269" spans="1:8">
      <c r="A3269" t="s">
        <v>241</v>
      </c>
      <c r="B3269" t="s">
        <v>117</v>
      </c>
      <c r="C3269">
        <v>76</v>
      </c>
      <c r="D3269" t="s">
        <v>3623</v>
      </c>
      <c r="E3269" t="s">
        <v>3624</v>
      </c>
      <c r="F3269" t="s">
        <v>117</v>
      </c>
      <c r="G3269" t="s">
        <v>3625</v>
      </c>
      <c r="H3269" t="s">
        <v>3590</v>
      </c>
    </row>
    <row r="3270" spans="1:8">
      <c r="A3270" t="s">
        <v>241</v>
      </c>
      <c r="B3270" t="s">
        <v>117</v>
      </c>
      <c r="C3270">
        <v>76</v>
      </c>
      <c r="D3270" t="s">
        <v>3626</v>
      </c>
      <c r="E3270" t="s">
        <v>3627</v>
      </c>
      <c r="F3270" t="s">
        <v>117</v>
      </c>
      <c r="G3270" t="s">
        <v>3628</v>
      </c>
      <c r="H3270" t="s">
        <v>3629</v>
      </c>
    </row>
    <row r="3271" spans="1:8">
      <c r="A3271" t="s">
        <v>241</v>
      </c>
      <c r="B3271" t="s">
        <v>117</v>
      </c>
      <c r="C3271">
        <v>76</v>
      </c>
      <c r="D3271" t="s">
        <v>3630</v>
      </c>
      <c r="E3271" t="s">
        <v>3631</v>
      </c>
      <c r="F3271" t="s">
        <v>117</v>
      </c>
    </row>
    <row r="3272" spans="1:8">
      <c r="A3272" t="s">
        <v>242</v>
      </c>
      <c r="B3272" t="s">
        <v>117</v>
      </c>
      <c r="C3272">
        <v>76</v>
      </c>
      <c r="D3272" t="s">
        <v>3632</v>
      </c>
      <c r="E3272" t="s">
        <v>3633</v>
      </c>
      <c r="F3272" t="s">
        <v>117</v>
      </c>
      <c r="H3272" t="s">
        <v>3634</v>
      </c>
    </row>
    <row r="3273" spans="1:8">
      <c r="A3273" t="s">
        <v>241</v>
      </c>
      <c r="B3273" t="s">
        <v>117</v>
      </c>
      <c r="C3273">
        <v>76</v>
      </c>
      <c r="D3273" t="s">
        <v>3635</v>
      </c>
      <c r="E3273" t="s">
        <v>3636</v>
      </c>
      <c r="F3273" t="s">
        <v>117</v>
      </c>
      <c r="G3273" t="s">
        <v>3637</v>
      </c>
      <c r="H3273" t="s">
        <v>3638</v>
      </c>
    </row>
    <row r="3274" spans="1:8">
      <c r="A3274" t="s">
        <v>241</v>
      </c>
      <c r="B3274" t="s">
        <v>117</v>
      </c>
      <c r="C3274">
        <v>76</v>
      </c>
      <c r="D3274" t="s">
        <v>3639</v>
      </c>
      <c r="E3274" t="s">
        <v>3640</v>
      </c>
      <c r="F3274" t="s">
        <v>117</v>
      </c>
      <c r="H3274" t="s">
        <v>3641</v>
      </c>
    </row>
    <row r="3275" spans="1:8">
      <c r="A3275" t="s">
        <v>238</v>
      </c>
      <c r="B3275" t="s">
        <v>117</v>
      </c>
      <c r="C3275">
        <v>76</v>
      </c>
      <c r="D3275" t="s">
        <v>3642</v>
      </c>
      <c r="E3275" t="s">
        <v>3643</v>
      </c>
      <c r="F3275" t="s">
        <v>117</v>
      </c>
      <c r="G3275" t="s">
        <v>3644</v>
      </c>
      <c r="H3275" t="s">
        <v>3645</v>
      </c>
    </row>
    <row r="3276" spans="1:8">
      <c r="A3276" t="s">
        <v>241</v>
      </c>
      <c r="B3276" t="s">
        <v>117</v>
      </c>
      <c r="C3276">
        <v>76</v>
      </c>
      <c r="D3276" t="s">
        <v>3646</v>
      </c>
      <c r="E3276" t="s">
        <v>3647</v>
      </c>
      <c r="F3276" t="s">
        <v>117</v>
      </c>
      <c r="G3276" t="s">
        <v>3648</v>
      </c>
      <c r="H3276" t="s">
        <v>3649</v>
      </c>
    </row>
    <row r="3277" spans="1:8">
      <c r="A3277" t="s">
        <v>241</v>
      </c>
      <c r="B3277" t="s">
        <v>117</v>
      </c>
      <c r="C3277">
        <v>76</v>
      </c>
      <c r="D3277" t="s">
        <v>3650</v>
      </c>
      <c r="E3277" t="s">
        <v>3651</v>
      </c>
      <c r="F3277" t="s">
        <v>117</v>
      </c>
    </row>
    <row r="3278" spans="1:8">
      <c r="A3278" t="s">
        <v>243</v>
      </c>
      <c r="B3278" t="s">
        <v>117</v>
      </c>
      <c r="C3278">
        <v>76</v>
      </c>
      <c r="D3278" t="s">
        <v>3652</v>
      </c>
      <c r="E3278" t="s">
        <v>3653</v>
      </c>
      <c r="F3278" t="s">
        <v>3654</v>
      </c>
    </row>
    <row r="3279" spans="1:8">
      <c r="A3279" t="s">
        <v>238</v>
      </c>
      <c r="B3279" t="s">
        <v>117</v>
      </c>
      <c r="C3279">
        <v>76</v>
      </c>
      <c r="D3279" t="s">
        <v>3655</v>
      </c>
      <c r="E3279" t="s">
        <v>3656</v>
      </c>
      <c r="F3279" t="s">
        <v>117</v>
      </c>
      <c r="G3279" t="s">
        <v>3657</v>
      </c>
      <c r="H3279" t="s">
        <v>3658</v>
      </c>
    </row>
    <row r="3280" spans="1:8">
      <c r="A3280" t="s">
        <v>238</v>
      </c>
      <c r="B3280" t="s">
        <v>117</v>
      </c>
      <c r="C3280">
        <v>76</v>
      </c>
      <c r="D3280" t="s">
        <v>3659</v>
      </c>
      <c r="E3280" t="s">
        <v>3660</v>
      </c>
      <c r="F3280" t="s">
        <v>117</v>
      </c>
    </row>
    <row r="3281" spans="1:8">
      <c r="A3281" t="s">
        <v>241</v>
      </c>
      <c r="B3281" t="s">
        <v>117</v>
      </c>
      <c r="C3281">
        <v>76</v>
      </c>
      <c r="D3281" t="s">
        <v>3661</v>
      </c>
      <c r="E3281" t="s">
        <v>3662</v>
      </c>
      <c r="F3281" t="s">
        <v>117</v>
      </c>
      <c r="G3281" t="s">
        <v>3663</v>
      </c>
      <c r="H3281" t="s">
        <v>3664</v>
      </c>
    </row>
    <row r="3282" spans="1:8">
      <c r="A3282" t="s">
        <v>241</v>
      </c>
      <c r="B3282" t="s">
        <v>117</v>
      </c>
      <c r="C3282">
        <v>76</v>
      </c>
      <c r="D3282" t="s">
        <v>3665</v>
      </c>
      <c r="E3282" t="s">
        <v>3666</v>
      </c>
      <c r="F3282" t="s">
        <v>117</v>
      </c>
      <c r="H3282" t="s">
        <v>3667</v>
      </c>
    </row>
    <row r="3283" spans="1:8">
      <c r="A3283" t="s">
        <v>241</v>
      </c>
      <c r="B3283" t="s">
        <v>117</v>
      </c>
      <c r="C3283">
        <v>76</v>
      </c>
      <c r="D3283" t="s">
        <v>3668</v>
      </c>
      <c r="E3283" t="s">
        <v>3669</v>
      </c>
      <c r="F3283" t="s">
        <v>3545</v>
      </c>
      <c r="G3283" t="s">
        <v>3546</v>
      </c>
    </row>
    <row r="3284" spans="1:8">
      <c r="A3284" t="s">
        <v>242</v>
      </c>
      <c r="B3284" t="s">
        <v>117</v>
      </c>
      <c r="C3284">
        <v>76</v>
      </c>
      <c r="D3284" t="s">
        <v>3670</v>
      </c>
      <c r="E3284" t="s">
        <v>3671</v>
      </c>
      <c r="F3284" t="s">
        <v>117</v>
      </c>
      <c r="G3284" t="s">
        <v>3672</v>
      </c>
      <c r="H3284" t="s">
        <v>3673</v>
      </c>
    </row>
    <row r="3285" spans="1:8">
      <c r="A3285" t="s">
        <v>241</v>
      </c>
      <c r="B3285" t="s">
        <v>117</v>
      </c>
      <c r="C3285">
        <v>76</v>
      </c>
      <c r="D3285" t="s">
        <v>3674</v>
      </c>
      <c r="E3285" t="s">
        <v>3675</v>
      </c>
      <c r="F3285" t="s">
        <v>3676</v>
      </c>
      <c r="H3285" t="s">
        <v>3677</v>
      </c>
    </row>
    <row r="3286" spans="1:8">
      <c r="A3286" t="s">
        <v>249</v>
      </c>
      <c r="B3286" t="s">
        <v>117</v>
      </c>
      <c r="C3286">
        <v>76</v>
      </c>
      <c r="D3286" t="s">
        <v>3678</v>
      </c>
      <c r="H3286" t="s">
        <v>3679</v>
      </c>
    </row>
    <row r="3287" spans="1:8">
      <c r="A3287" t="s">
        <v>241</v>
      </c>
      <c r="B3287" t="s">
        <v>117</v>
      </c>
      <c r="C3287">
        <v>76</v>
      </c>
      <c r="D3287" t="s">
        <v>3680</v>
      </c>
      <c r="E3287" t="s">
        <v>3681</v>
      </c>
      <c r="F3287" t="s">
        <v>117</v>
      </c>
      <c r="G3287" t="s">
        <v>3682</v>
      </c>
      <c r="H3287" t="s">
        <v>3683</v>
      </c>
    </row>
    <row r="3288" spans="1:8">
      <c r="A3288" t="s">
        <v>241</v>
      </c>
      <c r="B3288" t="s">
        <v>117</v>
      </c>
      <c r="C3288">
        <v>76</v>
      </c>
      <c r="D3288" t="s">
        <v>3684</v>
      </c>
      <c r="E3288" t="s">
        <v>3685</v>
      </c>
      <c r="F3288" t="s">
        <v>117</v>
      </c>
      <c r="H3288" t="s">
        <v>3686</v>
      </c>
    </row>
    <row r="3289" spans="1:8">
      <c r="A3289" t="s">
        <v>241</v>
      </c>
      <c r="B3289" t="s">
        <v>117</v>
      </c>
      <c r="C3289">
        <v>76</v>
      </c>
      <c r="D3289" t="s">
        <v>3687</v>
      </c>
      <c r="E3289" t="s">
        <v>3688</v>
      </c>
      <c r="F3289" t="s">
        <v>117</v>
      </c>
      <c r="G3289" t="s">
        <v>3689</v>
      </c>
      <c r="H3289" t="s">
        <v>3690</v>
      </c>
    </row>
    <row r="3290" spans="1:8">
      <c r="A3290" t="s">
        <v>242</v>
      </c>
      <c r="B3290" t="s">
        <v>117</v>
      </c>
      <c r="C3290">
        <v>76</v>
      </c>
      <c r="D3290" t="s">
        <v>3691</v>
      </c>
      <c r="E3290" t="s">
        <v>3692</v>
      </c>
      <c r="F3290" t="s">
        <v>117</v>
      </c>
      <c r="G3290" t="s">
        <v>3693</v>
      </c>
      <c r="H3290" t="s">
        <v>3694</v>
      </c>
    </row>
    <row r="3291" spans="1:8">
      <c r="A3291" t="s">
        <v>241</v>
      </c>
      <c r="B3291" t="s">
        <v>117</v>
      </c>
      <c r="C3291">
        <v>76</v>
      </c>
      <c r="D3291" t="s">
        <v>3695</v>
      </c>
      <c r="E3291" t="s">
        <v>3696</v>
      </c>
      <c r="F3291" t="s">
        <v>117</v>
      </c>
    </row>
    <row r="3292" spans="1:8">
      <c r="A3292" t="s">
        <v>238</v>
      </c>
      <c r="B3292" t="s">
        <v>117</v>
      </c>
      <c r="C3292">
        <v>76</v>
      </c>
      <c r="D3292" t="s">
        <v>3697</v>
      </c>
      <c r="E3292" t="s">
        <v>3698</v>
      </c>
      <c r="F3292" t="s">
        <v>117</v>
      </c>
      <c r="G3292" t="s">
        <v>3563</v>
      </c>
      <c r="H3292" t="s">
        <v>3564</v>
      </c>
    </row>
    <row r="3293" spans="1:8">
      <c r="A3293" t="s">
        <v>238</v>
      </c>
      <c r="B3293" t="s">
        <v>117</v>
      </c>
      <c r="C3293">
        <v>76</v>
      </c>
      <c r="D3293" t="s">
        <v>3699</v>
      </c>
      <c r="E3293" t="s">
        <v>3700</v>
      </c>
      <c r="F3293" t="s">
        <v>117</v>
      </c>
      <c r="H3293" t="s">
        <v>3701</v>
      </c>
    </row>
    <row r="3294" spans="1:8">
      <c r="A3294" t="s">
        <v>238</v>
      </c>
      <c r="B3294" t="s">
        <v>117</v>
      </c>
      <c r="C3294">
        <v>76</v>
      </c>
      <c r="D3294" t="s">
        <v>3702</v>
      </c>
      <c r="E3294" t="s">
        <v>3703</v>
      </c>
      <c r="F3294" t="s">
        <v>117</v>
      </c>
      <c r="H3294" t="s">
        <v>3704</v>
      </c>
    </row>
    <row r="3295" spans="1:8">
      <c r="A3295" t="s">
        <v>238</v>
      </c>
      <c r="B3295" t="s">
        <v>117</v>
      </c>
      <c r="C3295">
        <v>76</v>
      </c>
      <c r="D3295" t="s">
        <v>3705</v>
      </c>
      <c r="E3295" t="s">
        <v>3706</v>
      </c>
      <c r="F3295" t="s">
        <v>117</v>
      </c>
      <c r="H3295" t="s">
        <v>3707</v>
      </c>
    </row>
    <row r="3296" spans="1:8">
      <c r="A3296" t="s">
        <v>238</v>
      </c>
      <c r="B3296" t="s">
        <v>117</v>
      </c>
      <c r="C3296">
        <v>76</v>
      </c>
      <c r="D3296" t="s">
        <v>3708</v>
      </c>
      <c r="E3296" t="s">
        <v>3709</v>
      </c>
      <c r="F3296" t="s">
        <v>117</v>
      </c>
      <c r="G3296" t="s">
        <v>3710</v>
      </c>
      <c r="H3296" t="s">
        <v>3711</v>
      </c>
    </row>
    <row r="3297" spans="1:8">
      <c r="A3297" t="s">
        <v>242</v>
      </c>
      <c r="B3297" t="s">
        <v>117</v>
      </c>
      <c r="C3297">
        <v>76</v>
      </c>
      <c r="D3297" t="s">
        <v>3712</v>
      </c>
      <c r="E3297" t="s">
        <v>3713</v>
      </c>
      <c r="F3297" t="s">
        <v>117</v>
      </c>
      <c r="H3297" t="s">
        <v>3714</v>
      </c>
    </row>
    <row r="3298" spans="1:8">
      <c r="A3298" t="s">
        <v>242</v>
      </c>
      <c r="B3298" t="s">
        <v>117</v>
      </c>
      <c r="C3298">
        <v>76</v>
      </c>
      <c r="D3298" t="s">
        <v>3715</v>
      </c>
      <c r="E3298" t="s">
        <v>3716</v>
      </c>
      <c r="F3298" t="s">
        <v>3717</v>
      </c>
      <c r="G3298" t="s">
        <v>3718</v>
      </c>
      <c r="H3298" t="s">
        <v>3719</v>
      </c>
    </row>
    <row r="3299" spans="1:8">
      <c r="A3299" t="s">
        <v>241</v>
      </c>
      <c r="B3299" t="s">
        <v>117</v>
      </c>
      <c r="C3299">
        <v>76</v>
      </c>
      <c r="D3299" t="s">
        <v>3720</v>
      </c>
      <c r="E3299" t="s">
        <v>3721</v>
      </c>
      <c r="F3299" t="s">
        <v>117</v>
      </c>
    </row>
    <row r="3300" spans="1:8">
      <c r="A3300" t="s">
        <v>238</v>
      </c>
      <c r="B3300" t="s">
        <v>117</v>
      </c>
      <c r="C3300">
        <v>76</v>
      </c>
      <c r="D3300" t="s">
        <v>3722</v>
      </c>
      <c r="E3300" t="s">
        <v>3723</v>
      </c>
      <c r="F3300" t="s">
        <v>117</v>
      </c>
      <c r="G3300" t="s">
        <v>3724</v>
      </c>
      <c r="H3300" t="s">
        <v>3725</v>
      </c>
    </row>
    <row r="3301" spans="1:8">
      <c r="A3301" t="s">
        <v>242</v>
      </c>
      <c r="B3301" t="s">
        <v>117</v>
      </c>
      <c r="C3301">
        <v>76</v>
      </c>
      <c r="D3301" t="s">
        <v>3726</v>
      </c>
      <c r="E3301" t="s">
        <v>3727</v>
      </c>
      <c r="F3301" t="s">
        <v>117</v>
      </c>
      <c r="G3301" t="s">
        <v>3718</v>
      </c>
      <c r="H3301" t="s">
        <v>3728</v>
      </c>
    </row>
    <row r="3302" spans="1:8">
      <c r="A3302" t="s">
        <v>241</v>
      </c>
      <c r="B3302" t="s">
        <v>181</v>
      </c>
      <c r="C3302">
        <v>76</v>
      </c>
      <c r="D3302" t="s">
        <v>9555</v>
      </c>
      <c r="E3302" t="s">
        <v>9556</v>
      </c>
      <c r="F3302" t="s">
        <v>181</v>
      </c>
      <c r="H3302" t="s">
        <v>9557</v>
      </c>
    </row>
    <row r="3303" spans="1:8">
      <c r="A3303" t="s">
        <v>242</v>
      </c>
      <c r="B3303" t="s">
        <v>181</v>
      </c>
      <c r="C3303">
        <v>76</v>
      </c>
      <c r="D3303" t="s">
        <v>9558</v>
      </c>
      <c r="E3303" t="s">
        <v>9556</v>
      </c>
      <c r="F3303" t="s">
        <v>181</v>
      </c>
      <c r="H3303" t="s">
        <v>9557</v>
      </c>
    </row>
    <row r="3304" spans="1:8">
      <c r="A3304" t="s">
        <v>241</v>
      </c>
      <c r="B3304" t="s">
        <v>181</v>
      </c>
      <c r="C3304">
        <v>76</v>
      </c>
      <c r="D3304" t="s">
        <v>9559</v>
      </c>
      <c r="E3304" t="s">
        <v>9560</v>
      </c>
      <c r="G3304" t="s">
        <v>9561</v>
      </c>
      <c r="H3304" t="s">
        <v>9562</v>
      </c>
    </row>
    <row r="3305" spans="1:8">
      <c r="A3305" t="s">
        <v>242</v>
      </c>
      <c r="B3305" t="s">
        <v>181</v>
      </c>
      <c r="C3305">
        <v>76</v>
      </c>
      <c r="D3305" t="s">
        <v>9563</v>
      </c>
      <c r="E3305" t="s">
        <v>9564</v>
      </c>
      <c r="G3305" t="s">
        <v>9565</v>
      </c>
      <c r="H3305" t="s">
        <v>9566</v>
      </c>
    </row>
    <row r="3306" spans="1:8">
      <c r="A3306" t="s">
        <v>242</v>
      </c>
      <c r="B3306" t="s">
        <v>181</v>
      </c>
      <c r="C3306">
        <v>76</v>
      </c>
      <c r="D3306" t="s">
        <v>9567</v>
      </c>
      <c r="E3306" t="s">
        <v>9568</v>
      </c>
    </row>
    <row r="3307" spans="1:8">
      <c r="A3307" t="s">
        <v>241</v>
      </c>
      <c r="B3307" t="s">
        <v>181</v>
      </c>
      <c r="C3307">
        <v>76</v>
      </c>
      <c r="D3307" t="s">
        <v>9569</v>
      </c>
      <c r="E3307" t="s">
        <v>9570</v>
      </c>
      <c r="F3307" t="s">
        <v>181</v>
      </c>
      <c r="H3307" t="s">
        <v>9571</v>
      </c>
    </row>
    <row r="3308" spans="1:8">
      <c r="A3308" t="s">
        <v>238</v>
      </c>
      <c r="B3308" t="s">
        <v>181</v>
      </c>
      <c r="C3308">
        <v>76</v>
      </c>
      <c r="D3308" t="s">
        <v>9572</v>
      </c>
      <c r="E3308" t="s">
        <v>9573</v>
      </c>
      <c r="F3308" t="s">
        <v>9574</v>
      </c>
      <c r="G3308" t="s">
        <v>9575</v>
      </c>
      <c r="H3308" t="s">
        <v>9576</v>
      </c>
    </row>
    <row r="3309" spans="1:8">
      <c r="A3309" t="s">
        <v>241</v>
      </c>
      <c r="B3309" t="s">
        <v>181</v>
      </c>
      <c r="C3309">
        <v>76</v>
      </c>
      <c r="D3309" t="s">
        <v>9577</v>
      </c>
      <c r="E3309" t="s">
        <v>9578</v>
      </c>
      <c r="F3309" t="s">
        <v>181</v>
      </c>
      <c r="G3309" t="s">
        <v>9579</v>
      </c>
      <c r="H3309" t="s">
        <v>9580</v>
      </c>
    </row>
    <row r="3310" spans="1:8">
      <c r="A3310" t="s">
        <v>241</v>
      </c>
      <c r="B3310" t="s">
        <v>181</v>
      </c>
      <c r="C3310">
        <v>76</v>
      </c>
      <c r="D3310" t="s">
        <v>9581</v>
      </c>
      <c r="E3310" t="s">
        <v>9582</v>
      </c>
      <c r="F3310" t="s">
        <v>181</v>
      </c>
      <c r="G3310" t="s">
        <v>9583</v>
      </c>
      <c r="H3310" t="s">
        <v>9584</v>
      </c>
    </row>
    <row r="3311" spans="1:8">
      <c r="A3311" t="s">
        <v>241</v>
      </c>
      <c r="B3311" t="s">
        <v>181</v>
      </c>
      <c r="C3311">
        <v>76</v>
      </c>
      <c r="D3311" t="s">
        <v>9585</v>
      </c>
      <c r="E3311" t="s">
        <v>9586</v>
      </c>
      <c r="F3311" t="s">
        <v>181</v>
      </c>
      <c r="G3311" t="s">
        <v>9587</v>
      </c>
    </row>
    <row r="3312" spans="1:8">
      <c r="A3312" t="s">
        <v>241</v>
      </c>
      <c r="B3312" t="s">
        <v>181</v>
      </c>
      <c r="C3312">
        <v>76</v>
      </c>
      <c r="D3312" t="s">
        <v>9588</v>
      </c>
      <c r="E3312" t="s">
        <v>9589</v>
      </c>
      <c r="G3312" t="s">
        <v>9590</v>
      </c>
      <c r="H3312" t="s">
        <v>9591</v>
      </c>
    </row>
    <row r="3313" spans="1:8">
      <c r="A3313" t="s">
        <v>240</v>
      </c>
      <c r="B3313" t="s">
        <v>181</v>
      </c>
      <c r="C3313">
        <v>76</v>
      </c>
      <c r="D3313" t="s">
        <v>9592</v>
      </c>
      <c r="E3313" t="s">
        <v>7028</v>
      </c>
      <c r="F3313" t="s">
        <v>181</v>
      </c>
      <c r="G3313" t="s">
        <v>9593</v>
      </c>
      <c r="H3313" t="s">
        <v>9594</v>
      </c>
    </row>
    <row r="3314" spans="1:8">
      <c r="A3314" t="s">
        <v>240</v>
      </c>
      <c r="B3314" t="s">
        <v>181</v>
      </c>
      <c r="C3314">
        <v>76</v>
      </c>
      <c r="D3314" t="s">
        <v>9595</v>
      </c>
      <c r="E3314" t="s">
        <v>9596</v>
      </c>
      <c r="F3314" t="s">
        <v>181</v>
      </c>
    </row>
    <row r="3315" spans="1:8">
      <c r="A3315" t="s">
        <v>238</v>
      </c>
      <c r="B3315" t="s">
        <v>4</v>
      </c>
      <c r="C3315">
        <v>77</v>
      </c>
      <c r="D3315" t="s">
        <v>1246</v>
      </c>
      <c r="F3315" t="s">
        <v>4</v>
      </c>
      <c r="H3315" t="s">
        <v>1247</v>
      </c>
    </row>
    <row r="3316" spans="1:8">
      <c r="A3316" t="s">
        <v>241</v>
      </c>
      <c r="B3316" t="s">
        <v>4</v>
      </c>
      <c r="C3316">
        <v>77</v>
      </c>
      <c r="D3316" t="s">
        <v>1248</v>
      </c>
      <c r="E3316" t="s">
        <v>1249</v>
      </c>
      <c r="H3316" t="s">
        <v>1250</v>
      </c>
    </row>
    <row r="3317" spans="1:8">
      <c r="A3317" t="s">
        <v>240</v>
      </c>
      <c r="B3317" t="s">
        <v>4</v>
      </c>
      <c r="C3317">
        <v>77</v>
      </c>
      <c r="D3317" t="s">
        <v>1251</v>
      </c>
      <c r="E3317" t="s">
        <v>1252</v>
      </c>
      <c r="H3317" t="s">
        <v>1253</v>
      </c>
    </row>
    <row r="3318" spans="1:8">
      <c r="A3318" t="s">
        <v>242</v>
      </c>
      <c r="B3318" t="s">
        <v>4</v>
      </c>
      <c r="C3318">
        <v>77</v>
      </c>
      <c r="D3318" t="s">
        <v>1254</v>
      </c>
      <c r="F3318" t="s">
        <v>1255</v>
      </c>
      <c r="H3318" t="s">
        <v>1256</v>
      </c>
    </row>
    <row r="3319" spans="1:8">
      <c r="A3319" t="s">
        <v>242</v>
      </c>
      <c r="B3319" t="s">
        <v>4</v>
      </c>
      <c r="C3319">
        <v>77</v>
      </c>
      <c r="D3319" t="s">
        <v>1257</v>
      </c>
      <c r="F3319" t="s">
        <v>1258</v>
      </c>
      <c r="G3319" t="s">
        <v>1259</v>
      </c>
      <c r="H3319" t="s">
        <v>1260</v>
      </c>
    </row>
    <row r="3320" spans="1:8">
      <c r="A3320" t="s">
        <v>242</v>
      </c>
      <c r="B3320" t="s">
        <v>4</v>
      </c>
      <c r="C3320">
        <v>77</v>
      </c>
      <c r="D3320" t="s">
        <v>1261</v>
      </c>
      <c r="E3320" t="s">
        <v>1262</v>
      </c>
      <c r="F3320" t="s">
        <v>1263</v>
      </c>
      <c r="G3320" t="s">
        <v>1264</v>
      </c>
      <c r="H3320" t="s">
        <v>1265</v>
      </c>
    </row>
    <row r="3321" spans="1:8">
      <c r="A3321" t="s">
        <v>241</v>
      </c>
      <c r="B3321" t="s">
        <v>4</v>
      </c>
      <c r="C3321">
        <v>77</v>
      </c>
      <c r="D3321" t="s">
        <v>1266</v>
      </c>
      <c r="E3321" t="s">
        <v>1267</v>
      </c>
      <c r="F3321" t="s">
        <v>4</v>
      </c>
    </row>
    <row r="3322" spans="1:8">
      <c r="A3322" t="s">
        <v>242</v>
      </c>
      <c r="B3322" t="s">
        <v>4</v>
      </c>
      <c r="C3322">
        <v>77</v>
      </c>
      <c r="D3322" t="s">
        <v>1268</v>
      </c>
      <c r="F3322" t="s">
        <v>1269</v>
      </c>
      <c r="G3322" t="s">
        <v>1270</v>
      </c>
      <c r="H3322" t="s">
        <v>1271</v>
      </c>
    </row>
    <row r="3323" spans="1:8">
      <c r="A3323" t="s">
        <v>238</v>
      </c>
      <c r="B3323" t="s">
        <v>4</v>
      </c>
      <c r="C3323">
        <v>77</v>
      </c>
      <c r="D3323" t="s">
        <v>1272</v>
      </c>
      <c r="E3323" t="s">
        <v>1273</v>
      </c>
      <c r="F3323" t="s">
        <v>4</v>
      </c>
      <c r="H3323" t="s">
        <v>1274</v>
      </c>
    </row>
    <row r="3324" spans="1:8">
      <c r="A3324" t="s">
        <v>238</v>
      </c>
      <c r="B3324" t="s">
        <v>4</v>
      </c>
      <c r="C3324">
        <v>77</v>
      </c>
      <c r="D3324" t="s">
        <v>1275</v>
      </c>
      <c r="E3324" t="s">
        <v>1276</v>
      </c>
      <c r="F3324" t="s">
        <v>4</v>
      </c>
      <c r="G3324" t="s">
        <v>1277</v>
      </c>
      <c r="H3324" t="s">
        <v>1278</v>
      </c>
    </row>
    <row r="3325" spans="1:8">
      <c r="A3325" t="s">
        <v>241</v>
      </c>
      <c r="B3325" t="s">
        <v>4</v>
      </c>
      <c r="C3325">
        <v>77</v>
      </c>
      <c r="D3325" t="s">
        <v>1279</v>
      </c>
      <c r="E3325" t="s">
        <v>1280</v>
      </c>
      <c r="F3325" t="s">
        <v>4</v>
      </c>
      <c r="H3325" t="s">
        <v>1281</v>
      </c>
    </row>
    <row r="3326" spans="1:8">
      <c r="A3326" t="s">
        <v>244</v>
      </c>
      <c r="B3326" t="s">
        <v>4</v>
      </c>
      <c r="C3326">
        <v>77</v>
      </c>
      <c r="D3326" t="s">
        <v>1282</v>
      </c>
      <c r="F3326" t="s">
        <v>4</v>
      </c>
    </row>
    <row r="3327" spans="1:8">
      <c r="A3327" t="s">
        <v>242</v>
      </c>
      <c r="B3327" t="s">
        <v>4</v>
      </c>
      <c r="C3327">
        <v>77</v>
      </c>
      <c r="D3327" t="s">
        <v>1283</v>
      </c>
      <c r="E3327" t="s">
        <v>1284</v>
      </c>
      <c r="F3327" t="s">
        <v>1285</v>
      </c>
      <c r="G3327" t="s">
        <v>1286</v>
      </c>
      <c r="H3327" t="s">
        <v>1287</v>
      </c>
    </row>
    <row r="3328" spans="1:8">
      <c r="A3328" t="s">
        <v>243</v>
      </c>
      <c r="B3328" t="s">
        <v>4</v>
      </c>
      <c r="C3328">
        <v>77</v>
      </c>
      <c r="D3328" t="s">
        <v>1288</v>
      </c>
      <c r="F3328" t="s">
        <v>4</v>
      </c>
      <c r="G3328" t="s">
        <v>1289</v>
      </c>
      <c r="H3328" t="s">
        <v>1290</v>
      </c>
    </row>
    <row r="3329" spans="1:8">
      <c r="A3329" t="s">
        <v>243</v>
      </c>
      <c r="B3329" t="s">
        <v>4</v>
      </c>
      <c r="C3329">
        <v>77</v>
      </c>
      <c r="D3329" t="s">
        <v>1291</v>
      </c>
      <c r="E3329" t="s">
        <v>1292</v>
      </c>
      <c r="F3329" t="s">
        <v>4</v>
      </c>
      <c r="G3329" t="s">
        <v>1289</v>
      </c>
      <c r="H3329" t="s">
        <v>1290</v>
      </c>
    </row>
    <row r="3330" spans="1:8">
      <c r="A3330" t="s">
        <v>243</v>
      </c>
      <c r="B3330" t="s">
        <v>4</v>
      </c>
      <c r="C3330">
        <v>77</v>
      </c>
      <c r="D3330" t="s">
        <v>1293</v>
      </c>
      <c r="E3330" t="s">
        <v>1294</v>
      </c>
      <c r="H3330" t="s">
        <v>1250</v>
      </c>
    </row>
    <row r="3331" spans="1:8">
      <c r="A3331" t="s">
        <v>238</v>
      </c>
      <c r="B3331" t="s">
        <v>4</v>
      </c>
      <c r="C3331">
        <v>77</v>
      </c>
      <c r="D3331" t="s">
        <v>1295</v>
      </c>
      <c r="E3331" t="s">
        <v>1296</v>
      </c>
      <c r="F3331" t="s">
        <v>4</v>
      </c>
      <c r="G3331" t="s">
        <v>1297</v>
      </c>
      <c r="H3331" t="s">
        <v>1298</v>
      </c>
    </row>
    <row r="3332" spans="1:8">
      <c r="A3332" t="s">
        <v>241</v>
      </c>
      <c r="B3332" t="s">
        <v>4</v>
      </c>
      <c r="C3332">
        <v>77</v>
      </c>
      <c r="D3332" t="s">
        <v>1299</v>
      </c>
      <c r="E3332" t="s">
        <v>1300</v>
      </c>
      <c r="F3332" t="s">
        <v>4</v>
      </c>
      <c r="H3332" t="s">
        <v>1301</v>
      </c>
    </row>
    <row r="3333" spans="1:8">
      <c r="A3333" t="s">
        <v>246</v>
      </c>
      <c r="B3333" t="s">
        <v>4</v>
      </c>
      <c r="C3333">
        <v>77</v>
      </c>
      <c r="D3333" t="s">
        <v>1302</v>
      </c>
      <c r="E3333" t="s">
        <v>1303</v>
      </c>
      <c r="F3333" t="s">
        <v>1304</v>
      </c>
    </row>
    <row r="3334" spans="1:8">
      <c r="A3334" t="s">
        <v>245</v>
      </c>
      <c r="B3334" t="s">
        <v>4</v>
      </c>
      <c r="C3334">
        <v>77</v>
      </c>
      <c r="D3334" t="s">
        <v>1305</v>
      </c>
      <c r="E3334" t="s">
        <v>1306</v>
      </c>
      <c r="F3334" t="s">
        <v>4</v>
      </c>
      <c r="H3334" t="s">
        <v>1307</v>
      </c>
    </row>
    <row r="3335" spans="1:8">
      <c r="A3335" t="s">
        <v>243</v>
      </c>
      <c r="B3335" t="s">
        <v>4</v>
      </c>
      <c r="C3335">
        <v>77</v>
      </c>
      <c r="D3335" t="s">
        <v>1308</v>
      </c>
      <c r="E3335" t="s">
        <v>1309</v>
      </c>
      <c r="F3335" t="s">
        <v>4</v>
      </c>
      <c r="G3335" t="s">
        <v>1289</v>
      </c>
      <c r="H3335" t="s">
        <v>1290</v>
      </c>
    </row>
    <row r="3336" spans="1:8">
      <c r="A3336" t="s">
        <v>242</v>
      </c>
      <c r="B3336" t="s">
        <v>4</v>
      </c>
      <c r="C3336">
        <v>77</v>
      </c>
      <c r="D3336" t="s">
        <v>1310</v>
      </c>
      <c r="E3336" t="s">
        <v>1311</v>
      </c>
      <c r="F3336" t="s">
        <v>1312</v>
      </c>
      <c r="H3336" t="s">
        <v>1313</v>
      </c>
    </row>
    <row r="3337" spans="1:8">
      <c r="A3337" t="s">
        <v>242</v>
      </c>
      <c r="B3337" t="s">
        <v>4</v>
      </c>
      <c r="C3337">
        <v>77</v>
      </c>
      <c r="D3337" t="s">
        <v>1314</v>
      </c>
      <c r="E3337" t="s">
        <v>1315</v>
      </c>
      <c r="F3337" t="s">
        <v>4</v>
      </c>
      <c r="G3337" t="s">
        <v>1316</v>
      </c>
      <c r="H3337" t="s">
        <v>1317</v>
      </c>
    </row>
    <row r="3338" spans="1:8">
      <c r="A3338" t="s">
        <v>242</v>
      </c>
      <c r="B3338" t="s">
        <v>4</v>
      </c>
      <c r="C3338">
        <v>77</v>
      </c>
      <c r="D3338" t="s">
        <v>1318</v>
      </c>
      <c r="E3338" t="s">
        <v>1319</v>
      </c>
      <c r="F3338" t="s">
        <v>4</v>
      </c>
      <c r="G3338" t="s">
        <v>1320</v>
      </c>
      <c r="H3338" t="s">
        <v>1321</v>
      </c>
    </row>
    <row r="3339" spans="1:8">
      <c r="A3339" t="s">
        <v>242</v>
      </c>
      <c r="B3339" t="s">
        <v>4</v>
      </c>
      <c r="C3339">
        <v>77</v>
      </c>
      <c r="D3339" t="s">
        <v>1322</v>
      </c>
      <c r="F3339" t="s">
        <v>4</v>
      </c>
      <c r="H3339" t="s">
        <v>1323</v>
      </c>
    </row>
    <row r="3340" spans="1:8">
      <c r="A3340" t="s">
        <v>242</v>
      </c>
      <c r="B3340" t="s">
        <v>4</v>
      </c>
      <c r="C3340">
        <v>77</v>
      </c>
      <c r="D3340" t="s">
        <v>1324</v>
      </c>
      <c r="E3340" t="s">
        <v>1325</v>
      </c>
      <c r="F3340" t="s">
        <v>4</v>
      </c>
      <c r="H3340" t="s">
        <v>1313</v>
      </c>
    </row>
    <row r="3341" spans="1:8">
      <c r="A3341" t="s">
        <v>238</v>
      </c>
      <c r="B3341" t="s">
        <v>4</v>
      </c>
      <c r="C3341">
        <v>77</v>
      </c>
      <c r="D3341" t="s">
        <v>1326</v>
      </c>
      <c r="E3341" t="s">
        <v>1327</v>
      </c>
      <c r="F3341" t="s">
        <v>4</v>
      </c>
      <c r="H3341" t="s">
        <v>1313</v>
      </c>
    </row>
    <row r="3342" spans="1:8">
      <c r="A3342" t="s">
        <v>240</v>
      </c>
      <c r="B3342" t="s">
        <v>4</v>
      </c>
      <c r="C3342">
        <v>77</v>
      </c>
      <c r="D3342" t="s">
        <v>1328</v>
      </c>
      <c r="E3342" t="s">
        <v>1329</v>
      </c>
      <c r="F3342" t="s">
        <v>4</v>
      </c>
      <c r="G3342" t="s">
        <v>1330</v>
      </c>
      <c r="H3342" t="s">
        <v>1331</v>
      </c>
    </row>
    <row r="3343" spans="1:8">
      <c r="A3343" t="s">
        <v>238</v>
      </c>
      <c r="B3343" t="s">
        <v>4</v>
      </c>
      <c r="C3343">
        <v>77</v>
      </c>
      <c r="D3343" t="s">
        <v>1332</v>
      </c>
      <c r="E3343" t="s">
        <v>1333</v>
      </c>
      <c r="F3343" t="s">
        <v>4</v>
      </c>
      <c r="H3343" t="s">
        <v>1313</v>
      </c>
    </row>
    <row r="3344" spans="1:8">
      <c r="A3344" t="s">
        <v>242</v>
      </c>
      <c r="B3344" t="s">
        <v>4</v>
      </c>
      <c r="C3344">
        <v>77</v>
      </c>
      <c r="D3344" t="s">
        <v>1334</v>
      </c>
      <c r="E3344" t="s">
        <v>390</v>
      </c>
      <c r="F3344" t="s">
        <v>4</v>
      </c>
    </row>
    <row r="3345" spans="1:8">
      <c r="A3345" t="s">
        <v>242</v>
      </c>
      <c r="B3345" t="s">
        <v>4</v>
      </c>
      <c r="C3345">
        <v>77</v>
      </c>
      <c r="D3345" t="s">
        <v>1335</v>
      </c>
      <c r="E3345" t="s">
        <v>1336</v>
      </c>
      <c r="F3345" t="s">
        <v>4</v>
      </c>
      <c r="H3345" t="s">
        <v>1337</v>
      </c>
    </row>
    <row r="3346" spans="1:8">
      <c r="A3346" t="s">
        <v>241</v>
      </c>
      <c r="B3346" t="s">
        <v>70</v>
      </c>
      <c r="C3346">
        <v>78</v>
      </c>
      <c r="D3346" t="s">
        <v>3282</v>
      </c>
      <c r="E3346" t="s">
        <v>3283</v>
      </c>
      <c r="F3346" t="s">
        <v>70</v>
      </c>
      <c r="G3346" t="s">
        <v>3284</v>
      </c>
      <c r="H3346" t="s">
        <v>3285</v>
      </c>
    </row>
    <row r="3347" spans="1:8">
      <c r="A3347" t="s">
        <v>242</v>
      </c>
      <c r="B3347" t="s">
        <v>70</v>
      </c>
      <c r="C3347">
        <v>78</v>
      </c>
      <c r="D3347" t="s">
        <v>3286</v>
      </c>
      <c r="E3347" t="s">
        <v>3287</v>
      </c>
      <c r="F3347" t="s">
        <v>70</v>
      </c>
      <c r="G3347" t="s">
        <v>3288</v>
      </c>
      <c r="H3347" t="s">
        <v>3289</v>
      </c>
    </row>
    <row r="3348" spans="1:8">
      <c r="A3348" t="s">
        <v>240</v>
      </c>
      <c r="B3348" t="s">
        <v>70</v>
      </c>
      <c r="C3348">
        <v>78</v>
      </c>
      <c r="D3348" t="s">
        <v>3290</v>
      </c>
      <c r="E3348" t="s">
        <v>3291</v>
      </c>
      <c r="F3348" t="s">
        <v>70</v>
      </c>
      <c r="G3348" t="s">
        <v>3292</v>
      </c>
      <c r="H3348" t="s">
        <v>3293</v>
      </c>
    </row>
    <row r="3349" spans="1:8">
      <c r="A3349" t="s">
        <v>242</v>
      </c>
      <c r="B3349" t="s">
        <v>70</v>
      </c>
      <c r="C3349">
        <v>78</v>
      </c>
      <c r="D3349" t="s">
        <v>3294</v>
      </c>
      <c r="E3349" t="s">
        <v>3295</v>
      </c>
      <c r="F3349" t="s">
        <v>70</v>
      </c>
      <c r="G3349" t="s">
        <v>3296</v>
      </c>
      <c r="H3349" t="s">
        <v>3297</v>
      </c>
    </row>
    <row r="3350" spans="1:8">
      <c r="A3350" t="s">
        <v>239</v>
      </c>
      <c r="B3350" t="s">
        <v>70</v>
      </c>
      <c r="C3350">
        <v>78</v>
      </c>
      <c r="D3350" t="s">
        <v>3298</v>
      </c>
      <c r="E3350" t="s">
        <v>3299</v>
      </c>
      <c r="H3350" t="s">
        <v>3300</v>
      </c>
    </row>
    <row r="3351" spans="1:8">
      <c r="A3351" t="s">
        <v>241</v>
      </c>
      <c r="B3351" t="s">
        <v>70</v>
      </c>
      <c r="C3351">
        <v>78</v>
      </c>
      <c r="D3351" t="s">
        <v>3301</v>
      </c>
      <c r="E3351" t="s">
        <v>3302</v>
      </c>
      <c r="F3351" t="s">
        <v>3303</v>
      </c>
      <c r="H3351" t="s">
        <v>3304</v>
      </c>
    </row>
    <row r="3352" spans="1:8">
      <c r="A3352" t="s">
        <v>241</v>
      </c>
      <c r="B3352" t="s">
        <v>70</v>
      </c>
      <c r="C3352">
        <v>78</v>
      </c>
      <c r="D3352" t="s">
        <v>3305</v>
      </c>
      <c r="E3352" t="s">
        <v>3306</v>
      </c>
      <c r="F3352" t="s">
        <v>70</v>
      </c>
      <c r="G3352" t="s">
        <v>3284</v>
      </c>
      <c r="H3352" t="s">
        <v>3285</v>
      </c>
    </row>
    <row r="3353" spans="1:8">
      <c r="A3353" t="s">
        <v>242</v>
      </c>
      <c r="B3353" t="s">
        <v>70</v>
      </c>
      <c r="C3353">
        <v>78</v>
      </c>
      <c r="D3353" t="s">
        <v>3307</v>
      </c>
      <c r="E3353" t="s">
        <v>3308</v>
      </c>
      <c r="F3353" t="s">
        <v>70</v>
      </c>
      <c r="G3353" t="s">
        <v>3309</v>
      </c>
      <c r="H3353" t="s">
        <v>3310</v>
      </c>
    </row>
    <row r="3354" spans="1:8">
      <c r="A3354" t="s">
        <v>242</v>
      </c>
      <c r="B3354" t="s">
        <v>30</v>
      </c>
      <c r="C3354">
        <v>78</v>
      </c>
      <c r="D3354" t="s">
        <v>9705</v>
      </c>
      <c r="E3354" t="s">
        <v>9706</v>
      </c>
      <c r="F3354" t="s">
        <v>30</v>
      </c>
      <c r="G3354" t="s">
        <v>9707</v>
      </c>
      <c r="H3354" t="s">
        <v>9708</v>
      </c>
    </row>
    <row r="3355" spans="1:8">
      <c r="A3355" t="s">
        <v>241</v>
      </c>
      <c r="B3355" t="s">
        <v>30</v>
      </c>
      <c r="C3355">
        <v>78</v>
      </c>
      <c r="D3355" t="s">
        <v>9709</v>
      </c>
      <c r="E3355" t="s">
        <v>9710</v>
      </c>
      <c r="H3355" t="s">
        <v>9711</v>
      </c>
    </row>
    <row r="3356" spans="1:8">
      <c r="A3356" t="s">
        <v>244</v>
      </c>
      <c r="B3356" t="s">
        <v>30</v>
      </c>
      <c r="C3356">
        <v>78</v>
      </c>
      <c r="D3356" t="s">
        <v>1282</v>
      </c>
      <c r="F3356" t="s">
        <v>9712</v>
      </c>
    </row>
    <row r="3357" spans="1:8">
      <c r="A3357" t="s">
        <v>241</v>
      </c>
      <c r="B3357" t="s">
        <v>30</v>
      </c>
      <c r="C3357">
        <v>78</v>
      </c>
      <c r="D3357" t="s">
        <v>9713</v>
      </c>
      <c r="E3357" t="s">
        <v>9714</v>
      </c>
      <c r="F3357" t="s">
        <v>30</v>
      </c>
    </row>
    <row r="3358" spans="1:8">
      <c r="A3358" t="s">
        <v>241</v>
      </c>
      <c r="B3358" t="s">
        <v>30</v>
      </c>
      <c r="C3358">
        <v>78</v>
      </c>
      <c r="D3358" t="s">
        <v>9715</v>
      </c>
      <c r="E3358" t="s">
        <v>9716</v>
      </c>
      <c r="F3358" t="s">
        <v>30</v>
      </c>
    </row>
    <row r="3359" spans="1:8">
      <c r="A3359" t="s">
        <v>241</v>
      </c>
      <c r="B3359" t="s">
        <v>30</v>
      </c>
      <c r="C3359">
        <v>78</v>
      </c>
      <c r="D3359" t="s">
        <v>9717</v>
      </c>
      <c r="E3359" t="s">
        <v>9718</v>
      </c>
      <c r="F3359" t="s">
        <v>30</v>
      </c>
      <c r="H3359" t="s">
        <v>9719</v>
      </c>
    </row>
    <row r="3360" spans="1:8">
      <c r="A3360" t="s">
        <v>241</v>
      </c>
      <c r="B3360" t="s">
        <v>217</v>
      </c>
      <c r="C3360">
        <v>78</v>
      </c>
      <c r="D3360" t="s">
        <v>2194</v>
      </c>
      <c r="E3360" t="s">
        <v>10891</v>
      </c>
      <c r="F3360" t="s">
        <v>10892</v>
      </c>
      <c r="H3360" t="s">
        <v>10893</v>
      </c>
    </row>
    <row r="3361" spans="1:8">
      <c r="A3361" t="s">
        <v>241</v>
      </c>
      <c r="B3361" t="s">
        <v>217</v>
      </c>
      <c r="C3361">
        <v>78</v>
      </c>
      <c r="D3361" t="s">
        <v>10894</v>
      </c>
      <c r="E3361" t="s">
        <v>10895</v>
      </c>
      <c r="H3361" t="s">
        <v>10896</v>
      </c>
    </row>
    <row r="3362" spans="1:8">
      <c r="A3362" t="s">
        <v>243</v>
      </c>
      <c r="B3362" t="s">
        <v>217</v>
      </c>
      <c r="C3362">
        <v>78</v>
      </c>
      <c r="D3362" t="s">
        <v>10897</v>
      </c>
      <c r="E3362" t="s">
        <v>10898</v>
      </c>
      <c r="F3362" t="s">
        <v>217</v>
      </c>
      <c r="G3362" t="s">
        <v>10899</v>
      </c>
      <c r="H3362" t="s">
        <v>10900</v>
      </c>
    </row>
    <row r="3363" spans="1:8">
      <c r="A3363" t="s">
        <v>243</v>
      </c>
      <c r="B3363" t="s">
        <v>217</v>
      </c>
      <c r="C3363">
        <v>78</v>
      </c>
      <c r="D3363" t="s">
        <v>10901</v>
      </c>
      <c r="E3363" t="s">
        <v>10902</v>
      </c>
      <c r="F3363" t="s">
        <v>217</v>
      </c>
      <c r="G3363" t="s">
        <v>10903</v>
      </c>
      <c r="H3363" t="s">
        <v>10904</v>
      </c>
    </row>
    <row r="3364" spans="1:8">
      <c r="A3364" t="s">
        <v>242</v>
      </c>
      <c r="B3364" t="s">
        <v>217</v>
      </c>
      <c r="C3364">
        <v>78</v>
      </c>
      <c r="D3364" t="s">
        <v>10905</v>
      </c>
      <c r="E3364" t="s">
        <v>10906</v>
      </c>
      <c r="F3364" t="s">
        <v>217</v>
      </c>
      <c r="G3364" t="s">
        <v>10907</v>
      </c>
      <c r="H3364" t="s">
        <v>10908</v>
      </c>
    </row>
    <row r="3365" spans="1:8">
      <c r="A3365" t="s">
        <v>241</v>
      </c>
      <c r="B3365" t="s">
        <v>217</v>
      </c>
      <c r="C3365">
        <v>78</v>
      </c>
      <c r="D3365" t="s">
        <v>3583</v>
      </c>
      <c r="E3365" t="s">
        <v>10909</v>
      </c>
      <c r="F3365" t="s">
        <v>217</v>
      </c>
      <c r="G3365" t="s">
        <v>10910</v>
      </c>
      <c r="H3365" t="s">
        <v>8338</v>
      </c>
    </row>
    <row r="3366" spans="1:8">
      <c r="A3366" t="s">
        <v>242</v>
      </c>
      <c r="B3366" t="s">
        <v>217</v>
      </c>
      <c r="C3366">
        <v>78</v>
      </c>
      <c r="D3366" t="s">
        <v>10911</v>
      </c>
      <c r="E3366" t="s">
        <v>10912</v>
      </c>
      <c r="F3366" t="s">
        <v>10913</v>
      </c>
      <c r="G3366" t="s">
        <v>10914</v>
      </c>
      <c r="H3366" t="s">
        <v>10915</v>
      </c>
    </row>
    <row r="3367" spans="1:8">
      <c r="A3367" t="s">
        <v>241</v>
      </c>
      <c r="B3367" t="s">
        <v>217</v>
      </c>
      <c r="C3367">
        <v>78</v>
      </c>
      <c r="D3367" t="s">
        <v>10916</v>
      </c>
      <c r="E3367" t="s">
        <v>10917</v>
      </c>
      <c r="F3367" t="s">
        <v>217</v>
      </c>
      <c r="G3367" t="s">
        <v>10918</v>
      </c>
      <c r="H3367" t="s">
        <v>10919</v>
      </c>
    </row>
    <row r="3368" spans="1:8">
      <c r="A3368" t="s">
        <v>241</v>
      </c>
      <c r="B3368" t="s">
        <v>217</v>
      </c>
      <c r="C3368">
        <v>78</v>
      </c>
      <c r="D3368" t="s">
        <v>10920</v>
      </c>
      <c r="F3368" t="s">
        <v>217</v>
      </c>
      <c r="G3368" t="s">
        <v>10921</v>
      </c>
      <c r="H3368" t="s">
        <v>10922</v>
      </c>
    </row>
    <row r="3369" spans="1:8">
      <c r="A3369" t="s">
        <v>241</v>
      </c>
      <c r="B3369" t="s">
        <v>217</v>
      </c>
      <c r="C3369">
        <v>78</v>
      </c>
      <c r="D3369" t="s">
        <v>10923</v>
      </c>
      <c r="E3369" t="s">
        <v>10924</v>
      </c>
      <c r="G3369" t="s">
        <v>10925</v>
      </c>
      <c r="H3369" t="s">
        <v>10926</v>
      </c>
    </row>
    <row r="3370" spans="1:8">
      <c r="A3370" t="s">
        <v>239</v>
      </c>
      <c r="B3370" t="s">
        <v>217</v>
      </c>
      <c r="C3370">
        <v>78</v>
      </c>
      <c r="D3370" t="s">
        <v>10927</v>
      </c>
      <c r="E3370" t="s">
        <v>10928</v>
      </c>
      <c r="F3370" t="s">
        <v>217</v>
      </c>
      <c r="H3370" t="s">
        <v>10929</v>
      </c>
    </row>
    <row r="3371" spans="1:8">
      <c r="A3371" t="s">
        <v>240</v>
      </c>
      <c r="B3371" t="s">
        <v>217</v>
      </c>
      <c r="C3371">
        <v>78</v>
      </c>
      <c r="D3371" t="s">
        <v>10930</v>
      </c>
      <c r="E3371" t="s">
        <v>10931</v>
      </c>
      <c r="F3371" t="s">
        <v>217</v>
      </c>
    </row>
    <row r="3372" spans="1:8">
      <c r="A3372" t="s">
        <v>240</v>
      </c>
      <c r="B3372" t="s">
        <v>217</v>
      </c>
      <c r="C3372">
        <v>78</v>
      </c>
      <c r="D3372" t="s">
        <v>10932</v>
      </c>
      <c r="E3372" t="s">
        <v>10933</v>
      </c>
      <c r="F3372" t="s">
        <v>217</v>
      </c>
    </row>
    <row r="3373" spans="1:8">
      <c r="A3373" t="s">
        <v>242</v>
      </c>
      <c r="B3373" t="s">
        <v>42</v>
      </c>
      <c r="C3373">
        <v>78</v>
      </c>
      <c r="D3373" t="s">
        <v>12968</v>
      </c>
      <c r="E3373" t="s">
        <v>12969</v>
      </c>
      <c r="F3373" t="s">
        <v>42</v>
      </c>
      <c r="G3373" t="s">
        <v>12970</v>
      </c>
      <c r="H3373" t="s">
        <v>12971</v>
      </c>
    </row>
    <row r="3374" spans="1:8">
      <c r="A3374" t="s">
        <v>241</v>
      </c>
      <c r="B3374" t="s">
        <v>42</v>
      </c>
      <c r="C3374">
        <v>78</v>
      </c>
      <c r="D3374" t="s">
        <v>12972</v>
      </c>
      <c r="E3374" t="s">
        <v>12973</v>
      </c>
      <c r="F3374" t="s">
        <v>12974</v>
      </c>
      <c r="G3374" t="s">
        <v>12975</v>
      </c>
      <c r="H3374" t="s">
        <v>12976</v>
      </c>
    </row>
    <row r="3375" spans="1:8">
      <c r="A3375" t="s">
        <v>240</v>
      </c>
      <c r="B3375" t="s">
        <v>42</v>
      </c>
      <c r="C3375">
        <v>78</v>
      </c>
      <c r="D3375" t="s">
        <v>12977</v>
      </c>
      <c r="E3375" t="s">
        <v>12978</v>
      </c>
      <c r="F3375" t="s">
        <v>42</v>
      </c>
    </row>
    <row r="3376" spans="1:8">
      <c r="A3376" t="s">
        <v>242</v>
      </c>
      <c r="B3376" t="s">
        <v>48</v>
      </c>
      <c r="C3376">
        <v>78</v>
      </c>
      <c r="D3376" t="s">
        <v>15533</v>
      </c>
      <c r="E3376" t="s">
        <v>15534</v>
      </c>
      <c r="F3376" t="s">
        <v>48</v>
      </c>
      <c r="G3376" t="s">
        <v>15535</v>
      </c>
      <c r="H3376" t="s">
        <v>15536</v>
      </c>
    </row>
    <row r="3377" spans="1:8">
      <c r="A3377" t="s">
        <v>242</v>
      </c>
      <c r="B3377" t="s">
        <v>48</v>
      </c>
      <c r="C3377">
        <v>78</v>
      </c>
      <c r="D3377" t="s">
        <v>1407</v>
      </c>
      <c r="E3377" t="s">
        <v>15537</v>
      </c>
      <c r="F3377" t="s">
        <v>48</v>
      </c>
      <c r="G3377" t="s">
        <v>15538</v>
      </c>
      <c r="H3377" t="s">
        <v>15539</v>
      </c>
    </row>
    <row r="3378" spans="1:8">
      <c r="A3378" t="s">
        <v>241</v>
      </c>
      <c r="B3378" t="s">
        <v>48</v>
      </c>
      <c r="C3378">
        <v>78</v>
      </c>
      <c r="D3378" t="s">
        <v>15540</v>
      </c>
      <c r="E3378" t="s">
        <v>15541</v>
      </c>
      <c r="G3378" t="s">
        <v>15542</v>
      </c>
      <c r="H3378" t="s">
        <v>15543</v>
      </c>
    </row>
    <row r="3379" spans="1:8">
      <c r="A3379" t="s">
        <v>241</v>
      </c>
      <c r="B3379" t="s">
        <v>48</v>
      </c>
      <c r="C3379">
        <v>78</v>
      </c>
      <c r="D3379" t="s">
        <v>15544</v>
      </c>
      <c r="E3379" t="s">
        <v>15545</v>
      </c>
      <c r="F3379" t="s">
        <v>15546</v>
      </c>
      <c r="H3379" t="s">
        <v>15547</v>
      </c>
    </row>
    <row r="3380" spans="1:8">
      <c r="A3380" t="s">
        <v>241</v>
      </c>
      <c r="B3380" t="s">
        <v>48</v>
      </c>
      <c r="C3380">
        <v>78</v>
      </c>
      <c r="D3380" t="s">
        <v>15548</v>
      </c>
      <c r="E3380" t="s">
        <v>15549</v>
      </c>
      <c r="F3380" t="s">
        <v>48</v>
      </c>
      <c r="G3380" t="s">
        <v>15550</v>
      </c>
      <c r="H3380" t="s">
        <v>15551</v>
      </c>
    </row>
    <row r="3381" spans="1:8">
      <c r="A3381" t="s">
        <v>241</v>
      </c>
      <c r="B3381" t="s">
        <v>48</v>
      </c>
      <c r="C3381">
        <v>78</v>
      </c>
      <c r="D3381" t="s">
        <v>13353</v>
      </c>
      <c r="E3381" t="s">
        <v>15552</v>
      </c>
      <c r="F3381" t="s">
        <v>48</v>
      </c>
      <c r="H3381" t="s">
        <v>15553</v>
      </c>
    </row>
    <row r="3382" spans="1:8">
      <c r="A3382" t="s">
        <v>241</v>
      </c>
      <c r="B3382" t="s">
        <v>48</v>
      </c>
      <c r="C3382">
        <v>78</v>
      </c>
      <c r="D3382" t="s">
        <v>15554</v>
      </c>
      <c r="E3382" t="s">
        <v>15555</v>
      </c>
      <c r="G3382" t="s">
        <v>15556</v>
      </c>
      <c r="H3382" t="s">
        <v>15557</v>
      </c>
    </row>
    <row r="3383" spans="1:8">
      <c r="A3383" t="s">
        <v>239</v>
      </c>
      <c r="B3383" t="s">
        <v>48</v>
      </c>
      <c r="C3383">
        <v>78</v>
      </c>
      <c r="D3383" t="s">
        <v>15558</v>
      </c>
      <c r="H3383" t="s">
        <v>15559</v>
      </c>
    </row>
    <row r="3384" spans="1:8">
      <c r="A3384" t="s">
        <v>241</v>
      </c>
      <c r="B3384" t="s">
        <v>48</v>
      </c>
      <c r="C3384">
        <v>78</v>
      </c>
      <c r="D3384" t="s">
        <v>15560</v>
      </c>
      <c r="E3384" t="s">
        <v>15561</v>
      </c>
      <c r="G3384" t="s">
        <v>15562</v>
      </c>
      <c r="H3384" t="s">
        <v>15563</v>
      </c>
    </row>
    <row r="3385" spans="1:8">
      <c r="A3385" t="s">
        <v>241</v>
      </c>
      <c r="B3385" t="s">
        <v>48</v>
      </c>
      <c r="C3385">
        <v>78</v>
      </c>
      <c r="D3385" t="s">
        <v>8122</v>
      </c>
      <c r="E3385" t="s">
        <v>15564</v>
      </c>
      <c r="F3385" t="s">
        <v>15565</v>
      </c>
      <c r="H3385" t="s">
        <v>15566</v>
      </c>
    </row>
    <row r="3386" spans="1:8">
      <c r="A3386" t="s">
        <v>242</v>
      </c>
      <c r="B3386" t="s">
        <v>48</v>
      </c>
      <c r="C3386">
        <v>78</v>
      </c>
      <c r="D3386" t="s">
        <v>15567</v>
      </c>
      <c r="E3386" t="s">
        <v>15568</v>
      </c>
      <c r="F3386" t="s">
        <v>48</v>
      </c>
      <c r="G3386" t="s">
        <v>15569</v>
      </c>
      <c r="H3386" t="s">
        <v>15570</v>
      </c>
    </row>
    <row r="3387" spans="1:8">
      <c r="A3387" t="s">
        <v>242</v>
      </c>
      <c r="B3387" t="s">
        <v>48</v>
      </c>
      <c r="C3387">
        <v>78</v>
      </c>
      <c r="D3387" t="s">
        <v>15571</v>
      </c>
      <c r="E3387" t="s">
        <v>15572</v>
      </c>
      <c r="F3387" t="s">
        <v>48</v>
      </c>
      <c r="G3387" t="s">
        <v>15573</v>
      </c>
      <c r="H3387" t="s">
        <v>15574</v>
      </c>
    </row>
    <row r="3388" spans="1:8">
      <c r="A3388" t="s">
        <v>238</v>
      </c>
      <c r="B3388" t="s">
        <v>48</v>
      </c>
      <c r="C3388">
        <v>78</v>
      </c>
      <c r="D3388" t="s">
        <v>15575</v>
      </c>
      <c r="E3388" t="s">
        <v>15576</v>
      </c>
      <c r="F3388" t="s">
        <v>48</v>
      </c>
      <c r="G3388" t="s">
        <v>15577</v>
      </c>
      <c r="H3388" t="s">
        <v>15578</v>
      </c>
    </row>
    <row r="3389" spans="1:8">
      <c r="A3389" t="s">
        <v>239</v>
      </c>
      <c r="B3389" t="s">
        <v>48</v>
      </c>
      <c r="C3389">
        <v>78</v>
      </c>
      <c r="D3389" t="s">
        <v>15579</v>
      </c>
      <c r="E3389" t="s">
        <v>15580</v>
      </c>
      <c r="H3389" t="s">
        <v>15581</v>
      </c>
    </row>
    <row r="3390" spans="1:8">
      <c r="A3390" t="s">
        <v>239</v>
      </c>
      <c r="B3390" t="s">
        <v>48</v>
      </c>
      <c r="C3390">
        <v>78</v>
      </c>
      <c r="D3390" t="s">
        <v>15582</v>
      </c>
      <c r="E3390" t="s">
        <v>15583</v>
      </c>
      <c r="F3390" t="s">
        <v>48</v>
      </c>
      <c r="G3390" t="s">
        <v>15584</v>
      </c>
      <c r="H3390" t="s">
        <v>15585</v>
      </c>
    </row>
    <row r="3391" spans="1:8">
      <c r="A3391" t="s">
        <v>239</v>
      </c>
      <c r="B3391" t="s">
        <v>48</v>
      </c>
      <c r="C3391">
        <v>78</v>
      </c>
      <c r="D3391" t="s">
        <v>15586</v>
      </c>
      <c r="E3391" t="s">
        <v>15587</v>
      </c>
      <c r="F3391" t="s">
        <v>15588</v>
      </c>
      <c r="H3391" t="s">
        <v>15589</v>
      </c>
    </row>
    <row r="3392" spans="1:8">
      <c r="A3392" t="s">
        <v>239</v>
      </c>
      <c r="B3392" t="s">
        <v>48</v>
      </c>
      <c r="C3392">
        <v>78</v>
      </c>
      <c r="D3392" t="s">
        <v>15590</v>
      </c>
      <c r="E3392" t="s">
        <v>15591</v>
      </c>
      <c r="F3392" t="s">
        <v>48</v>
      </c>
    </row>
    <row r="3393" spans="1:8">
      <c r="A3393" t="s">
        <v>241</v>
      </c>
      <c r="B3393" t="s">
        <v>48</v>
      </c>
      <c r="C3393">
        <v>78</v>
      </c>
      <c r="D3393" t="s">
        <v>15592</v>
      </c>
      <c r="E3393" t="s">
        <v>15593</v>
      </c>
      <c r="F3393" t="s">
        <v>48</v>
      </c>
      <c r="G3393" t="s">
        <v>15594</v>
      </c>
      <c r="H3393" t="s">
        <v>15595</v>
      </c>
    </row>
    <row r="3394" spans="1:8">
      <c r="A3394" t="s">
        <v>239</v>
      </c>
      <c r="B3394" t="s">
        <v>48</v>
      </c>
      <c r="C3394">
        <v>78</v>
      </c>
      <c r="D3394" t="s">
        <v>15596</v>
      </c>
      <c r="E3394" t="s">
        <v>15597</v>
      </c>
      <c r="F3394" t="s">
        <v>48</v>
      </c>
    </row>
    <row r="3395" spans="1:8">
      <c r="A3395" t="s">
        <v>241</v>
      </c>
      <c r="B3395" t="s">
        <v>154</v>
      </c>
      <c r="C3395">
        <v>78</v>
      </c>
      <c r="D3395" t="s">
        <v>6706</v>
      </c>
      <c r="E3395" t="s">
        <v>16224</v>
      </c>
      <c r="H3395" t="s">
        <v>16225</v>
      </c>
    </row>
    <row r="3396" spans="1:8">
      <c r="A3396" t="s">
        <v>242</v>
      </c>
      <c r="B3396" t="s">
        <v>154</v>
      </c>
      <c r="C3396">
        <v>78</v>
      </c>
      <c r="D3396" t="s">
        <v>16226</v>
      </c>
      <c r="E3396" t="s">
        <v>16227</v>
      </c>
      <c r="F3396" t="s">
        <v>154</v>
      </c>
      <c r="G3396" t="s">
        <v>16228</v>
      </c>
      <c r="H3396" t="s">
        <v>16229</v>
      </c>
    </row>
    <row r="3397" spans="1:8">
      <c r="A3397" t="s">
        <v>242</v>
      </c>
      <c r="B3397" t="s">
        <v>154</v>
      </c>
      <c r="C3397">
        <v>78</v>
      </c>
      <c r="D3397" t="s">
        <v>16230</v>
      </c>
      <c r="E3397" t="s">
        <v>16231</v>
      </c>
      <c r="F3397" t="s">
        <v>154</v>
      </c>
      <c r="H3397" t="s">
        <v>16232</v>
      </c>
    </row>
    <row r="3398" spans="1:8">
      <c r="A3398" t="s">
        <v>242</v>
      </c>
      <c r="B3398" t="s">
        <v>154</v>
      </c>
      <c r="C3398">
        <v>78</v>
      </c>
      <c r="D3398" t="s">
        <v>16233</v>
      </c>
      <c r="E3398" t="s">
        <v>16234</v>
      </c>
      <c r="F3398" t="s">
        <v>154</v>
      </c>
      <c r="G3398" t="s">
        <v>16235</v>
      </c>
      <c r="H3398" t="s">
        <v>16236</v>
      </c>
    </row>
    <row r="3399" spans="1:8">
      <c r="A3399" t="s">
        <v>249</v>
      </c>
      <c r="B3399" t="s">
        <v>154</v>
      </c>
      <c r="C3399">
        <v>78</v>
      </c>
      <c r="D3399" t="s">
        <v>16237</v>
      </c>
      <c r="E3399" t="s">
        <v>16238</v>
      </c>
      <c r="F3399" t="s">
        <v>154</v>
      </c>
      <c r="G3399" t="s">
        <v>16239</v>
      </c>
      <c r="H3399" t="s">
        <v>16240</v>
      </c>
    </row>
    <row r="3400" spans="1:8">
      <c r="A3400" t="s">
        <v>242</v>
      </c>
      <c r="B3400" t="s">
        <v>154</v>
      </c>
      <c r="C3400">
        <v>78</v>
      </c>
      <c r="D3400" t="s">
        <v>16241</v>
      </c>
      <c r="E3400" t="s">
        <v>16242</v>
      </c>
      <c r="G3400" t="s">
        <v>16243</v>
      </c>
      <c r="H3400" t="s">
        <v>16244</v>
      </c>
    </row>
    <row r="3401" spans="1:8">
      <c r="A3401" t="s">
        <v>243</v>
      </c>
      <c r="B3401" t="s">
        <v>154</v>
      </c>
      <c r="C3401">
        <v>78</v>
      </c>
      <c r="D3401" t="s">
        <v>16245</v>
      </c>
      <c r="G3401" t="s">
        <v>16246</v>
      </c>
      <c r="H3401" t="s">
        <v>16247</v>
      </c>
    </row>
    <row r="3402" spans="1:8">
      <c r="A3402" t="s">
        <v>239</v>
      </c>
      <c r="B3402" t="s">
        <v>154</v>
      </c>
      <c r="C3402">
        <v>78</v>
      </c>
      <c r="D3402" t="s">
        <v>16248</v>
      </c>
      <c r="E3402" t="s">
        <v>16249</v>
      </c>
      <c r="G3402" t="s">
        <v>16250</v>
      </c>
      <c r="H3402" t="s">
        <v>16251</v>
      </c>
    </row>
    <row r="3403" spans="1:8">
      <c r="A3403" t="s">
        <v>243</v>
      </c>
      <c r="B3403" t="s">
        <v>154</v>
      </c>
      <c r="C3403">
        <v>78</v>
      </c>
      <c r="D3403" t="s">
        <v>16252</v>
      </c>
      <c r="E3403" t="s">
        <v>16253</v>
      </c>
      <c r="F3403" t="s">
        <v>154</v>
      </c>
      <c r="G3403" t="s">
        <v>16254</v>
      </c>
      <c r="H3403" t="s">
        <v>16255</v>
      </c>
    </row>
    <row r="3404" spans="1:8">
      <c r="A3404" t="s">
        <v>239</v>
      </c>
      <c r="B3404" t="s">
        <v>154</v>
      </c>
      <c r="C3404">
        <v>78</v>
      </c>
      <c r="D3404" t="s">
        <v>1094</v>
      </c>
      <c r="E3404" t="s">
        <v>16256</v>
      </c>
      <c r="F3404" t="s">
        <v>16257</v>
      </c>
      <c r="H3404" t="s">
        <v>16258</v>
      </c>
    </row>
    <row r="3405" spans="1:8">
      <c r="A3405" t="s">
        <v>241</v>
      </c>
      <c r="B3405" t="s">
        <v>154</v>
      </c>
      <c r="C3405">
        <v>78</v>
      </c>
      <c r="D3405" t="s">
        <v>16259</v>
      </c>
      <c r="E3405" t="s">
        <v>16260</v>
      </c>
      <c r="F3405" t="s">
        <v>154</v>
      </c>
      <c r="H3405" t="s">
        <v>16261</v>
      </c>
    </row>
    <row r="3406" spans="1:8">
      <c r="A3406" t="s">
        <v>243</v>
      </c>
      <c r="B3406" t="s">
        <v>154</v>
      </c>
      <c r="C3406">
        <v>78</v>
      </c>
      <c r="D3406" t="s">
        <v>16262</v>
      </c>
      <c r="E3406" t="s">
        <v>16263</v>
      </c>
      <c r="F3406" t="s">
        <v>154</v>
      </c>
      <c r="G3406" t="s">
        <v>16264</v>
      </c>
      <c r="H3406" t="s">
        <v>16265</v>
      </c>
    </row>
    <row r="3407" spans="1:8">
      <c r="A3407" t="s">
        <v>240</v>
      </c>
      <c r="B3407" t="s">
        <v>154</v>
      </c>
      <c r="C3407">
        <v>78</v>
      </c>
      <c r="D3407" t="s">
        <v>16266</v>
      </c>
      <c r="E3407" t="s">
        <v>16267</v>
      </c>
      <c r="F3407" t="s">
        <v>154</v>
      </c>
      <c r="G3407" t="s">
        <v>16268</v>
      </c>
      <c r="H3407" t="s">
        <v>16269</v>
      </c>
    </row>
    <row r="3408" spans="1:8">
      <c r="A3408" t="s">
        <v>240</v>
      </c>
      <c r="B3408" t="s">
        <v>154</v>
      </c>
      <c r="C3408">
        <v>78</v>
      </c>
      <c r="D3408" t="s">
        <v>16270</v>
      </c>
      <c r="E3408" t="s">
        <v>16271</v>
      </c>
      <c r="F3408" t="s">
        <v>154</v>
      </c>
      <c r="G3408" t="s">
        <v>16272</v>
      </c>
      <c r="H3408" t="s">
        <v>16273</v>
      </c>
    </row>
    <row r="3409" spans="1:8">
      <c r="A3409" t="s">
        <v>240</v>
      </c>
      <c r="B3409" t="s">
        <v>154</v>
      </c>
      <c r="C3409">
        <v>78</v>
      </c>
      <c r="D3409" t="s">
        <v>16274</v>
      </c>
      <c r="E3409" t="s">
        <v>16275</v>
      </c>
      <c r="F3409" t="s">
        <v>154</v>
      </c>
      <c r="G3409" t="s">
        <v>16276</v>
      </c>
      <c r="H3409" t="s">
        <v>16277</v>
      </c>
    </row>
    <row r="3410" spans="1:8">
      <c r="A3410" t="s">
        <v>241</v>
      </c>
      <c r="B3410" t="s">
        <v>154</v>
      </c>
      <c r="C3410">
        <v>78</v>
      </c>
      <c r="D3410" t="s">
        <v>16278</v>
      </c>
      <c r="E3410" t="s">
        <v>16279</v>
      </c>
      <c r="G3410" t="s">
        <v>16280</v>
      </c>
      <c r="H3410" t="s">
        <v>16281</v>
      </c>
    </row>
    <row r="3411" spans="1:8">
      <c r="A3411" t="s">
        <v>239</v>
      </c>
      <c r="B3411" t="s">
        <v>154</v>
      </c>
      <c r="C3411">
        <v>78</v>
      </c>
      <c r="D3411" t="s">
        <v>16282</v>
      </c>
      <c r="E3411" t="s">
        <v>16283</v>
      </c>
      <c r="F3411" t="s">
        <v>16284</v>
      </c>
      <c r="G3411" t="s">
        <v>16285</v>
      </c>
      <c r="H3411" t="s">
        <v>16286</v>
      </c>
    </row>
    <row r="3412" spans="1:8">
      <c r="A3412" t="s">
        <v>241</v>
      </c>
      <c r="B3412" t="s">
        <v>154</v>
      </c>
      <c r="C3412">
        <v>78</v>
      </c>
      <c r="D3412" t="s">
        <v>16287</v>
      </c>
      <c r="E3412" t="s">
        <v>16288</v>
      </c>
    </row>
    <row r="3413" spans="1:8">
      <c r="A3413" t="s">
        <v>241</v>
      </c>
      <c r="B3413" t="s">
        <v>154</v>
      </c>
      <c r="C3413">
        <v>78</v>
      </c>
      <c r="D3413" t="s">
        <v>16289</v>
      </c>
      <c r="E3413" t="s">
        <v>16290</v>
      </c>
      <c r="H3413" t="s">
        <v>16291</v>
      </c>
    </row>
    <row r="3414" spans="1:8">
      <c r="A3414" t="s">
        <v>240</v>
      </c>
      <c r="B3414" t="s">
        <v>154</v>
      </c>
      <c r="C3414">
        <v>78</v>
      </c>
      <c r="D3414" t="s">
        <v>16292</v>
      </c>
      <c r="E3414" t="s">
        <v>16293</v>
      </c>
      <c r="G3414" t="s">
        <v>16294</v>
      </c>
      <c r="H3414" t="s">
        <v>16295</v>
      </c>
    </row>
    <row r="3415" spans="1:8">
      <c r="A3415" t="s">
        <v>240</v>
      </c>
      <c r="B3415" t="s">
        <v>154</v>
      </c>
      <c r="C3415">
        <v>78</v>
      </c>
      <c r="D3415" t="s">
        <v>16296</v>
      </c>
      <c r="E3415" t="s">
        <v>16297</v>
      </c>
      <c r="F3415" t="s">
        <v>154</v>
      </c>
    </row>
    <row r="3416" spans="1:8">
      <c r="A3416" t="s">
        <v>240</v>
      </c>
      <c r="B3416" t="s">
        <v>154</v>
      </c>
      <c r="C3416">
        <v>78</v>
      </c>
      <c r="D3416" t="s">
        <v>16298</v>
      </c>
      <c r="E3416" t="s">
        <v>16299</v>
      </c>
      <c r="F3416" t="s">
        <v>154</v>
      </c>
      <c r="G3416" t="s">
        <v>16300</v>
      </c>
      <c r="H3416" t="s">
        <v>16301</v>
      </c>
    </row>
    <row r="3417" spans="1:8">
      <c r="A3417" t="s">
        <v>243</v>
      </c>
      <c r="B3417" t="s">
        <v>154</v>
      </c>
      <c r="C3417">
        <v>78</v>
      </c>
      <c r="D3417" t="s">
        <v>16302</v>
      </c>
      <c r="E3417" t="s">
        <v>16260</v>
      </c>
      <c r="F3417" t="s">
        <v>154</v>
      </c>
      <c r="G3417" t="s">
        <v>16303</v>
      </c>
      <c r="H3417" t="s">
        <v>16304</v>
      </c>
    </row>
    <row r="3418" spans="1:8">
      <c r="A3418" t="s">
        <v>243</v>
      </c>
      <c r="B3418" t="s">
        <v>154</v>
      </c>
      <c r="C3418">
        <v>78</v>
      </c>
      <c r="D3418" t="s">
        <v>16305</v>
      </c>
      <c r="E3418" t="s">
        <v>16306</v>
      </c>
      <c r="F3418" t="s">
        <v>154</v>
      </c>
      <c r="G3418" t="s">
        <v>16264</v>
      </c>
      <c r="H3418" t="s">
        <v>16265</v>
      </c>
    </row>
    <row r="3419" spans="1:8">
      <c r="A3419" t="s">
        <v>243</v>
      </c>
      <c r="B3419" t="s">
        <v>154</v>
      </c>
      <c r="C3419">
        <v>78</v>
      </c>
      <c r="D3419" t="s">
        <v>16307</v>
      </c>
      <c r="E3419" t="s">
        <v>16308</v>
      </c>
      <c r="H3419" t="s">
        <v>16309</v>
      </c>
    </row>
    <row r="3420" spans="1:8">
      <c r="A3420" t="s">
        <v>239</v>
      </c>
      <c r="B3420" t="s">
        <v>154</v>
      </c>
      <c r="C3420">
        <v>78</v>
      </c>
      <c r="D3420" t="s">
        <v>16310</v>
      </c>
      <c r="E3420" t="s">
        <v>16311</v>
      </c>
      <c r="G3420" t="s">
        <v>16280</v>
      </c>
      <c r="H3420" t="s">
        <v>16281</v>
      </c>
    </row>
    <row r="3421" spans="1:8">
      <c r="A3421" t="s">
        <v>239</v>
      </c>
      <c r="B3421" t="s">
        <v>154</v>
      </c>
      <c r="C3421">
        <v>78</v>
      </c>
      <c r="D3421" t="s">
        <v>16312</v>
      </c>
      <c r="E3421" t="s">
        <v>16313</v>
      </c>
      <c r="H3421" t="s">
        <v>16314</v>
      </c>
    </row>
    <row r="3422" spans="1:8">
      <c r="A3422" t="s">
        <v>242</v>
      </c>
      <c r="B3422" t="s">
        <v>154</v>
      </c>
      <c r="C3422">
        <v>78</v>
      </c>
      <c r="D3422" t="s">
        <v>16315</v>
      </c>
      <c r="E3422" t="s">
        <v>16316</v>
      </c>
      <c r="F3422" t="s">
        <v>16317</v>
      </c>
      <c r="G3422" t="s">
        <v>16318</v>
      </c>
      <c r="H3422" t="s">
        <v>16319</v>
      </c>
    </row>
    <row r="3423" spans="1:8">
      <c r="A3423" t="s">
        <v>242</v>
      </c>
      <c r="B3423" t="s">
        <v>154</v>
      </c>
      <c r="C3423">
        <v>78</v>
      </c>
      <c r="D3423" t="s">
        <v>16320</v>
      </c>
      <c r="F3423" t="s">
        <v>16317</v>
      </c>
      <c r="H3423" t="s">
        <v>16321</v>
      </c>
    </row>
    <row r="3424" spans="1:8">
      <c r="A3424" t="s">
        <v>239</v>
      </c>
      <c r="B3424" t="s">
        <v>154</v>
      </c>
      <c r="C3424">
        <v>78</v>
      </c>
      <c r="D3424" t="s">
        <v>16322</v>
      </c>
      <c r="E3424" t="s">
        <v>16323</v>
      </c>
      <c r="H3424" t="s">
        <v>16324</v>
      </c>
    </row>
    <row r="3425" spans="1:8">
      <c r="A3425" t="s">
        <v>243</v>
      </c>
      <c r="B3425" t="s">
        <v>154</v>
      </c>
      <c r="C3425">
        <v>78</v>
      </c>
      <c r="D3425" t="s">
        <v>1437</v>
      </c>
      <c r="E3425" t="s">
        <v>16325</v>
      </c>
      <c r="F3425" t="s">
        <v>154</v>
      </c>
    </row>
    <row r="3426" spans="1:8">
      <c r="A3426" t="s">
        <v>238</v>
      </c>
      <c r="B3426" t="s">
        <v>154</v>
      </c>
      <c r="C3426">
        <v>78</v>
      </c>
      <c r="D3426" t="s">
        <v>16326</v>
      </c>
      <c r="E3426" t="s">
        <v>16327</v>
      </c>
      <c r="F3426" t="s">
        <v>154</v>
      </c>
    </row>
    <row r="3427" spans="1:8">
      <c r="A3427" t="s">
        <v>238</v>
      </c>
      <c r="B3427" t="s">
        <v>154</v>
      </c>
      <c r="C3427">
        <v>78</v>
      </c>
      <c r="D3427" t="s">
        <v>4928</v>
      </c>
      <c r="F3427" t="s">
        <v>154</v>
      </c>
      <c r="G3427" t="s">
        <v>16328</v>
      </c>
      <c r="H3427" t="s">
        <v>16329</v>
      </c>
    </row>
    <row r="3428" spans="1:8">
      <c r="A3428" t="s">
        <v>241</v>
      </c>
      <c r="B3428" t="s">
        <v>154</v>
      </c>
      <c r="C3428">
        <v>78</v>
      </c>
      <c r="D3428" t="s">
        <v>16330</v>
      </c>
      <c r="E3428" t="s">
        <v>16331</v>
      </c>
      <c r="F3428" t="s">
        <v>154</v>
      </c>
      <c r="H3428" t="s">
        <v>16332</v>
      </c>
    </row>
    <row r="3429" spans="1:8">
      <c r="A3429" t="s">
        <v>240</v>
      </c>
      <c r="B3429" t="s">
        <v>154</v>
      </c>
      <c r="C3429">
        <v>78</v>
      </c>
      <c r="D3429" t="s">
        <v>16333</v>
      </c>
      <c r="F3429" t="s">
        <v>154</v>
      </c>
    </row>
    <row r="3430" spans="1:8">
      <c r="A3430" t="s">
        <v>240</v>
      </c>
      <c r="B3430" t="s">
        <v>154</v>
      </c>
      <c r="C3430">
        <v>78</v>
      </c>
      <c r="D3430" t="s">
        <v>6265</v>
      </c>
      <c r="E3430" t="s">
        <v>16334</v>
      </c>
      <c r="F3430" t="s">
        <v>154</v>
      </c>
      <c r="G3430" t="s">
        <v>16335</v>
      </c>
      <c r="H3430" t="s">
        <v>16336</v>
      </c>
    </row>
    <row r="3431" spans="1:8">
      <c r="A3431" t="s">
        <v>240</v>
      </c>
      <c r="B3431" t="s">
        <v>154</v>
      </c>
      <c r="C3431">
        <v>78</v>
      </c>
      <c r="D3431" t="s">
        <v>16337</v>
      </c>
      <c r="E3431" t="s">
        <v>16299</v>
      </c>
      <c r="F3431" t="s">
        <v>154</v>
      </c>
      <c r="G3431" t="s">
        <v>16338</v>
      </c>
      <c r="H3431" t="s">
        <v>16339</v>
      </c>
    </row>
    <row r="3432" spans="1:8">
      <c r="A3432" t="s">
        <v>244</v>
      </c>
      <c r="B3432" t="s">
        <v>154</v>
      </c>
      <c r="C3432">
        <v>78</v>
      </c>
      <c r="D3432" t="s">
        <v>1282</v>
      </c>
    </row>
    <row r="3433" spans="1:8">
      <c r="A3433" t="s">
        <v>240</v>
      </c>
      <c r="B3433" t="s">
        <v>154</v>
      </c>
      <c r="C3433">
        <v>78</v>
      </c>
      <c r="D3433" t="s">
        <v>16340</v>
      </c>
      <c r="E3433" t="s">
        <v>16341</v>
      </c>
      <c r="F3433" t="s">
        <v>154</v>
      </c>
      <c r="G3433" t="s">
        <v>16342</v>
      </c>
      <c r="H3433" t="s">
        <v>16343</v>
      </c>
    </row>
    <row r="3434" spans="1:8">
      <c r="A3434" t="s">
        <v>239</v>
      </c>
      <c r="B3434" t="s">
        <v>154</v>
      </c>
      <c r="C3434">
        <v>78</v>
      </c>
      <c r="D3434" t="s">
        <v>16344</v>
      </c>
      <c r="E3434" t="s">
        <v>16345</v>
      </c>
      <c r="F3434" t="s">
        <v>154</v>
      </c>
      <c r="H3434" t="s">
        <v>16346</v>
      </c>
    </row>
    <row r="3435" spans="1:8">
      <c r="A3435" t="s">
        <v>238</v>
      </c>
      <c r="B3435" t="s">
        <v>180</v>
      </c>
      <c r="C3435">
        <v>79</v>
      </c>
      <c r="D3435" t="s">
        <v>8914</v>
      </c>
      <c r="E3435" t="s">
        <v>8915</v>
      </c>
      <c r="F3435" t="s">
        <v>180</v>
      </c>
      <c r="G3435" t="s">
        <v>8916</v>
      </c>
      <c r="H3435" t="s">
        <v>8917</v>
      </c>
    </row>
    <row r="3436" spans="1:8">
      <c r="A3436" t="s">
        <v>243</v>
      </c>
      <c r="B3436" t="s">
        <v>180</v>
      </c>
      <c r="C3436">
        <v>79</v>
      </c>
      <c r="D3436" t="s">
        <v>7308</v>
      </c>
      <c r="E3436" t="s">
        <v>8918</v>
      </c>
      <c r="F3436" t="s">
        <v>180</v>
      </c>
      <c r="G3436" t="s">
        <v>8919</v>
      </c>
      <c r="H3436" t="s">
        <v>8920</v>
      </c>
    </row>
    <row r="3437" spans="1:8">
      <c r="A3437" t="s">
        <v>242</v>
      </c>
      <c r="B3437" t="s">
        <v>180</v>
      </c>
      <c r="C3437">
        <v>79</v>
      </c>
      <c r="D3437" t="s">
        <v>8921</v>
      </c>
      <c r="E3437" t="s">
        <v>8922</v>
      </c>
      <c r="H3437" t="s">
        <v>8923</v>
      </c>
    </row>
    <row r="3438" spans="1:8">
      <c r="A3438" t="s">
        <v>241</v>
      </c>
      <c r="B3438" t="s">
        <v>180</v>
      </c>
      <c r="C3438">
        <v>79</v>
      </c>
      <c r="D3438" t="s">
        <v>8924</v>
      </c>
      <c r="E3438" t="s">
        <v>8925</v>
      </c>
      <c r="F3438" t="s">
        <v>180</v>
      </c>
      <c r="G3438" t="s">
        <v>8926</v>
      </c>
      <c r="H3438" t="s">
        <v>8927</v>
      </c>
    </row>
    <row r="3439" spans="1:8">
      <c r="A3439" t="s">
        <v>240</v>
      </c>
      <c r="B3439" t="s">
        <v>180</v>
      </c>
      <c r="C3439">
        <v>79</v>
      </c>
      <c r="D3439" t="s">
        <v>5178</v>
      </c>
      <c r="E3439" t="s">
        <v>8928</v>
      </c>
      <c r="F3439" t="s">
        <v>180</v>
      </c>
      <c r="H3439" t="s">
        <v>8929</v>
      </c>
    </row>
    <row r="3440" spans="1:8">
      <c r="A3440" t="s">
        <v>250</v>
      </c>
      <c r="B3440" t="s">
        <v>180</v>
      </c>
      <c r="C3440">
        <v>79</v>
      </c>
      <c r="D3440" t="s">
        <v>8930</v>
      </c>
      <c r="F3440" t="s">
        <v>8931</v>
      </c>
    </row>
    <row r="3441" spans="1:8">
      <c r="A3441" t="s">
        <v>250</v>
      </c>
      <c r="B3441" t="s">
        <v>180</v>
      </c>
      <c r="C3441">
        <v>79</v>
      </c>
      <c r="D3441" t="s">
        <v>8932</v>
      </c>
      <c r="F3441" t="s">
        <v>8931</v>
      </c>
    </row>
    <row r="3442" spans="1:8">
      <c r="A3442" t="s">
        <v>240</v>
      </c>
      <c r="B3442" t="s">
        <v>180</v>
      </c>
      <c r="C3442">
        <v>79</v>
      </c>
      <c r="D3442" t="s">
        <v>8933</v>
      </c>
      <c r="E3442" t="s">
        <v>8934</v>
      </c>
      <c r="F3442" t="s">
        <v>180</v>
      </c>
      <c r="G3442" t="s">
        <v>8935</v>
      </c>
      <c r="H3442" t="s">
        <v>8936</v>
      </c>
    </row>
    <row r="3443" spans="1:8">
      <c r="A3443" t="s">
        <v>250</v>
      </c>
      <c r="B3443" t="s">
        <v>180</v>
      </c>
      <c r="C3443">
        <v>79</v>
      </c>
      <c r="D3443" t="s">
        <v>8937</v>
      </c>
      <c r="E3443" t="s">
        <v>8938</v>
      </c>
      <c r="F3443" t="s">
        <v>180</v>
      </c>
      <c r="G3443" t="s">
        <v>8939</v>
      </c>
      <c r="H3443" t="s">
        <v>8940</v>
      </c>
    </row>
    <row r="3444" spans="1:8">
      <c r="A3444" t="s">
        <v>243</v>
      </c>
      <c r="B3444" t="s">
        <v>180</v>
      </c>
      <c r="C3444">
        <v>79</v>
      </c>
      <c r="D3444" t="s">
        <v>8941</v>
      </c>
      <c r="E3444" t="s">
        <v>8942</v>
      </c>
      <c r="F3444" t="s">
        <v>8943</v>
      </c>
      <c r="H3444" t="s">
        <v>8944</v>
      </c>
    </row>
    <row r="3445" spans="1:8">
      <c r="A3445" t="s">
        <v>242</v>
      </c>
      <c r="B3445" t="s">
        <v>180</v>
      </c>
      <c r="C3445">
        <v>79</v>
      </c>
      <c r="D3445" t="s">
        <v>8945</v>
      </c>
      <c r="E3445" t="s">
        <v>8946</v>
      </c>
      <c r="H3445" t="s">
        <v>8947</v>
      </c>
    </row>
    <row r="3446" spans="1:8">
      <c r="A3446" t="s">
        <v>242</v>
      </c>
      <c r="B3446" t="s">
        <v>180</v>
      </c>
      <c r="C3446">
        <v>79</v>
      </c>
      <c r="D3446" t="s">
        <v>8948</v>
      </c>
      <c r="E3446" t="s">
        <v>8949</v>
      </c>
      <c r="F3446" t="s">
        <v>180</v>
      </c>
      <c r="G3446" t="s">
        <v>8950</v>
      </c>
      <c r="H3446" t="s">
        <v>8951</v>
      </c>
    </row>
    <row r="3447" spans="1:8">
      <c r="A3447" t="s">
        <v>241</v>
      </c>
      <c r="B3447" t="s">
        <v>180</v>
      </c>
      <c r="C3447">
        <v>79</v>
      </c>
      <c r="D3447" t="s">
        <v>8952</v>
      </c>
      <c r="E3447" t="s">
        <v>8953</v>
      </c>
      <c r="F3447" t="s">
        <v>180</v>
      </c>
      <c r="H3447" t="s">
        <v>8954</v>
      </c>
    </row>
    <row r="3448" spans="1:8">
      <c r="A3448" t="s">
        <v>238</v>
      </c>
      <c r="B3448" t="s">
        <v>180</v>
      </c>
      <c r="C3448">
        <v>79</v>
      </c>
      <c r="D3448" t="s">
        <v>8955</v>
      </c>
      <c r="E3448" t="s">
        <v>8956</v>
      </c>
      <c r="F3448" t="s">
        <v>180</v>
      </c>
      <c r="G3448" t="s">
        <v>8957</v>
      </c>
      <c r="H3448" t="s">
        <v>8958</v>
      </c>
    </row>
    <row r="3449" spans="1:8">
      <c r="A3449" t="s">
        <v>241</v>
      </c>
      <c r="B3449" t="s">
        <v>180</v>
      </c>
      <c r="C3449">
        <v>79</v>
      </c>
      <c r="D3449" t="s">
        <v>8959</v>
      </c>
      <c r="E3449" t="s">
        <v>8960</v>
      </c>
      <c r="H3449" t="s">
        <v>8961</v>
      </c>
    </row>
    <row r="3450" spans="1:8">
      <c r="A3450" t="s">
        <v>252</v>
      </c>
      <c r="B3450" t="s">
        <v>180</v>
      </c>
      <c r="C3450">
        <v>79</v>
      </c>
      <c r="D3450" t="s">
        <v>8962</v>
      </c>
      <c r="E3450" t="s">
        <v>8963</v>
      </c>
      <c r="F3450" t="s">
        <v>180</v>
      </c>
      <c r="H3450" t="s">
        <v>8964</v>
      </c>
    </row>
    <row r="3451" spans="1:8">
      <c r="A3451" t="s">
        <v>241</v>
      </c>
      <c r="B3451" t="s">
        <v>180</v>
      </c>
      <c r="C3451">
        <v>79</v>
      </c>
      <c r="D3451" t="s">
        <v>8965</v>
      </c>
      <c r="E3451" t="s">
        <v>8966</v>
      </c>
      <c r="F3451" t="s">
        <v>180</v>
      </c>
      <c r="H3451" t="s">
        <v>8967</v>
      </c>
    </row>
    <row r="3452" spans="1:8">
      <c r="A3452" t="s">
        <v>250</v>
      </c>
      <c r="B3452" t="s">
        <v>180</v>
      </c>
      <c r="C3452">
        <v>79</v>
      </c>
      <c r="D3452" t="s">
        <v>8968</v>
      </c>
      <c r="F3452" t="s">
        <v>8931</v>
      </c>
    </row>
    <row r="3453" spans="1:8">
      <c r="A3453" t="s">
        <v>240</v>
      </c>
      <c r="B3453" t="s">
        <v>180</v>
      </c>
      <c r="C3453">
        <v>79</v>
      </c>
      <c r="D3453" t="s">
        <v>8969</v>
      </c>
      <c r="E3453" t="s">
        <v>8970</v>
      </c>
      <c r="F3453" t="s">
        <v>8931</v>
      </c>
      <c r="G3453" t="s">
        <v>8971</v>
      </c>
      <c r="H3453" t="s">
        <v>8972</v>
      </c>
    </row>
    <row r="3454" spans="1:8">
      <c r="A3454" t="s">
        <v>240</v>
      </c>
      <c r="B3454" t="s">
        <v>180</v>
      </c>
      <c r="C3454">
        <v>79</v>
      </c>
      <c r="D3454" t="s">
        <v>8937</v>
      </c>
      <c r="E3454" t="s">
        <v>8973</v>
      </c>
      <c r="F3454" t="s">
        <v>8931</v>
      </c>
      <c r="G3454" t="s">
        <v>8940</v>
      </c>
      <c r="H3454" t="s">
        <v>8939</v>
      </c>
    </row>
    <row r="3455" spans="1:8">
      <c r="A3455" t="s">
        <v>242</v>
      </c>
      <c r="B3455" t="s">
        <v>180</v>
      </c>
      <c r="C3455">
        <v>79</v>
      </c>
      <c r="D3455" t="s">
        <v>8974</v>
      </c>
      <c r="E3455" t="s">
        <v>8975</v>
      </c>
      <c r="F3455" t="s">
        <v>180</v>
      </c>
      <c r="G3455" t="s">
        <v>8976</v>
      </c>
      <c r="H3455" t="s">
        <v>8977</v>
      </c>
    </row>
    <row r="3456" spans="1:8">
      <c r="A3456" t="s">
        <v>238</v>
      </c>
      <c r="B3456" t="s">
        <v>180</v>
      </c>
      <c r="C3456">
        <v>79</v>
      </c>
      <c r="D3456" t="s">
        <v>8978</v>
      </c>
      <c r="E3456" t="s">
        <v>8979</v>
      </c>
      <c r="F3456" t="s">
        <v>180</v>
      </c>
      <c r="G3456" t="s">
        <v>8980</v>
      </c>
      <c r="H3456" t="s">
        <v>8981</v>
      </c>
    </row>
    <row r="3457" spans="1:8">
      <c r="A3457" t="s">
        <v>238</v>
      </c>
      <c r="B3457" t="s">
        <v>96</v>
      </c>
      <c r="C3457">
        <v>79</v>
      </c>
      <c r="D3457" t="s">
        <v>14591</v>
      </c>
      <c r="E3457" t="s">
        <v>14592</v>
      </c>
      <c r="F3457" t="s">
        <v>96</v>
      </c>
      <c r="H3457" t="s">
        <v>14593</v>
      </c>
    </row>
    <row r="3458" spans="1:8">
      <c r="A3458" t="s">
        <v>241</v>
      </c>
      <c r="B3458" t="s">
        <v>96</v>
      </c>
      <c r="C3458">
        <v>79</v>
      </c>
      <c r="D3458" t="s">
        <v>14594</v>
      </c>
      <c r="E3458" t="s">
        <v>14595</v>
      </c>
      <c r="F3458" t="s">
        <v>14596</v>
      </c>
      <c r="G3458" t="s">
        <v>14597</v>
      </c>
      <c r="H3458" t="s">
        <v>14598</v>
      </c>
    </row>
    <row r="3459" spans="1:8">
      <c r="A3459" t="s">
        <v>238</v>
      </c>
      <c r="B3459" t="s">
        <v>96</v>
      </c>
      <c r="C3459">
        <v>79</v>
      </c>
      <c r="D3459" t="s">
        <v>14599</v>
      </c>
      <c r="E3459" t="s">
        <v>14592</v>
      </c>
      <c r="F3459" t="s">
        <v>96</v>
      </c>
      <c r="G3459" t="s">
        <v>14600</v>
      </c>
      <c r="H3459" t="s">
        <v>14601</v>
      </c>
    </row>
    <row r="3460" spans="1:8">
      <c r="A3460" t="s">
        <v>242</v>
      </c>
      <c r="B3460" t="s">
        <v>96</v>
      </c>
      <c r="C3460">
        <v>79</v>
      </c>
      <c r="D3460" t="s">
        <v>14602</v>
      </c>
      <c r="E3460" t="s">
        <v>14603</v>
      </c>
      <c r="F3460" t="s">
        <v>96</v>
      </c>
      <c r="G3460" t="s">
        <v>14604</v>
      </c>
      <c r="H3460" t="s">
        <v>14605</v>
      </c>
    </row>
    <row r="3461" spans="1:8">
      <c r="A3461" t="s">
        <v>242</v>
      </c>
      <c r="B3461" t="s">
        <v>96</v>
      </c>
      <c r="C3461">
        <v>79</v>
      </c>
      <c r="D3461" t="s">
        <v>14606</v>
      </c>
      <c r="E3461" t="s">
        <v>14607</v>
      </c>
      <c r="F3461" t="s">
        <v>96</v>
      </c>
      <c r="G3461" t="s">
        <v>14608</v>
      </c>
      <c r="H3461" t="s">
        <v>14609</v>
      </c>
    </row>
    <row r="3462" spans="1:8">
      <c r="A3462" t="s">
        <v>242</v>
      </c>
      <c r="B3462" t="s">
        <v>96</v>
      </c>
      <c r="C3462">
        <v>79</v>
      </c>
      <c r="D3462" t="s">
        <v>14610</v>
      </c>
      <c r="E3462" t="s">
        <v>14611</v>
      </c>
      <c r="F3462" t="s">
        <v>96</v>
      </c>
      <c r="G3462" t="s">
        <v>14608</v>
      </c>
      <c r="H3462" t="s">
        <v>14609</v>
      </c>
    </row>
    <row r="3463" spans="1:8">
      <c r="A3463" t="s">
        <v>242</v>
      </c>
      <c r="B3463" t="s">
        <v>96</v>
      </c>
      <c r="C3463">
        <v>79</v>
      </c>
      <c r="D3463" t="s">
        <v>14612</v>
      </c>
      <c r="E3463" t="s">
        <v>14613</v>
      </c>
      <c r="F3463" t="s">
        <v>96</v>
      </c>
      <c r="G3463" t="s">
        <v>14614</v>
      </c>
      <c r="H3463" t="s">
        <v>14615</v>
      </c>
    </row>
    <row r="3464" spans="1:8">
      <c r="A3464" t="s">
        <v>241</v>
      </c>
      <c r="B3464" t="s">
        <v>96</v>
      </c>
      <c r="C3464">
        <v>79</v>
      </c>
      <c r="D3464" t="s">
        <v>14616</v>
      </c>
      <c r="E3464" t="s">
        <v>14617</v>
      </c>
      <c r="F3464" t="s">
        <v>96</v>
      </c>
      <c r="H3464" t="s">
        <v>14618</v>
      </c>
    </row>
    <row r="3465" spans="1:8">
      <c r="A3465" t="s">
        <v>238</v>
      </c>
      <c r="B3465" t="s">
        <v>96</v>
      </c>
      <c r="C3465">
        <v>79</v>
      </c>
      <c r="D3465" t="s">
        <v>14619</v>
      </c>
      <c r="E3465" t="s">
        <v>14620</v>
      </c>
      <c r="F3465" t="s">
        <v>96</v>
      </c>
      <c r="G3465" t="s">
        <v>14621</v>
      </c>
      <c r="H3465" t="s">
        <v>14622</v>
      </c>
    </row>
    <row r="3466" spans="1:8">
      <c r="A3466" t="s">
        <v>244</v>
      </c>
      <c r="B3466" t="s">
        <v>96</v>
      </c>
      <c r="C3466">
        <v>79</v>
      </c>
      <c r="D3466" t="s">
        <v>14623</v>
      </c>
    </row>
    <row r="3467" spans="1:8">
      <c r="A3467" t="s">
        <v>241</v>
      </c>
      <c r="B3467" t="s">
        <v>96</v>
      </c>
      <c r="C3467">
        <v>79</v>
      </c>
      <c r="D3467" t="s">
        <v>14624</v>
      </c>
      <c r="E3467" t="s">
        <v>14625</v>
      </c>
      <c r="H3467" t="s">
        <v>14626</v>
      </c>
    </row>
    <row r="3468" spans="1:8">
      <c r="A3468" t="s">
        <v>240</v>
      </c>
      <c r="B3468" t="s">
        <v>176</v>
      </c>
      <c r="C3468">
        <v>80</v>
      </c>
      <c r="D3468" t="s">
        <v>6793</v>
      </c>
      <c r="E3468" t="s">
        <v>6794</v>
      </c>
      <c r="F3468" t="s">
        <v>176</v>
      </c>
      <c r="G3468" t="s">
        <v>6795</v>
      </c>
      <c r="H3468" t="s">
        <v>6796</v>
      </c>
    </row>
    <row r="3469" spans="1:8">
      <c r="A3469" t="s">
        <v>241</v>
      </c>
      <c r="B3469" t="s">
        <v>176</v>
      </c>
      <c r="C3469">
        <v>80</v>
      </c>
      <c r="D3469" t="s">
        <v>6797</v>
      </c>
      <c r="E3469" t="s">
        <v>6798</v>
      </c>
      <c r="F3469" t="s">
        <v>176</v>
      </c>
    </row>
    <row r="3470" spans="1:8">
      <c r="A3470" t="s">
        <v>238</v>
      </c>
      <c r="B3470" t="s">
        <v>176</v>
      </c>
      <c r="C3470">
        <v>80</v>
      </c>
      <c r="D3470" t="s">
        <v>6799</v>
      </c>
      <c r="E3470" t="s">
        <v>6800</v>
      </c>
      <c r="F3470" t="s">
        <v>176</v>
      </c>
      <c r="G3470" t="s">
        <v>6801</v>
      </c>
      <c r="H3470" t="s">
        <v>6802</v>
      </c>
    </row>
    <row r="3471" spans="1:8">
      <c r="A3471" t="s">
        <v>241</v>
      </c>
      <c r="B3471" t="s">
        <v>176</v>
      </c>
      <c r="C3471">
        <v>80</v>
      </c>
      <c r="D3471" t="s">
        <v>6706</v>
      </c>
      <c r="E3471" t="s">
        <v>6803</v>
      </c>
      <c r="F3471" t="s">
        <v>6804</v>
      </c>
      <c r="H3471" t="s">
        <v>6805</v>
      </c>
    </row>
    <row r="3472" spans="1:8">
      <c r="A3472" t="s">
        <v>249</v>
      </c>
      <c r="B3472" t="s">
        <v>220</v>
      </c>
      <c r="C3472">
        <v>80</v>
      </c>
      <c r="D3472" t="s">
        <v>9943</v>
      </c>
      <c r="E3472" t="s">
        <v>9944</v>
      </c>
      <c r="F3472" t="s">
        <v>220</v>
      </c>
      <c r="H3472" t="s">
        <v>9945</v>
      </c>
    </row>
    <row r="3473" spans="1:8">
      <c r="A3473" t="s">
        <v>243</v>
      </c>
      <c r="B3473" t="s">
        <v>220</v>
      </c>
      <c r="C3473">
        <v>80</v>
      </c>
      <c r="D3473" t="s">
        <v>2628</v>
      </c>
      <c r="E3473" t="s">
        <v>9946</v>
      </c>
      <c r="F3473" t="s">
        <v>220</v>
      </c>
      <c r="G3473" t="s">
        <v>9947</v>
      </c>
      <c r="H3473" t="s">
        <v>9948</v>
      </c>
    </row>
    <row r="3474" spans="1:8">
      <c r="A3474" t="s">
        <v>238</v>
      </c>
      <c r="B3474" t="s">
        <v>61</v>
      </c>
      <c r="C3474">
        <v>81</v>
      </c>
      <c r="D3474" t="s">
        <v>498</v>
      </c>
      <c r="E3474" t="s">
        <v>499</v>
      </c>
      <c r="H3474" t="s">
        <v>500</v>
      </c>
    </row>
    <row r="3475" spans="1:8">
      <c r="A3475" t="s">
        <v>240</v>
      </c>
      <c r="B3475" t="s">
        <v>61</v>
      </c>
      <c r="C3475">
        <v>81</v>
      </c>
      <c r="D3475" t="s">
        <v>501</v>
      </c>
      <c r="E3475" t="s">
        <v>502</v>
      </c>
      <c r="F3475" t="s">
        <v>61</v>
      </c>
      <c r="G3475" t="s">
        <v>503</v>
      </c>
      <c r="H3475" t="s">
        <v>504</v>
      </c>
    </row>
    <row r="3476" spans="1:8">
      <c r="A3476" t="s">
        <v>241</v>
      </c>
      <c r="B3476" t="s">
        <v>61</v>
      </c>
      <c r="C3476">
        <v>81</v>
      </c>
      <c r="D3476" t="s">
        <v>505</v>
      </c>
      <c r="E3476" t="s">
        <v>506</v>
      </c>
      <c r="G3476" t="s">
        <v>507</v>
      </c>
      <c r="H3476" t="s">
        <v>508</v>
      </c>
    </row>
    <row r="3477" spans="1:8">
      <c r="A3477" t="s">
        <v>241</v>
      </c>
      <c r="B3477" t="s">
        <v>61</v>
      </c>
      <c r="C3477">
        <v>81</v>
      </c>
      <c r="D3477" t="s">
        <v>509</v>
      </c>
      <c r="E3477" t="s">
        <v>510</v>
      </c>
      <c r="F3477" t="s">
        <v>61</v>
      </c>
      <c r="G3477" t="s">
        <v>511</v>
      </c>
      <c r="H3477" t="s">
        <v>512</v>
      </c>
    </row>
    <row r="3478" spans="1:8">
      <c r="A3478" t="s">
        <v>241</v>
      </c>
      <c r="B3478" t="s">
        <v>61</v>
      </c>
      <c r="C3478">
        <v>81</v>
      </c>
      <c r="D3478" t="s">
        <v>513</v>
      </c>
      <c r="E3478" t="s">
        <v>514</v>
      </c>
      <c r="F3478" t="s">
        <v>515</v>
      </c>
      <c r="G3478" t="s">
        <v>516</v>
      </c>
      <c r="H3478" t="s">
        <v>517</v>
      </c>
    </row>
    <row r="3479" spans="1:8">
      <c r="A3479" t="s">
        <v>240</v>
      </c>
      <c r="B3479" t="s">
        <v>80</v>
      </c>
      <c r="C3479">
        <v>81</v>
      </c>
      <c r="D3479" t="s">
        <v>8402</v>
      </c>
      <c r="E3479" t="s">
        <v>8403</v>
      </c>
      <c r="F3479" t="s">
        <v>80</v>
      </c>
      <c r="G3479" t="s">
        <v>8404</v>
      </c>
      <c r="H3479" t="s">
        <v>8405</v>
      </c>
    </row>
    <row r="3480" spans="1:8">
      <c r="A3480" t="s">
        <v>246</v>
      </c>
      <c r="B3480" t="s">
        <v>80</v>
      </c>
      <c r="C3480">
        <v>81</v>
      </c>
      <c r="D3480" t="s">
        <v>8406</v>
      </c>
      <c r="E3480" t="s">
        <v>8407</v>
      </c>
      <c r="G3480" t="s">
        <v>8408</v>
      </c>
      <c r="H3480" t="s">
        <v>8409</v>
      </c>
    </row>
    <row r="3481" spans="1:8">
      <c r="A3481" t="s">
        <v>239</v>
      </c>
      <c r="B3481" t="s">
        <v>80</v>
      </c>
      <c r="C3481">
        <v>81</v>
      </c>
      <c r="D3481" t="s">
        <v>8410</v>
      </c>
    </row>
    <row r="3482" spans="1:8">
      <c r="A3482" t="s">
        <v>243</v>
      </c>
      <c r="B3482" t="s">
        <v>80</v>
      </c>
      <c r="C3482">
        <v>81</v>
      </c>
      <c r="D3482" t="s">
        <v>8411</v>
      </c>
      <c r="H3482" t="s">
        <v>8412</v>
      </c>
    </row>
    <row r="3483" spans="1:8">
      <c r="A3483" t="s">
        <v>241</v>
      </c>
      <c r="B3483" t="s">
        <v>80</v>
      </c>
      <c r="C3483">
        <v>81</v>
      </c>
      <c r="D3483" t="s">
        <v>8413</v>
      </c>
      <c r="E3483" t="s">
        <v>8414</v>
      </c>
      <c r="G3483" t="s">
        <v>8415</v>
      </c>
      <c r="H3483" t="s">
        <v>8416</v>
      </c>
    </row>
    <row r="3484" spans="1:8">
      <c r="A3484" t="s">
        <v>240</v>
      </c>
      <c r="B3484" t="s">
        <v>80</v>
      </c>
      <c r="C3484">
        <v>81</v>
      </c>
      <c r="D3484" t="s">
        <v>8417</v>
      </c>
      <c r="E3484" t="s">
        <v>8418</v>
      </c>
      <c r="F3484" t="s">
        <v>80</v>
      </c>
      <c r="G3484" t="s">
        <v>8419</v>
      </c>
      <c r="H3484" t="s">
        <v>8420</v>
      </c>
    </row>
    <row r="3485" spans="1:8">
      <c r="A3485" t="s">
        <v>240</v>
      </c>
      <c r="B3485" t="s">
        <v>80</v>
      </c>
      <c r="C3485">
        <v>81</v>
      </c>
      <c r="D3485" t="s">
        <v>8421</v>
      </c>
      <c r="E3485" t="s">
        <v>8422</v>
      </c>
      <c r="F3485" t="s">
        <v>80</v>
      </c>
      <c r="G3485" t="s">
        <v>8423</v>
      </c>
      <c r="H3485" t="s">
        <v>8424</v>
      </c>
    </row>
    <row r="3486" spans="1:8">
      <c r="A3486" t="s">
        <v>240</v>
      </c>
      <c r="B3486" t="s">
        <v>80</v>
      </c>
      <c r="C3486">
        <v>81</v>
      </c>
      <c r="D3486" t="s">
        <v>8425</v>
      </c>
      <c r="E3486" t="s">
        <v>8426</v>
      </c>
      <c r="F3486" t="s">
        <v>80</v>
      </c>
      <c r="G3486" t="s">
        <v>8427</v>
      </c>
      <c r="H3486" t="s">
        <v>8428</v>
      </c>
    </row>
    <row r="3487" spans="1:8">
      <c r="A3487" t="s">
        <v>240</v>
      </c>
      <c r="B3487" t="s">
        <v>80</v>
      </c>
      <c r="C3487">
        <v>81</v>
      </c>
      <c r="D3487" t="s">
        <v>8429</v>
      </c>
      <c r="E3487" t="s">
        <v>8430</v>
      </c>
      <c r="F3487" t="s">
        <v>80</v>
      </c>
      <c r="H3487" t="s">
        <v>8431</v>
      </c>
    </row>
    <row r="3488" spans="1:8">
      <c r="A3488" t="s">
        <v>240</v>
      </c>
      <c r="B3488" t="s">
        <v>80</v>
      </c>
      <c r="C3488">
        <v>81</v>
      </c>
      <c r="D3488" t="s">
        <v>8432</v>
      </c>
      <c r="E3488" t="s">
        <v>8433</v>
      </c>
      <c r="F3488" t="s">
        <v>80</v>
      </c>
      <c r="G3488" t="s">
        <v>8434</v>
      </c>
      <c r="H3488" t="s">
        <v>8435</v>
      </c>
    </row>
    <row r="3489" spans="1:8">
      <c r="A3489" t="s">
        <v>240</v>
      </c>
      <c r="B3489" t="s">
        <v>80</v>
      </c>
      <c r="C3489">
        <v>81</v>
      </c>
      <c r="D3489" t="s">
        <v>8436</v>
      </c>
      <c r="E3489" t="s">
        <v>8437</v>
      </c>
      <c r="F3489" t="s">
        <v>80</v>
      </c>
      <c r="G3489" t="s">
        <v>8438</v>
      </c>
      <c r="H3489" t="s">
        <v>8439</v>
      </c>
    </row>
    <row r="3490" spans="1:8">
      <c r="A3490" t="s">
        <v>240</v>
      </c>
      <c r="B3490" t="s">
        <v>80</v>
      </c>
      <c r="C3490">
        <v>81</v>
      </c>
      <c r="D3490" t="s">
        <v>8440</v>
      </c>
      <c r="E3490" t="s">
        <v>8441</v>
      </c>
      <c r="F3490" t="s">
        <v>80</v>
      </c>
      <c r="G3490" t="s">
        <v>8442</v>
      </c>
      <c r="H3490" t="s">
        <v>8443</v>
      </c>
    </row>
    <row r="3491" spans="1:8">
      <c r="A3491" t="s">
        <v>240</v>
      </c>
      <c r="B3491" t="s">
        <v>80</v>
      </c>
      <c r="C3491">
        <v>81</v>
      </c>
      <c r="D3491" t="s">
        <v>8444</v>
      </c>
      <c r="E3491" t="s">
        <v>8445</v>
      </c>
      <c r="F3491" t="s">
        <v>80</v>
      </c>
      <c r="G3491" t="s">
        <v>8446</v>
      </c>
      <c r="H3491" t="s">
        <v>8447</v>
      </c>
    </row>
    <row r="3492" spans="1:8">
      <c r="A3492" t="s">
        <v>240</v>
      </c>
      <c r="B3492" t="s">
        <v>80</v>
      </c>
      <c r="C3492">
        <v>81</v>
      </c>
      <c r="D3492" t="s">
        <v>80</v>
      </c>
      <c r="E3492" t="s">
        <v>8448</v>
      </c>
      <c r="F3492" t="s">
        <v>80</v>
      </c>
      <c r="G3492" t="s">
        <v>8442</v>
      </c>
      <c r="H3492" t="s">
        <v>8449</v>
      </c>
    </row>
    <row r="3493" spans="1:8">
      <c r="A3493" t="s">
        <v>241</v>
      </c>
      <c r="B3493" t="s">
        <v>80</v>
      </c>
      <c r="C3493">
        <v>81</v>
      </c>
      <c r="D3493" t="s">
        <v>8450</v>
      </c>
      <c r="E3493" t="s">
        <v>8451</v>
      </c>
    </row>
    <row r="3494" spans="1:8">
      <c r="A3494" t="s">
        <v>241</v>
      </c>
      <c r="B3494" t="s">
        <v>80</v>
      </c>
      <c r="C3494">
        <v>81</v>
      </c>
      <c r="D3494" t="s">
        <v>8452</v>
      </c>
      <c r="E3494" t="s">
        <v>8453</v>
      </c>
      <c r="G3494" t="s">
        <v>8454</v>
      </c>
      <c r="H3494" t="s">
        <v>8455</v>
      </c>
    </row>
    <row r="3495" spans="1:8">
      <c r="A3495" t="s">
        <v>238</v>
      </c>
      <c r="B3495" t="s">
        <v>80</v>
      </c>
      <c r="C3495">
        <v>81</v>
      </c>
      <c r="D3495" t="s">
        <v>8456</v>
      </c>
      <c r="E3495" t="s">
        <v>8457</v>
      </c>
      <c r="H3495" t="s">
        <v>8458</v>
      </c>
    </row>
    <row r="3496" spans="1:8">
      <c r="A3496" t="s">
        <v>240</v>
      </c>
      <c r="B3496" t="s">
        <v>80</v>
      </c>
      <c r="C3496">
        <v>81</v>
      </c>
      <c r="D3496" t="s">
        <v>8459</v>
      </c>
      <c r="E3496" t="s">
        <v>8460</v>
      </c>
      <c r="G3496" t="s">
        <v>8461</v>
      </c>
      <c r="H3496" t="s">
        <v>8462</v>
      </c>
    </row>
    <row r="3497" spans="1:8">
      <c r="A3497" t="s">
        <v>246</v>
      </c>
      <c r="B3497" t="s">
        <v>80</v>
      </c>
      <c r="C3497">
        <v>81</v>
      </c>
      <c r="D3497" t="s">
        <v>8463</v>
      </c>
      <c r="E3497" t="s">
        <v>8464</v>
      </c>
      <c r="F3497" t="s">
        <v>80</v>
      </c>
      <c r="G3497" t="s">
        <v>8465</v>
      </c>
      <c r="H3497" t="s">
        <v>8466</v>
      </c>
    </row>
    <row r="3498" spans="1:8">
      <c r="A3498" t="s">
        <v>241</v>
      </c>
      <c r="B3498" t="s">
        <v>80</v>
      </c>
      <c r="C3498">
        <v>81</v>
      </c>
      <c r="D3498" t="s">
        <v>8467</v>
      </c>
      <c r="E3498" t="s">
        <v>8468</v>
      </c>
      <c r="G3498" t="s">
        <v>8469</v>
      </c>
      <c r="H3498" t="s">
        <v>8470</v>
      </c>
    </row>
    <row r="3499" spans="1:8">
      <c r="A3499" t="s">
        <v>241</v>
      </c>
      <c r="B3499" t="s">
        <v>80</v>
      </c>
      <c r="C3499">
        <v>81</v>
      </c>
      <c r="D3499" t="s">
        <v>1876</v>
      </c>
      <c r="E3499" t="s">
        <v>8471</v>
      </c>
      <c r="F3499" t="s">
        <v>8472</v>
      </c>
      <c r="H3499" t="s">
        <v>8473</v>
      </c>
    </row>
    <row r="3500" spans="1:8">
      <c r="A3500" t="s">
        <v>241</v>
      </c>
      <c r="B3500" t="s">
        <v>80</v>
      </c>
      <c r="C3500">
        <v>81</v>
      </c>
      <c r="D3500" t="s">
        <v>8474</v>
      </c>
      <c r="E3500" t="s">
        <v>8475</v>
      </c>
      <c r="G3500" t="s">
        <v>8476</v>
      </c>
      <c r="H3500" t="s">
        <v>8477</v>
      </c>
    </row>
    <row r="3501" spans="1:8">
      <c r="A3501" t="s">
        <v>239</v>
      </c>
      <c r="B3501" t="s">
        <v>80</v>
      </c>
      <c r="C3501">
        <v>81</v>
      </c>
      <c r="D3501" t="s">
        <v>8478</v>
      </c>
      <c r="E3501" t="s">
        <v>8479</v>
      </c>
      <c r="H3501" t="s">
        <v>8480</v>
      </c>
    </row>
    <row r="3502" spans="1:8">
      <c r="A3502" t="s">
        <v>241</v>
      </c>
      <c r="B3502" t="s">
        <v>80</v>
      </c>
      <c r="C3502">
        <v>81</v>
      </c>
      <c r="D3502" t="s">
        <v>8481</v>
      </c>
      <c r="E3502" t="s">
        <v>8482</v>
      </c>
      <c r="F3502" t="s">
        <v>80</v>
      </c>
      <c r="H3502" t="s">
        <v>8483</v>
      </c>
    </row>
    <row r="3503" spans="1:8">
      <c r="A3503" t="s">
        <v>241</v>
      </c>
      <c r="B3503" t="s">
        <v>80</v>
      </c>
      <c r="C3503">
        <v>81</v>
      </c>
      <c r="D3503" t="s">
        <v>8484</v>
      </c>
      <c r="E3503" t="s">
        <v>8485</v>
      </c>
      <c r="F3503" t="s">
        <v>80</v>
      </c>
      <c r="H3503" t="s">
        <v>8486</v>
      </c>
    </row>
    <row r="3504" spans="1:8">
      <c r="A3504" t="s">
        <v>241</v>
      </c>
      <c r="B3504" t="s">
        <v>80</v>
      </c>
      <c r="C3504">
        <v>81</v>
      </c>
      <c r="D3504" t="s">
        <v>8487</v>
      </c>
      <c r="E3504" t="s">
        <v>8488</v>
      </c>
      <c r="G3504" t="s">
        <v>8489</v>
      </c>
      <c r="H3504" t="s">
        <v>8490</v>
      </c>
    </row>
    <row r="3505" spans="1:8">
      <c r="A3505" t="s">
        <v>241</v>
      </c>
      <c r="B3505" t="s">
        <v>80</v>
      </c>
      <c r="C3505">
        <v>81</v>
      </c>
      <c r="D3505" t="s">
        <v>8491</v>
      </c>
      <c r="E3505" t="s">
        <v>8492</v>
      </c>
      <c r="G3505" t="s">
        <v>8493</v>
      </c>
      <c r="H3505" t="s">
        <v>8494</v>
      </c>
    </row>
    <row r="3506" spans="1:8">
      <c r="A3506" t="s">
        <v>243</v>
      </c>
      <c r="B3506" t="s">
        <v>80</v>
      </c>
      <c r="C3506">
        <v>81</v>
      </c>
      <c r="D3506" t="s">
        <v>8495</v>
      </c>
      <c r="E3506" t="s">
        <v>8496</v>
      </c>
      <c r="G3506" t="s">
        <v>8497</v>
      </c>
      <c r="H3506" t="s">
        <v>8498</v>
      </c>
    </row>
    <row r="3507" spans="1:8">
      <c r="A3507" t="s">
        <v>241</v>
      </c>
      <c r="B3507" t="s">
        <v>80</v>
      </c>
      <c r="C3507">
        <v>81</v>
      </c>
      <c r="D3507" t="s">
        <v>8499</v>
      </c>
      <c r="E3507" t="s">
        <v>8500</v>
      </c>
      <c r="G3507" t="s">
        <v>8501</v>
      </c>
      <c r="H3507" t="s">
        <v>8502</v>
      </c>
    </row>
    <row r="3508" spans="1:8">
      <c r="A3508" t="s">
        <v>241</v>
      </c>
      <c r="B3508" t="s">
        <v>80</v>
      </c>
      <c r="C3508">
        <v>81</v>
      </c>
      <c r="D3508" t="s">
        <v>8503</v>
      </c>
      <c r="E3508" t="s">
        <v>8504</v>
      </c>
      <c r="G3508" t="s">
        <v>8505</v>
      </c>
      <c r="H3508" t="s">
        <v>8506</v>
      </c>
    </row>
    <row r="3509" spans="1:8">
      <c r="A3509" t="s">
        <v>241</v>
      </c>
      <c r="B3509" t="s">
        <v>80</v>
      </c>
      <c r="C3509">
        <v>81</v>
      </c>
      <c r="D3509" t="s">
        <v>2094</v>
      </c>
      <c r="E3509" t="s">
        <v>8507</v>
      </c>
      <c r="F3509" t="s">
        <v>80</v>
      </c>
      <c r="H3509" t="s">
        <v>8508</v>
      </c>
    </row>
    <row r="3510" spans="1:8">
      <c r="A3510" t="s">
        <v>246</v>
      </c>
      <c r="B3510" t="s">
        <v>80</v>
      </c>
      <c r="C3510">
        <v>81</v>
      </c>
      <c r="D3510" t="s">
        <v>8509</v>
      </c>
      <c r="E3510" t="s">
        <v>8510</v>
      </c>
      <c r="H3510" t="s">
        <v>8511</v>
      </c>
    </row>
    <row r="3511" spans="1:8">
      <c r="A3511" t="s">
        <v>241</v>
      </c>
      <c r="B3511" t="s">
        <v>80</v>
      </c>
      <c r="C3511">
        <v>81</v>
      </c>
      <c r="D3511" t="s">
        <v>8512</v>
      </c>
      <c r="E3511" t="s">
        <v>8513</v>
      </c>
      <c r="F3511" t="s">
        <v>80</v>
      </c>
      <c r="G3511" t="s">
        <v>8514</v>
      </c>
      <c r="H3511" t="s">
        <v>8515</v>
      </c>
    </row>
    <row r="3512" spans="1:8">
      <c r="A3512" t="s">
        <v>241</v>
      </c>
      <c r="B3512" t="s">
        <v>80</v>
      </c>
      <c r="C3512">
        <v>81</v>
      </c>
      <c r="D3512" t="s">
        <v>8516</v>
      </c>
      <c r="E3512" t="s">
        <v>8517</v>
      </c>
      <c r="F3512" t="s">
        <v>80</v>
      </c>
      <c r="H3512" t="s">
        <v>8518</v>
      </c>
    </row>
    <row r="3513" spans="1:8">
      <c r="A3513" t="s">
        <v>246</v>
      </c>
      <c r="B3513" t="s">
        <v>80</v>
      </c>
      <c r="C3513">
        <v>81</v>
      </c>
      <c r="D3513" t="s">
        <v>8519</v>
      </c>
      <c r="E3513" t="s">
        <v>8520</v>
      </c>
      <c r="F3513" t="s">
        <v>80</v>
      </c>
      <c r="H3513" t="s">
        <v>8521</v>
      </c>
    </row>
    <row r="3514" spans="1:8">
      <c r="A3514" t="s">
        <v>241</v>
      </c>
      <c r="B3514" t="s">
        <v>80</v>
      </c>
      <c r="C3514">
        <v>81</v>
      </c>
      <c r="D3514" t="s">
        <v>8522</v>
      </c>
      <c r="E3514" t="s">
        <v>8523</v>
      </c>
      <c r="F3514" t="s">
        <v>80</v>
      </c>
      <c r="H3514" t="s">
        <v>8524</v>
      </c>
    </row>
    <row r="3515" spans="1:8">
      <c r="A3515" t="s">
        <v>246</v>
      </c>
      <c r="B3515" t="s">
        <v>80</v>
      </c>
      <c r="C3515">
        <v>81</v>
      </c>
      <c r="D3515" t="s">
        <v>8525</v>
      </c>
      <c r="E3515" t="s">
        <v>8526</v>
      </c>
      <c r="F3515" t="s">
        <v>80</v>
      </c>
      <c r="H3515" t="s">
        <v>8527</v>
      </c>
    </row>
    <row r="3516" spans="1:8">
      <c r="A3516" t="s">
        <v>243</v>
      </c>
      <c r="B3516" t="s">
        <v>80</v>
      </c>
      <c r="C3516">
        <v>81</v>
      </c>
      <c r="D3516" t="s">
        <v>8528</v>
      </c>
      <c r="E3516" t="s">
        <v>8529</v>
      </c>
      <c r="F3516" t="s">
        <v>80</v>
      </c>
      <c r="G3516" t="s">
        <v>8530</v>
      </c>
      <c r="H3516" t="s">
        <v>8531</v>
      </c>
    </row>
    <row r="3517" spans="1:8">
      <c r="A3517" t="s">
        <v>242</v>
      </c>
      <c r="B3517" t="s">
        <v>80</v>
      </c>
      <c r="C3517">
        <v>81</v>
      </c>
      <c r="D3517" t="s">
        <v>8532</v>
      </c>
      <c r="E3517" t="s">
        <v>8533</v>
      </c>
      <c r="F3517" t="s">
        <v>80</v>
      </c>
      <c r="G3517" t="s">
        <v>8534</v>
      </c>
      <c r="H3517" t="s">
        <v>8535</v>
      </c>
    </row>
    <row r="3518" spans="1:8">
      <c r="A3518" t="s">
        <v>246</v>
      </c>
      <c r="B3518" t="s">
        <v>80</v>
      </c>
      <c r="C3518">
        <v>81</v>
      </c>
      <c r="D3518" t="s">
        <v>8536</v>
      </c>
      <c r="E3518" t="s">
        <v>8537</v>
      </c>
      <c r="F3518" t="s">
        <v>80</v>
      </c>
    </row>
    <row r="3519" spans="1:8">
      <c r="A3519" t="s">
        <v>243</v>
      </c>
      <c r="B3519" t="s">
        <v>80</v>
      </c>
      <c r="C3519">
        <v>81</v>
      </c>
      <c r="D3519" t="s">
        <v>8538</v>
      </c>
      <c r="F3519" t="s">
        <v>80</v>
      </c>
    </row>
    <row r="3520" spans="1:8">
      <c r="A3520" t="s">
        <v>244</v>
      </c>
      <c r="B3520" t="s">
        <v>80</v>
      </c>
      <c r="C3520">
        <v>81</v>
      </c>
      <c r="D3520" t="s">
        <v>1342</v>
      </c>
      <c r="E3520" t="s">
        <v>8539</v>
      </c>
      <c r="F3520" t="s">
        <v>80</v>
      </c>
      <c r="H3520" t="s">
        <v>8540</v>
      </c>
    </row>
    <row r="3521" spans="1:8">
      <c r="A3521" t="s">
        <v>246</v>
      </c>
      <c r="B3521" t="s">
        <v>80</v>
      </c>
      <c r="C3521">
        <v>81</v>
      </c>
      <c r="D3521" t="s">
        <v>8541</v>
      </c>
      <c r="E3521" t="s">
        <v>8542</v>
      </c>
      <c r="F3521" t="s">
        <v>80</v>
      </c>
      <c r="G3521" t="s">
        <v>8543</v>
      </c>
      <c r="H3521" t="s">
        <v>8544</v>
      </c>
    </row>
    <row r="3522" spans="1:8">
      <c r="A3522" t="s">
        <v>246</v>
      </c>
      <c r="B3522" t="s">
        <v>80</v>
      </c>
      <c r="C3522">
        <v>81</v>
      </c>
      <c r="D3522" t="s">
        <v>8545</v>
      </c>
      <c r="E3522" t="s">
        <v>8546</v>
      </c>
      <c r="F3522" t="s">
        <v>80</v>
      </c>
      <c r="G3522" t="s">
        <v>8547</v>
      </c>
      <c r="H3522" t="s">
        <v>8548</v>
      </c>
    </row>
    <row r="3523" spans="1:8">
      <c r="A3523" t="s">
        <v>241</v>
      </c>
      <c r="B3523" t="s">
        <v>80</v>
      </c>
      <c r="C3523">
        <v>81</v>
      </c>
      <c r="D3523" t="s">
        <v>8549</v>
      </c>
      <c r="E3523" t="s">
        <v>8550</v>
      </c>
      <c r="F3523" t="s">
        <v>8551</v>
      </c>
      <c r="H3523" t="s">
        <v>8552</v>
      </c>
    </row>
    <row r="3524" spans="1:8">
      <c r="A3524" t="s">
        <v>240</v>
      </c>
      <c r="B3524" t="s">
        <v>80</v>
      </c>
      <c r="C3524">
        <v>81</v>
      </c>
      <c r="D3524" t="s">
        <v>8553</v>
      </c>
      <c r="E3524" t="s">
        <v>8554</v>
      </c>
      <c r="F3524" t="s">
        <v>80</v>
      </c>
      <c r="G3524" t="s">
        <v>8555</v>
      </c>
      <c r="H3524" t="s">
        <v>8556</v>
      </c>
    </row>
    <row r="3525" spans="1:8">
      <c r="A3525" t="s">
        <v>241</v>
      </c>
      <c r="B3525" t="s">
        <v>80</v>
      </c>
      <c r="C3525">
        <v>81</v>
      </c>
      <c r="D3525" t="s">
        <v>8557</v>
      </c>
      <c r="E3525" t="s">
        <v>8558</v>
      </c>
      <c r="F3525" t="s">
        <v>8559</v>
      </c>
      <c r="G3525" t="s">
        <v>8560</v>
      </c>
      <c r="H3525" t="s">
        <v>8561</v>
      </c>
    </row>
    <row r="3526" spans="1:8">
      <c r="A3526" t="s">
        <v>240</v>
      </c>
      <c r="B3526" t="s">
        <v>80</v>
      </c>
      <c r="C3526">
        <v>81</v>
      </c>
      <c r="D3526" t="s">
        <v>3080</v>
      </c>
      <c r="E3526" t="s">
        <v>8562</v>
      </c>
      <c r="F3526" t="s">
        <v>80</v>
      </c>
    </row>
    <row r="3527" spans="1:8">
      <c r="A3527" t="s">
        <v>241</v>
      </c>
      <c r="B3527" t="s">
        <v>80</v>
      </c>
      <c r="C3527">
        <v>81</v>
      </c>
      <c r="D3527" t="s">
        <v>8563</v>
      </c>
      <c r="E3527" t="s">
        <v>8564</v>
      </c>
      <c r="H3527" t="s">
        <v>8565</v>
      </c>
    </row>
    <row r="3528" spans="1:8">
      <c r="A3528" t="s">
        <v>246</v>
      </c>
      <c r="B3528" t="s">
        <v>80</v>
      </c>
      <c r="C3528">
        <v>81</v>
      </c>
      <c r="D3528" t="s">
        <v>8566</v>
      </c>
      <c r="E3528" t="s">
        <v>8567</v>
      </c>
      <c r="F3528" t="s">
        <v>80</v>
      </c>
      <c r="H3528" t="s">
        <v>8568</v>
      </c>
    </row>
    <row r="3529" spans="1:8">
      <c r="A3529" t="s">
        <v>246</v>
      </c>
      <c r="B3529" t="s">
        <v>80</v>
      </c>
      <c r="C3529">
        <v>81</v>
      </c>
      <c r="D3529" t="s">
        <v>8569</v>
      </c>
      <c r="E3529" t="s">
        <v>8570</v>
      </c>
      <c r="F3529" t="s">
        <v>80</v>
      </c>
      <c r="G3529" t="s">
        <v>8571</v>
      </c>
      <c r="H3529" t="s">
        <v>8572</v>
      </c>
    </row>
    <row r="3530" spans="1:8">
      <c r="A3530" t="s">
        <v>246</v>
      </c>
      <c r="B3530" t="s">
        <v>80</v>
      </c>
      <c r="C3530">
        <v>81</v>
      </c>
      <c r="D3530" t="s">
        <v>8573</v>
      </c>
      <c r="E3530" t="s">
        <v>8574</v>
      </c>
      <c r="F3530" t="s">
        <v>8575</v>
      </c>
      <c r="G3530" t="s">
        <v>8576</v>
      </c>
      <c r="H3530" t="s">
        <v>8577</v>
      </c>
    </row>
    <row r="3531" spans="1:8">
      <c r="A3531" t="s">
        <v>246</v>
      </c>
      <c r="B3531" t="s">
        <v>80</v>
      </c>
      <c r="C3531">
        <v>81</v>
      </c>
      <c r="D3531" t="s">
        <v>8578</v>
      </c>
      <c r="E3531" t="s">
        <v>8579</v>
      </c>
      <c r="F3531" t="s">
        <v>80</v>
      </c>
      <c r="G3531" t="s">
        <v>8419</v>
      </c>
      <c r="H3531" t="s">
        <v>8580</v>
      </c>
    </row>
    <row r="3532" spans="1:8">
      <c r="A3532" t="s">
        <v>240</v>
      </c>
      <c r="B3532" t="s">
        <v>80</v>
      </c>
      <c r="C3532">
        <v>81</v>
      </c>
      <c r="D3532" t="s">
        <v>8581</v>
      </c>
      <c r="E3532" t="s">
        <v>8582</v>
      </c>
      <c r="F3532" t="s">
        <v>80</v>
      </c>
      <c r="H3532" t="s">
        <v>8583</v>
      </c>
    </row>
    <row r="3533" spans="1:8">
      <c r="A3533" t="s">
        <v>241</v>
      </c>
      <c r="B3533" t="s">
        <v>80</v>
      </c>
      <c r="C3533">
        <v>81</v>
      </c>
      <c r="D3533" t="s">
        <v>8584</v>
      </c>
      <c r="E3533" t="s">
        <v>8585</v>
      </c>
      <c r="H3533" t="s">
        <v>8586</v>
      </c>
    </row>
    <row r="3534" spans="1:8">
      <c r="A3534" t="s">
        <v>240</v>
      </c>
      <c r="B3534" t="s">
        <v>208</v>
      </c>
      <c r="C3534">
        <v>81</v>
      </c>
      <c r="D3534" t="s">
        <v>2307</v>
      </c>
      <c r="E3534" t="s">
        <v>9694</v>
      </c>
      <c r="F3534" t="s">
        <v>208</v>
      </c>
      <c r="H3534" t="s">
        <v>9695</v>
      </c>
    </row>
    <row r="3535" spans="1:8">
      <c r="A3535" t="s">
        <v>240</v>
      </c>
      <c r="B3535" t="s">
        <v>208</v>
      </c>
      <c r="C3535">
        <v>81</v>
      </c>
      <c r="D3535" t="s">
        <v>9696</v>
      </c>
      <c r="E3535" t="s">
        <v>9697</v>
      </c>
      <c r="G3535" t="s">
        <v>9698</v>
      </c>
      <c r="H3535" t="s">
        <v>9699</v>
      </c>
    </row>
    <row r="3536" spans="1:8">
      <c r="A3536" t="s">
        <v>244</v>
      </c>
      <c r="B3536" t="s">
        <v>208</v>
      </c>
      <c r="C3536">
        <v>81</v>
      </c>
      <c r="D3536" t="s">
        <v>1282</v>
      </c>
    </row>
    <row r="3537" spans="1:8">
      <c r="A3537" t="s">
        <v>241</v>
      </c>
      <c r="B3537" t="s">
        <v>208</v>
      </c>
      <c r="C3537">
        <v>81</v>
      </c>
      <c r="D3537" t="s">
        <v>9700</v>
      </c>
      <c r="E3537" t="s">
        <v>9701</v>
      </c>
      <c r="H3537" t="s">
        <v>9702</v>
      </c>
    </row>
    <row r="3538" spans="1:8">
      <c r="A3538" t="s">
        <v>242</v>
      </c>
      <c r="B3538" t="s">
        <v>184</v>
      </c>
      <c r="C3538">
        <v>82</v>
      </c>
      <c r="D3538" t="s">
        <v>10273</v>
      </c>
      <c r="E3538" t="s">
        <v>10274</v>
      </c>
      <c r="F3538" t="s">
        <v>10275</v>
      </c>
      <c r="G3538" t="s">
        <v>10276</v>
      </c>
      <c r="H3538" t="s">
        <v>10277</v>
      </c>
    </row>
    <row r="3539" spans="1:8">
      <c r="A3539" t="s">
        <v>238</v>
      </c>
      <c r="B3539" t="s">
        <v>184</v>
      </c>
      <c r="C3539">
        <v>82</v>
      </c>
      <c r="D3539" t="s">
        <v>10278</v>
      </c>
      <c r="E3539" t="s">
        <v>10279</v>
      </c>
      <c r="G3539" t="s">
        <v>10280</v>
      </c>
      <c r="H3539" t="s">
        <v>10281</v>
      </c>
    </row>
    <row r="3540" spans="1:8">
      <c r="A3540" t="s">
        <v>241</v>
      </c>
      <c r="B3540" t="s">
        <v>184</v>
      </c>
      <c r="C3540">
        <v>82</v>
      </c>
      <c r="D3540" t="s">
        <v>10282</v>
      </c>
      <c r="E3540" t="s">
        <v>10283</v>
      </c>
      <c r="F3540" t="s">
        <v>1537</v>
      </c>
      <c r="G3540" t="s">
        <v>10284</v>
      </c>
      <c r="H3540" t="s">
        <v>10285</v>
      </c>
    </row>
    <row r="3541" spans="1:8">
      <c r="A3541" t="s">
        <v>242</v>
      </c>
      <c r="B3541" t="s">
        <v>184</v>
      </c>
      <c r="C3541">
        <v>82</v>
      </c>
      <c r="D3541" t="s">
        <v>10286</v>
      </c>
      <c r="E3541" t="s">
        <v>10287</v>
      </c>
      <c r="F3541" t="s">
        <v>10275</v>
      </c>
      <c r="G3541" t="s">
        <v>10288</v>
      </c>
      <c r="H3541" t="s">
        <v>10289</v>
      </c>
    </row>
    <row r="3542" spans="1:8">
      <c r="A3542" t="s">
        <v>241</v>
      </c>
      <c r="B3542" t="s">
        <v>184</v>
      </c>
      <c r="C3542">
        <v>82</v>
      </c>
      <c r="D3542" t="s">
        <v>10290</v>
      </c>
      <c r="G3542" t="s">
        <v>5416</v>
      </c>
    </row>
    <row r="3543" spans="1:8">
      <c r="A3543" t="s">
        <v>241</v>
      </c>
      <c r="B3543" t="s">
        <v>184</v>
      </c>
      <c r="C3543">
        <v>82</v>
      </c>
      <c r="D3543" t="s">
        <v>10291</v>
      </c>
      <c r="E3543" t="s">
        <v>10292</v>
      </c>
      <c r="G3543" t="s">
        <v>10293</v>
      </c>
      <c r="H3543" t="s">
        <v>10294</v>
      </c>
    </row>
    <row r="3544" spans="1:8">
      <c r="A3544" t="s">
        <v>241</v>
      </c>
      <c r="B3544" t="s">
        <v>184</v>
      </c>
      <c r="C3544">
        <v>82</v>
      </c>
      <c r="D3544" t="s">
        <v>10295</v>
      </c>
      <c r="E3544" t="s">
        <v>10296</v>
      </c>
      <c r="G3544" t="s">
        <v>10297</v>
      </c>
      <c r="H3544" t="s">
        <v>10298</v>
      </c>
    </row>
    <row r="3545" spans="1:8">
      <c r="A3545" t="s">
        <v>241</v>
      </c>
      <c r="B3545" t="s">
        <v>184</v>
      </c>
      <c r="C3545">
        <v>82</v>
      </c>
      <c r="D3545" t="s">
        <v>10299</v>
      </c>
      <c r="E3545" t="s">
        <v>10300</v>
      </c>
      <c r="H3545" t="s">
        <v>10301</v>
      </c>
    </row>
    <row r="3546" spans="1:8">
      <c r="A3546" t="s">
        <v>240</v>
      </c>
      <c r="B3546" t="s">
        <v>184</v>
      </c>
      <c r="C3546">
        <v>82</v>
      </c>
      <c r="D3546" t="s">
        <v>10302</v>
      </c>
      <c r="E3546" t="s">
        <v>10303</v>
      </c>
      <c r="F3546" t="s">
        <v>10275</v>
      </c>
      <c r="H3546" t="s">
        <v>10304</v>
      </c>
    </row>
    <row r="3547" spans="1:8">
      <c r="A3547" t="s">
        <v>243</v>
      </c>
      <c r="B3547" t="s">
        <v>184</v>
      </c>
      <c r="C3547">
        <v>82</v>
      </c>
      <c r="D3547" t="s">
        <v>10305</v>
      </c>
      <c r="E3547" t="s">
        <v>10306</v>
      </c>
      <c r="G3547" t="s">
        <v>10307</v>
      </c>
      <c r="H3547" t="s">
        <v>10308</v>
      </c>
    </row>
    <row r="3548" spans="1:8">
      <c r="A3548" t="s">
        <v>241</v>
      </c>
      <c r="B3548" t="s">
        <v>184</v>
      </c>
      <c r="C3548">
        <v>82</v>
      </c>
      <c r="D3548" t="s">
        <v>5093</v>
      </c>
      <c r="E3548" t="s">
        <v>10309</v>
      </c>
      <c r="H3548" t="s">
        <v>10310</v>
      </c>
    </row>
    <row r="3549" spans="1:8">
      <c r="A3549" t="s">
        <v>242</v>
      </c>
      <c r="B3549" t="s">
        <v>184</v>
      </c>
      <c r="C3549">
        <v>82</v>
      </c>
      <c r="D3549" t="s">
        <v>10311</v>
      </c>
      <c r="E3549" t="s">
        <v>10312</v>
      </c>
      <c r="F3549" t="s">
        <v>10275</v>
      </c>
      <c r="G3549" t="s">
        <v>10313</v>
      </c>
      <c r="H3549" t="s">
        <v>10314</v>
      </c>
    </row>
    <row r="3550" spans="1:8">
      <c r="A3550" t="s">
        <v>242</v>
      </c>
      <c r="B3550" t="s">
        <v>184</v>
      </c>
      <c r="C3550">
        <v>82</v>
      </c>
      <c r="D3550" t="s">
        <v>10315</v>
      </c>
      <c r="E3550" t="s">
        <v>10316</v>
      </c>
      <c r="F3550" t="s">
        <v>10275</v>
      </c>
      <c r="G3550" t="s">
        <v>10317</v>
      </c>
      <c r="H3550" t="s">
        <v>10318</v>
      </c>
    </row>
    <row r="3551" spans="1:8">
      <c r="A3551" t="s">
        <v>242</v>
      </c>
      <c r="B3551" t="s">
        <v>184</v>
      </c>
      <c r="C3551">
        <v>82</v>
      </c>
      <c r="D3551" t="s">
        <v>10319</v>
      </c>
      <c r="E3551" t="s">
        <v>10320</v>
      </c>
      <c r="F3551" t="s">
        <v>10275</v>
      </c>
      <c r="G3551" t="s">
        <v>10321</v>
      </c>
      <c r="H3551" t="s">
        <v>10322</v>
      </c>
    </row>
    <row r="3552" spans="1:8">
      <c r="A3552" t="s">
        <v>242</v>
      </c>
      <c r="B3552" t="s">
        <v>184</v>
      </c>
      <c r="C3552">
        <v>82</v>
      </c>
      <c r="D3552" t="s">
        <v>10323</v>
      </c>
      <c r="E3552" t="s">
        <v>10324</v>
      </c>
      <c r="F3552" t="s">
        <v>10275</v>
      </c>
      <c r="G3552" t="s">
        <v>10325</v>
      </c>
      <c r="H3552" t="s">
        <v>10326</v>
      </c>
    </row>
    <row r="3553" spans="1:8">
      <c r="A3553" t="s">
        <v>240</v>
      </c>
      <c r="B3553" t="s">
        <v>184</v>
      </c>
      <c r="C3553">
        <v>82</v>
      </c>
      <c r="D3553" t="s">
        <v>10327</v>
      </c>
      <c r="E3553" t="s">
        <v>10328</v>
      </c>
      <c r="F3553" t="s">
        <v>10275</v>
      </c>
      <c r="G3553" t="s">
        <v>10329</v>
      </c>
      <c r="H3553" t="s">
        <v>10330</v>
      </c>
    </row>
    <row r="3554" spans="1:8">
      <c r="A3554" t="s">
        <v>238</v>
      </c>
      <c r="B3554" t="s">
        <v>184</v>
      </c>
      <c r="C3554">
        <v>82</v>
      </c>
      <c r="D3554" t="s">
        <v>10331</v>
      </c>
      <c r="E3554" t="s">
        <v>10332</v>
      </c>
      <c r="F3554" t="s">
        <v>10275</v>
      </c>
      <c r="G3554" t="s">
        <v>10333</v>
      </c>
      <c r="H3554" t="s">
        <v>10334</v>
      </c>
    </row>
    <row r="3555" spans="1:8">
      <c r="A3555" t="s">
        <v>241</v>
      </c>
      <c r="B3555" t="s">
        <v>184</v>
      </c>
      <c r="C3555">
        <v>82</v>
      </c>
      <c r="D3555" t="s">
        <v>10335</v>
      </c>
      <c r="E3555" t="s">
        <v>10336</v>
      </c>
      <c r="H3555" t="s">
        <v>10337</v>
      </c>
    </row>
    <row r="3556" spans="1:8">
      <c r="A3556" t="s">
        <v>241</v>
      </c>
      <c r="B3556" t="s">
        <v>184</v>
      </c>
      <c r="C3556">
        <v>82</v>
      </c>
      <c r="D3556" t="s">
        <v>8952</v>
      </c>
      <c r="E3556" t="s">
        <v>10338</v>
      </c>
      <c r="F3556" t="s">
        <v>10275</v>
      </c>
      <c r="H3556" t="s">
        <v>8954</v>
      </c>
    </row>
    <row r="3557" spans="1:8">
      <c r="A3557" t="s">
        <v>242</v>
      </c>
      <c r="B3557" t="s">
        <v>184</v>
      </c>
      <c r="C3557">
        <v>82</v>
      </c>
      <c r="D3557" t="s">
        <v>10339</v>
      </c>
      <c r="E3557" t="s">
        <v>10340</v>
      </c>
      <c r="F3557" t="s">
        <v>10275</v>
      </c>
      <c r="G3557" t="s">
        <v>10341</v>
      </c>
      <c r="H3557" t="s">
        <v>10342</v>
      </c>
    </row>
    <row r="3558" spans="1:8">
      <c r="A3558" t="s">
        <v>241</v>
      </c>
      <c r="B3558" t="s">
        <v>184</v>
      </c>
      <c r="C3558">
        <v>82</v>
      </c>
      <c r="D3558" t="s">
        <v>10343</v>
      </c>
      <c r="E3558" t="s">
        <v>10344</v>
      </c>
      <c r="F3558" t="s">
        <v>10275</v>
      </c>
      <c r="G3558" t="s">
        <v>10345</v>
      </c>
      <c r="H3558" t="s">
        <v>10346</v>
      </c>
    </row>
    <row r="3559" spans="1:8">
      <c r="A3559" t="s">
        <v>242</v>
      </c>
      <c r="B3559" t="s">
        <v>184</v>
      </c>
      <c r="C3559">
        <v>82</v>
      </c>
      <c r="D3559" t="s">
        <v>10347</v>
      </c>
      <c r="E3559" t="s">
        <v>10348</v>
      </c>
      <c r="F3559" t="s">
        <v>10275</v>
      </c>
      <c r="G3559" t="s">
        <v>10349</v>
      </c>
      <c r="H3559" t="s">
        <v>10350</v>
      </c>
    </row>
    <row r="3560" spans="1:8">
      <c r="A3560" t="s">
        <v>241</v>
      </c>
      <c r="B3560" t="s">
        <v>212</v>
      </c>
      <c r="C3560">
        <v>82</v>
      </c>
      <c r="D3560" t="s">
        <v>10447</v>
      </c>
      <c r="E3560" t="s">
        <v>10448</v>
      </c>
      <c r="F3560" t="s">
        <v>212</v>
      </c>
      <c r="G3560" t="s">
        <v>10449</v>
      </c>
      <c r="H3560" t="s">
        <v>10450</v>
      </c>
    </row>
    <row r="3561" spans="1:8">
      <c r="A3561" t="s">
        <v>241</v>
      </c>
      <c r="B3561" t="s">
        <v>212</v>
      </c>
      <c r="C3561">
        <v>82</v>
      </c>
      <c r="D3561" t="s">
        <v>10451</v>
      </c>
      <c r="E3561" t="s">
        <v>10452</v>
      </c>
      <c r="F3561" t="s">
        <v>10453</v>
      </c>
      <c r="G3561" t="s">
        <v>10454</v>
      </c>
      <c r="H3561" t="s">
        <v>10455</v>
      </c>
    </row>
    <row r="3562" spans="1:8">
      <c r="A3562" t="s">
        <v>238</v>
      </c>
      <c r="B3562" t="s">
        <v>212</v>
      </c>
      <c r="C3562">
        <v>82</v>
      </c>
      <c r="D3562" t="s">
        <v>10456</v>
      </c>
      <c r="E3562" t="s">
        <v>10457</v>
      </c>
      <c r="F3562" t="s">
        <v>212</v>
      </c>
      <c r="G3562" t="s">
        <v>10458</v>
      </c>
      <c r="H3562" t="s">
        <v>10459</v>
      </c>
    </row>
    <row r="3563" spans="1:8">
      <c r="A3563" t="s">
        <v>242</v>
      </c>
      <c r="B3563" t="s">
        <v>212</v>
      </c>
      <c r="C3563">
        <v>82</v>
      </c>
      <c r="D3563" t="s">
        <v>10460</v>
      </c>
      <c r="E3563" t="s">
        <v>10461</v>
      </c>
      <c r="F3563" t="s">
        <v>212</v>
      </c>
      <c r="G3563" t="s">
        <v>10462</v>
      </c>
      <c r="H3563" t="s">
        <v>10463</v>
      </c>
    </row>
    <row r="3564" spans="1:8">
      <c r="A3564" t="s">
        <v>242</v>
      </c>
      <c r="B3564" t="s">
        <v>212</v>
      </c>
      <c r="C3564">
        <v>82</v>
      </c>
      <c r="D3564" t="s">
        <v>10464</v>
      </c>
      <c r="E3564" t="s">
        <v>10465</v>
      </c>
      <c r="G3564" t="s">
        <v>10466</v>
      </c>
      <c r="H3564" t="s">
        <v>10467</v>
      </c>
    </row>
    <row r="3565" spans="1:8">
      <c r="A3565" t="s">
        <v>244</v>
      </c>
      <c r="B3565" t="s">
        <v>212</v>
      </c>
      <c r="C3565">
        <v>82</v>
      </c>
      <c r="D3565" t="s">
        <v>1282</v>
      </c>
      <c r="F3565" t="s">
        <v>10468</v>
      </c>
    </row>
    <row r="3566" spans="1:8">
      <c r="A3566" t="s">
        <v>241</v>
      </c>
      <c r="B3566" t="s">
        <v>212</v>
      </c>
      <c r="C3566">
        <v>82</v>
      </c>
      <c r="D3566" t="s">
        <v>10469</v>
      </c>
      <c r="E3566" t="s">
        <v>10470</v>
      </c>
      <c r="F3566" t="s">
        <v>212</v>
      </c>
      <c r="H3566" t="s">
        <v>10471</v>
      </c>
    </row>
    <row r="3567" spans="1:8">
      <c r="A3567" t="s">
        <v>240</v>
      </c>
      <c r="B3567" t="s">
        <v>212</v>
      </c>
      <c r="C3567">
        <v>82</v>
      </c>
      <c r="D3567" t="s">
        <v>10472</v>
      </c>
      <c r="E3567" t="s">
        <v>10473</v>
      </c>
      <c r="F3567" t="s">
        <v>212</v>
      </c>
      <c r="G3567" t="s">
        <v>10474</v>
      </c>
      <c r="H3567" t="s">
        <v>10475</v>
      </c>
    </row>
    <row r="3568" spans="1:8">
      <c r="A3568" t="s">
        <v>240</v>
      </c>
      <c r="B3568" t="s">
        <v>212</v>
      </c>
      <c r="C3568">
        <v>82</v>
      </c>
      <c r="D3568" t="s">
        <v>10476</v>
      </c>
      <c r="E3568" t="s">
        <v>10477</v>
      </c>
      <c r="F3568" t="s">
        <v>212</v>
      </c>
      <c r="G3568" t="s">
        <v>10478</v>
      </c>
      <c r="H3568" t="s">
        <v>10479</v>
      </c>
    </row>
    <row r="3569" spans="1:8">
      <c r="A3569" t="s">
        <v>244</v>
      </c>
      <c r="B3569" t="s">
        <v>6</v>
      </c>
      <c r="C3569">
        <v>83</v>
      </c>
      <c r="D3569" t="s">
        <v>1282</v>
      </c>
    </row>
    <row r="3570" spans="1:8">
      <c r="A3570" t="s">
        <v>239</v>
      </c>
      <c r="B3570" t="s">
        <v>6</v>
      </c>
      <c r="C3570">
        <v>83</v>
      </c>
      <c r="D3570" t="s">
        <v>2237</v>
      </c>
      <c r="E3570" t="s">
        <v>2238</v>
      </c>
      <c r="F3570" t="s">
        <v>2239</v>
      </c>
      <c r="G3570" t="s">
        <v>2240</v>
      </c>
      <c r="H3570" t="s">
        <v>2241</v>
      </c>
    </row>
    <row r="3571" spans="1:8">
      <c r="A3571" t="s">
        <v>243</v>
      </c>
      <c r="B3571" t="s">
        <v>6</v>
      </c>
      <c r="C3571">
        <v>83</v>
      </c>
      <c r="D3571" t="s">
        <v>2242</v>
      </c>
      <c r="E3571" t="s">
        <v>2243</v>
      </c>
      <c r="G3571" t="s">
        <v>2244</v>
      </c>
      <c r="H3571" t="s">
        <v>2245</v>
      </c>
    </row>
    <row r="3572" spans="1:8">
      <c r="A3572" t="s">
        <v>238</v>
      </c>
      <c r="B3572" t="s">
        <v>6</v>
      </c>
      <c r="C3572">
        <v>83</v>
      </c>
      <c r="D3572" t="s">
        <v>2246</v>
      </c>
      <c r="E3572" t="s">
        <v>2247</v>
      </c>
      <c r="F3572" t="s">
        <v>6</v>
      </c>
      <c r="G3572" t="s">
        <v>2248</v>
      </c>
      <c r="H3572" t="s">
        <v>2249</v>
      </c>
    </row>
    <row r="3573" spans="1:8">
      <c r="A3573" t="s">
        <v>239</v>
      </c>
      <c r="B3573" t="s">
        <v>6</v>
      </c>
      <c r="C3573">
        <v>83</v>
      </c>
      <c r="D3573" t="s">
        <v>2250</v>
      </c>
      <c r="E3573" t="s">
        <v>2251</v>
      </c>
      <c r="H3573" t="s">
        <v>2252</v>
      </c>
    </row>
    <row r="3574" spans="1:8">
      <c r="A3574" t="s">
        <v>242</v>
      </c>
      <c r="B3574" t="s">
        <v>6</v>
      </c>
      <c r="C3574">
        <v>83</v>
      </c>
      <c r="D3574" t="s">
        <v>2253</v>
      </c>
      <c r="E3574" t="s">
        <v>2254</v>
      </c>
      <c r="F3574" t="s">
        <v>2255</v>
      </c>
      <c r="G3574" t="s">
        <v>2256</v>
      </c>
      <c r="H3574" t="s">
        <v>2257</v>
      </c>
    </row>
    <row r="3575" spans="1:8">
      <c r="A3575" t="s">
        <v>243</v>
      </c>
      <c r="B3575" t="s">
        <v>6</v>
      </c>
      <c r="C3575">
        <v>83</v>
      </c>
      <c r="D3575" t="s">
        <v>2258</v>
      </c>
      <c r="E3575" t="s">
        <v>2259</v>
      </c>
      <c r="H3575" t="s">
        <v>2260</v>
      </c>
    </row>
    <row r="3576" spans="1:8">
      <c r="A3576" t="s">
        <v>242</v>
      </c>
      <c r="B3576" t="s">
        <v>6</v>
      </c>
      <c r="C3576">
        <v>83</v>
      </c>
      <c r="D3576" t="s">
        <v>2261</v>
      </c>
      <c r="E3576" t="s">
        <v>2262</v>
      </c>
      <c r="G3576" t="s">
        <v>2263</v>
      </c>
      <c r="H3576" t="s">
        <v>2264</v>
      </c>
    </row>
    <row r="3577" spans="1:8">
      <c r="A3577" t="s">
        <v>241</v>
      </c>
      <c r="B3577" t="s">
        <v>233</v>
      </c>
      <c r="C3577">
        <v>83</v>
      </c>
      <c r="D3577" t="s">
        <v>17862</v>
      </c>
      <c r="E3577" t="s">
        <v>17863</v>
      </c>
      <c r="F3577" t="s">
        <v>233</v>
      </c>
      <c r="G3577" t="s">
        <v>17864</v>
      </c>
      <c r="H3577" t="s">
        <v>17865</v>
      </c>
    </row>
    <row r="3578" spans="1:8">
      <c r="A3578" t="s">
        <v>243</v>
      </c>
      <c r="B3578" t="s">
        <v>233</v>
      </c>
      <c r="C3578">
        <v>83</v>
      </c>
      <c r="D3578" t="s">
        <v>17866</v>
      </c>
      <c r="E3578" t="s">
        <v>17867</v>
      </c>
      <c r="F3578" t="s">
        <v>17868</v>
      </c>
      <c r="G3578" t="s">
        <v>17869</v>
      </c>
      <c r="H3578" t="s">
        <v>17870</v>
      </c>
    </row>
    <row r="3579" spans="1:8">
      <c r="A3579" t="s">
        <v>238</v>
      </c>
      <c r="B3579" t="s">
        <v>233</v>
      </c>
      <c r="C3579">
        <v>83</v>
      </c>
      <c r="D3579" t="s">
        <v>17871</v>
      </c>
      <c r="E3579" t="s">
        <v>17872</v>
      </c>
      <c r="F3579" t="s">
        <v>233</v>
      </c>
      <c r="G3579" t="s">
        <v>17873</v>
      </c>
      <c r="H3579" t="s">
        <v>17874</v>
      </c>
    </row>
    <row r="3580" spans="1:8">
      <c r="A3580" t="s">
        <v>242</v>
      </c>
      <c r="B3580" t="s">
        <v>233</v>
      </c>
      <c r="C3580">
        <v>83</v>
      </c>
      <c r="D3580" t="s">
        <v>17875</v>
      </c>
      <c r="E3580" t="s">
        <v>17876</v>
      </c>
      <c r="G3580" t="s">
        <v>17877</v>
      </c>
      <c r="H3580" t="s">
        <v>17878</v>
      </c>
    </row>
    <row r="3581" spans="1:8">
      <c r="A3581" t="s">
        <v>240</v>
      </c>
      <c r="B3581" t="s">
        <v>233</v>
      </c>
      <c r="C3581">
        <v>83</v>
      </c>
      <c r="D3581" t="s">
        <v>17879</v>
      </c>
      <c r="E3581" t="s">
        <v>17880</v>
      </c>
      <c r="F3581" t="s">
        <v>233</v>
      </c>
      <c r="H3581" t="s">
        <v>17881</v>
      </c>
    </row>
    <row r="3582" spans="1:8">
      <c r="A3582" t="s">
        <v>244</v>
      </c>
      <c r="B3582" t="s">
        <v>197</v>
      </c>
      <c r="C3582">
        <v>84</v>
      </c>
      <c r="D3582" t="s">
        <v>561</v>
      </c>
      <c r="F3582" t="s">
        <v>562</v>
      </c>
    </row>
    <row r="3583" spans="1:8">
      <c r="A3583" t="s">
        <v>242</v>
      </c>
      <c r="B3583" t="s">
        <v>197</v>
      </c>
      <c r="C3583">
        <v>84</v>
      </c>
      <c r="D3583" t="s">
        <v>563</v>
      </c>
      <c r="E3583" t="s">
        <v>564</v>
      </c>
      <c r="F3583" t="s">
        <v>197</v>
      </c>
      <c r="H3583" t="s">
        <v>565</v>
      </c>
    </row>
    <row r="3584" spans="1:8">
      <c r="A3584" t="s">
        <v>241</v>
      </c>
      <c r="B3584" t="s">
        <v>197</v>
      </c>
      <c r="C3584">
        <v>84</v>
      </c>
      <c r="D3584" t="s">
        <v>566</v>
      </c>
      <c r="E3584" t="s">
        <v>567</v>
      </c>
      <c r="F3584" t="s">
        <v>197</v>
      </c>
      <c r="G3584" t="s">
        <v>568</v>
      </c>
      <c r="H3584" t="s">
        <v>569</v>
      </c>
    </row>
    <row r="3585" spans="1:8">
      <c r="A3585" t="s">
        <v>242</v>
      </c>
      <c r="B3585" t="s">
        <v>197</v>
      </c>
      <c r="C3585">
        <v>84</v>
      </c>
      <c r="D3585" t="s">
        <v>570</v>
      </c>
      <c r="E3585" t="s">
        <v>571</v>
      </c>
      <c r="F3585" t="s">
        <v>197</v>
      </c>
      <c r="G3585" t="s">
        <v>572</v>
      </c>
      <c r="H3585" t="s">
        <v>573</v>
      </c>
    </row>
    <row r="3586" spans="1:8">
      <c r="A3586" t="s">
        <v>243</v>
      </c>
      <c r="B3586" t="s">
        <v>197</v>
      </c>
      <c r="C3586">
        <v>84</v>
      </c>
      <c r="D3586" t="s">
        <v>574</v>
      </c>
      <c r="E3586" t="s">
        <v>575</v>
      </c>
      <c r="F3586" t="s">
        <v>197</v>
      </c>
      <c r="G3586" t="s">
        <v>576</v>
      </c>
      <c r="H3586" t="s">
        <v>577</v>
      </c>
    </row>
    <row r="3587" spans="1:8">
      <c r="A3587" t="s">
        <v>241</v>
      </c>
      <c r="B3587" t="s">
        <v>197</v>
      </c>
      <c r="C3587">
        <v>84</v>
      </c>
      <c r="D3587" t="s">
        <v>578</v>
      </c>
      <c r="E3587" t="s">
        <v>579</v>
      </c>
      <c r="F3587" t="s">
        <v>197</v>
      </c>
      <c r="H3587" t="s">
        <v>580</v>
      </c>
    </row>
    <row r="3588" spans="1:8">
      <c r="A3588" t="s">
        <v>243</v>
      </c>
      <c r="B3588" t="s">
        <v>197</v>
      </c>
      <c r="C3588">
        <v>84</v>
      </c>
      <c r="D3588" t="s">
        <v>581</v>
      </c>
      <c r="E3588" t="s">
        <v>582</v>
      </c>
      <c r="F3588" t="s">
        <v>197</v>
      </c>
      <c r="H3588" t="s">
        <v>583</v>
      </c>
    </row>
    <row r="3589" spans="1:8">
      <c r="A3589" t="s">
        <v>241</v>
      </c>
      <c r="B3589" t="s">
        <v>197</v>
      </c>
      <c r="C3589">
        <v>84</v>
      </c>
      <c r="D3589" t="s">
        <v>584</v>
      </c>
      <c r="E3589" t="s">
        <v>585</v>
      </c>
      <c r="F3589" t="s">
        <v>197</v>
      </c>
      <c r="H3589" t="s">
        <v>586</v>
      </c>
    </row>
    <row r="3590" spans="1:8">
      <c r="A3590" t="s">
        <v>239</v>
      </c>
      <c r="B3590" t="s">
        <v>197</v>
      </c>
      <c r="C3590">
        <v>84</v>
      </c>
      <c r="D3590" t="s">
        <v>587</v>
      </c>
    </row>
    <row r="3591" spans="1:8">
      <c r="A3591" t="s">
        <v>239</v>
      </c>
      <c r="B3591" t="s">
        <v>197</v>
      </c>
      <c r="C3591">
        <v>84</v>
      </c>
      <c r="D3591" t="s">
        <v>588</v>
      </c>
      <c r="E3591" t="s">
        <v>589</v>
      </c>
      <c r="G3591" t="s">
        <v>590</v>
      </c>
      <c r="H3591" t="s">
        <v>591</v>
      </c>
    </row>
    <row r="3592" spans="1:8">
      <c r="A3592" t="s">
        <v>242</v>
      </c>
      <c r="B3592" t="s">
        <v>197</v>
      </c>
      <c r="C3592">
        <v>84</v>
      </c>
      <c r="D3592" t="s">
        <v>592</v>
      </c>
      <c r="E3592" t="s">
        <v>593</v>
      </c>
      <c r="H3592" t="s">
        <v>594</v>
      </c>
    </row>
    <row r="3593" spans="1:8">
      <c r="A3593" t="s">
        <v>243</v>
      </c>
      <c r="B3593" t="s">
        <v>197</v>
      </c>
      <c r="C3593">
        <v>84</v>
      </c>
      <c r="D3593" t="s">
        <v>595</v>
      </c>
      <c r="F3593" t="s">
        <v>197</v>
      </c>
      <c r="H3593" t="s">
        <v>596</v>
      </c>
    </row>
    <row r="3594" spans="1:8">
      <c r="A3594" t="s">
        <v>238</v>
      </c>
      <c r="B3594" t="s">
        <v>197</v>
      </c>
      <c r="C3594">
        <v>84</v>
      </c>
      <c r="D3594" t="s">
        <v>597</v>
      </c>
      <c r="E3594" t="s">
        <v>598</v>
      </c>
      <c r="F3594" t="s">
        <v>197</v>
      </c>
      <c r="G3594" t="s">
        <v>599</v>
      </c>
      <c r="H3594" t="s">
        <v>600</v>
      </c>
    </row>
    <row r="3595" spans="1:8">
      <c r="A3595" t="s">
        <v>241</v>
      </c>
      <c r="B3595" t="s">
        <v>197</v>
      </c>
      <c r="C3595">
        <v>84</v>
      </c>
      <c r="D3595" t="s">
        <v>601</v>
      </c>
      <c r="E3595" t="s">
        <v>602</v>
      </c>
      <c r="F3595" t="s">
        <v>197</v>
      </c>
      <c r="H3595" t="s">
        <v>603</v>
      </c>
    </row>
    <row r="3596" spans="1:8">
      <c r="A3596" t="s">
        <v>241</v>
      </c>
      <c r="B3596" t="s">
        <v>197</v>
      </c>
      <c r="C3596">
        <v>84</v>
      </c>
      <c r="D3596" t="s">
        <v>604</v>
      </c>
      <c r="E3596" t="s">
        <v>605</v>
      </c>
      <c r="F3596" t="s">
        <v>197</v>
      </c>
      <c r="H3596" t="s">
        <v>606</v>
      </c>
    </row>
    <row r="3597" spans="1:8">
      <c r="A3597" t="s">
        <v>240</v>
      </c>
      <c r="B3597" t="s">
        <v>197</v>
      </c>
      <c r="C3597">
        <v>84</v>
      </c>
      <c r="D3597" t="s">
        <v>607</v>
      </c>
      <c r="E3597" t="s">
        <v>608</v>
      </c>
      <c r="F3597" t="s">
        <v>197</v>
      </c>
      <c r="G3597" t="s">
        <v>609</v>
      </c>
      <c r="H3597" t="s">
        <v>610</v>
      </c>
    </row>
    <row r="3598" spans="1:8">
      <c r="A3598" t="s">
        <v>242</v>
      </c>
      <c r="B3598" t="s">
        <v>197</v>
      </c>
      <c r="C3598">
        <v>84</v>
      </c>
      <c r="D3598" t="s">
        <v>611</v>
      </c>
      <c r="E3598" t="s">
        <v>612</v>
      </c>
      <c r="F3598" t="s">
        <v>197</v>
      </c>
    </row>
    <row r="3599" spans="1:8">
      <c r="A3599" t="s">
        <v>243</v>
      </c>
      <c r="B3599" t="s">
        <v>197</v>
      </c>
      <c r="C3599">
        <v>84</v>
      </c>
      <c r="D3599" t="s">
        <v>613</v>
      </c>
      <c r="F3599" t="s">
        <v>197</v>
      </c>
      <c r="G3599" t="s">
        <v>614</v>
      </c>
      <c r="H3599" t="s">
        <v>615</v>
      </c>
    </row>
    <row r="3600" spans="1:8">
      <c r="A3600" t="s">
        <v>242</v>
      </c>
      <c r="B3600" t="s">
        <v>197</v>
      </c>
      <c r="C3600">
        <v>84</v>
      </c>
      <c r="D3600" t="s">
        <v>616</v>
      </c>
      <c r="E3600" t="s">
        <v>617</v>
      </c>
      <c r="F3600" t="s">
        <v>197</v>
      </c>
      <c r="G3600" t="s">
        <v>618</v>
      </c>
      <c r="H3600" t="s">
        <v>619</v>
      </c>
    </row>
    <row r="3601" spans="1:8">
      <c r="A3601" t="s">
        <v>242</v>
      </c>
      <c r="B3601" t="s">
        <v>197</v>
      </c>
      <c r="C3601">
        <v>84</v>
      </c>
      <c r="D3601" t="s">
        <v>620</v>
      </c>
      <c r="E3601" t="s">
        <v>621</v>
      </c>
      <c r="F3601" t="s">
        <v>197</v>
      </c>
      <c r="H3601" t="s">
        <v>622</v>
      </c>
    </row>
    <row r="3602" spans="1:8">
      <c r="A3602" t="s">
        <v>242</v>
      </c>
      <c r="B3602" t="s">
        <v>197</v>
      </c>
      <c r="C3602">
        <v>84</v>
      </c>
      <c r="D3602" t="s">
        <v>623</v>
      </c>
      <c r="E3602" t="s">
        <v>624</v>
      </c>
      <c r="F3602" t="s">
        <v>197</v>
      </c>
      <c r="G3602" t="s">
        <v>625</v>
      </c>
      <c r="H3602" t="s">
        <v>626</v>
      </c>
    </row>
    <row r="3603" spans="1:8">
      <c r="A3603" t="s">
        <v>239</v>
      </c>
      <c r="B3603" t="s">
        <v>197</v>
      </c>
      <c r="C3603">
        <v>84</v>
      </c>
      <c r="D3603" t="s">
        <v>627</v>
      </c>
      <c r="E3603" t="s">
        <v>628</v>
      </c>
      <c r="F3603" t="s">
        <v>629</v>
      </c>
      <c r="H3603" t="s">
        <v>630</v>
      </c>
    </row>
    <row r="3604" spans="1:8">
      <c r="A3604" t="s">
        <v>239</v>
      </c>
      <c r="B3604" t="s">
        <v>197</v>
      </c>
      <c r="C3604">
        <v>84</v>
      </c>
      <c r="D3604" t="s">
        <v>587</v>
      </c>
      <c r="E3604" t="s">
        <v>631</v>
      </c>
      <c r="H3604" t="s">
        <v>632</v>
      </c>
    </row>
    <row r="3605" spans="1:8">
      <c r="A3605" t="s">
        <v>239</v>
      </c>
      <c r="B3605" t="s">
        <v>197</v>
      </c>
      <c r="C3605">
        <v>84</v>
      </c>
      <c r="D3605" t="s">
        <v>633</v>
      </c>
      <c r="E3605" t="s">
        <v>634</v>
      </c>
      <c r="H3605" t="s">
        <v>635</v>
      </c>
    </row>
    <row r="3606" spans="1:8">
      <c r="A3606" t="s">
        <v>243</v>
      </c>
      <c r="B3606" t="s">
        <v>197</v>
      </c>
      <c r="C3606">
        <v>84</v>
      </c>
      <c r="D3606" t="s">
        <v>636</v>
      </c>
      <c r="E3606" t="s">
        <v>637</v>
      </c>
      <c r="H3606" t="s">
        <v>638</v>
      </c>
    </row>
    <row r="3607" spans="1:8">
      <c r="A3607" t="s">
        <v>239</v>
      </c>
      <c r="B3607" t="s">
        <v>197</v>
      </c>
      <c r="C3607">
        <v>84</v>
      </c>
      <c r="D3607" t="s">
        <v>639</v>
      </c>
      <c r="E3607" t="s">
        <v>640</v>
      </c>
      <c r="F3607" t="s">
        <v>641</v>
      </c>
      <c r="H3607" t="s">
        <v>642</v>
      </c>
    </row>
    <row r="3608" spans="1:8">
      <c r="A3608" t="s">
        <v>242</v>
      </c>
      <c r="B3608" t="s">
        <v>197</v>
      </c>
      <c r="C3608">
        <v>84</v>
      </c>
      <c r="D3608" t="s">
        <v>643</v>
      </c>
      <c r="F3608" t="s">
        <v>197</v>
      </c>
      <c r="H3608" t="s">
        <v>644</v>
      </c>
    </row>
    <row r="3609" spans="1:8">
      <c r="A3609" t="s">
        <v>242</v>
      </c>
      <c r="B3609" t="s">
        <v>24</v>
      </c>
      <c r="C3609">
        <v>85</v>
      </c>
      <c r="D3609" t="s">
        <v>9062</v>
      </c>
      <c r="F3609" t="s">
        <v>9063</v>
      </c>
      <c r="H3609" t="s">
        <v>9064</v>
      </c>
    </row>
    <row r="3610" spans="1:8">
      <c r="A3610" t="s">
        <v>238</v>
      </c>
      <c r="B3610" t="s">
        <v>24</v>
      </c>
      <c r="C3610">
        <v>85</v>
      </c>
      <c r="D3610" t="s">
        <v>9065</v>
      </c>
      <c r="E3610" t="s">
        <v>9066</v>
      </c>
      <c r="F3610" t="s">
        <v>9067</v>
      </c>
      <c r="G3610" t="s">
        <v>9068</v>
      </c>
      <c r="H3610" t="s">
        <v>9069</v>
      </c>
    </row>
    <row r="3611" spans="1:8">
      <c r="A3611" t="s">
        <v>238</v>
      </c>
      <c r="B3611" t="s">
        <v>24</v>
      </c>
      <c r="C3611">
        <v>85</v>
      </c>
      <c r="D3611" t="s">
        <v>9070</v>
      </c>
      <c r="E3611" t="s">
        <v>9071</v>
      </c>
      <c r="F3611" t="s">
        <v>24</v>
      </c>
    </row>
    <row r="3612" spans="1:8">
      <c r="A3612" t="s">
        <v>242</v>
      </c>
      <c r="B3612" t="s">
        <v>24</v>
      </c>
      <c r="C3612">
        <v>85</v>
      </c>
      <c r="D3612" t="s">
        <v>9072</v>
      </c>
      <c r="E3612" t="s">
        <v>9073</v>
      </c>
      <c r="F3612" t="s">
        <v>9074</v>
      </c>
      <c r="G3612" t="s">
        <v>9075</v>
      </c>
      <c r="H3612" t="s">
        <v>9076</v>
      </c>
    </row>
    <row r="3613" spans="1:8">
      <c r="A3613" t="s">
        <v>241</v>
      </c>
      <c r="B3613" t="s">
        <v>24</v>
      </c>
      <c r="C3613">
        <v>85</v>
      </c>
      <c r="D3613" t="s">
        <v>9077</v>
      </c>
      <c r="E3613" t="s">
        <v>9078</v>
      </c>
      <c r="H3613" t="s">
        <v>9079</v>
      </c>
    </row>
    <row r="3614" spans="1:8">
      <c r="A3614" t="s">
        <v>239</v>
      </c>
      <c r="B3614" t="s">
        <v>24</v>
      </c>
      <c r="C3614">
        <v>85</v>
      </c>
      <c r="D3614" t="s">
        <v>9080</v>
      </c>
      <c r="E3614" t="s">
        <v>9081</v>
      </c>
    </row>
    <row r="3615" spans="1:8">
      <c r="A3615" t="s">
        <v>241</v>
      </c>
      <c r="B3615" t="s">
        <v>24</v>
      </c>
      <c r="C3615">
        <v>85</v>
      </c>
      <c r="D3615" t="s">
        <v>9082</v>
      </c>
      <c r="E3615" t="s">
        <v>9083</v>
      </c>
      <c r="H3615" t="s">
        <v>9084</v>
      </c>
    </row>
    <row r="3616" spans="1:8">
      <c r="A3616" t="s">
        <v>241</v>
      </c>
      <c r="B3616" t="s">
        <v>24</v>
      </c>
      <c r="C3616">
        <v>85</v>
      </c>
      <c r="D3616" t="s">
        <v>9085</v>
      </c>
      <c r="E3616" t="s">
        <v>9086</v>
      </c>
      <c r="G3616" t="s">
        <v>9087</v>
      </c>
      <c r="H3616" t="s">
        <v>9088</v>
      </c>
    </row>
    <row r="3617" spans="1:8">
      <c r="A3617" t="s">
        <v>239</v>
      </c>
      <c r="B3617" t="s">
        <v>24</v>
      </c>
      <c r="C3617">
        <v>85</v>
      </c>
      <c r="D3617" t="s">
        <v>9089</v>
      </c>
      <c r="F3617" t="s">
        <v>9074</v>
      </c>
      <c r="G3617" t="s">
        <v>9090</v>
      </c>
      <c r="H3617" t="s">
        <v>9091</v>
      </c>
    </row>
    <row r="3618" spans="1:8">
      <c r="A3618" t="s">
        <v>242</v>
      </c>
      <c r="B3618" t="s">
        <v>24</v>
      </c>
      <c r="C3618">
        <v>85</v>
      </c>
      <c r="D3618" t="s">
        <v>9092</v>
      </c>
      <c r="E3618" t="s">
        <v>9093</v>
      </c>
      <c r="F3618" t="s">
        <v>9094</v>
      </c>
      <c r="G3618" t="s">
        <v>9095</v>
      </c>
      <c r="H3618" t="s">
        <v>9096</v>
      </c>
    </row>
    <row r="3619" spans="1:8">
      <c r="A3619" t="s">
        <v>239</v>
      </c>
      <c r="B3619" t="s">
        <v>24</v>
      </c>
      <c r="C3619">
        <v>85</v>
      </c>
      <c r="D3619" t="s">
        <v>9097</v>
      </c>
      <c r="E3619" t="s">
        <v>9098</v>
      </c>
      <c r="F3619" t="s">
        <v>9099</v>
      </c>
      <c r="G3619" t="s">
        <v>9100</v>
      </c>
      <c r="H3619" t="s">
        <v>9101</v>
      </c>
    </row>
    <row r="3620" spans="1:8">
      <c r="A3620" t="s">
        <v>243</v>
      </c>
      <c r="B3620" t="s">
        <v>24</v>
      </c>
      <c r="C3620">
        <v>85</v>
      </c>
      <c r="D3620" t="s">
        <v>9102</v>
      </c>
      <c r="E3620" t="s">
        <v>9103</v>
      </c>
      <c r="F3620" t="s">
        <v>24</v>
      </c>
      <c r="G3620" t="s">
        <v>9104</v>
      </c>
      <c r="H3620" t="s">
        <v>9105</v>
      </c>
    </row>
    <row r="3621" spans="1:8">
      <c r="A3621" t="s">
        <v>238</v>
      </c>
      <c r="B3621" t="s">
        <v>24</v>
      </c>
      <c r="C3621">
        <v>85</v>
      </c>
      <c r="D3621" t="s">
        <v>9106</v>
      </c>
      <c r="E3621" t="s">
        <v>9071</v>
      </c>
      <c r="F3621" t="s">
        <v>24</v>
      </c>
    </row>
    <row r="3622" spans="1:8">
      <c r="A3622" t="s">
        <v>242</v>
      </c>
      <c r="B3622" t="s">
        <v>24</v>
      </c>
      <c r="C3622">
        <v>85</v>
      </c>
      <c r="D3622" t="s">
        <v>9107</v>
      </c>
      <c r="E3622" t="s">
        <v>9108</v>
      </c>
      <c r="F3622" t="s">
        <v>24</v>
      </c>
      <c r="G3622" t="s">
        <v>9109</v>
      </c>
      <c r="H3622" t="s">
        <v>9110</v>
      </c>
    </row>
    <row r="3623" spans="1:8">
      <c r="A3623" t="s">
        <v>242</v>
      </c>
      <c r="B3623" t="s">
        <v>24</v>
      </c>
      <c r="C3623">
        <v>85</v>
      </c>
      <c r="D3623" t="s">
        <v>9111</v>
      </c>
      <c r="E3623" t="s">
        <v>9112</v>
      </c>
      <c r="F3623" t="s">
        <v>9113</v>
      </c>
      <c r="H3623" t="s">
        <v>9114</v>
      </c>
    </row>
    <row r="3624" spans="1:8">
      <c r="A3624" t="s">
        <v>241</v>
      </c>
      <c r="B3624" t="s">
        <v>24</v>
      </c>
      <c r="C3624">
        <v>85</v>
      </c>
      <c r="D3624" t="s">
        <v>9115</v>
      </c>
      <c r="E3624" t="s">
        <v>9116</v>
      </c>
      <c r="F3624" t="s">
        <v>24</v>
      </c>
      <c r="G3624" t="s">
        <v>9117</v>
      </c>
      <c r="H3624" t="s">
        <v>9118</v>
      </c>
    </row>
    <row r="3625" spans="1:8">
      <c r="A3625" t="s">
        <v>241</v>
      </c>
      <c r="B3625" t="s">
        <v>24</v>
      </c>
      <c r="C3625">
        <v>85</v>
      </c>
      <c r="D3625" t="s">
        <v>9119</v>
      </c>
      <c r="E3625" t="s">
        <v>9120</v>
      </c>
      <c r="H3625" t="s">
        <v>9121</v>
      </c>
    </row>
    <row r="3626" spans="1:8">
      <c r="A3626" t="s">
        <v>242</v>
      </c>
      <c r="B3626" t="s">
        <v>24</v>
      </c>
      <c r="C3626">
        <v>85</v>
      </c>
      <c r="D3626" t="s">
        <v>9122</v>
      </c>
      <c r="E3626" t="s">
        <v>9123</v>
      </c>
      <c r="F3626" t="s">
        <v>9124</v>
      </c>
      <c r="G3626" t="s">
        <v>9125</v>
      </c>
      <c r="H3626" t="s">
        <v>9126</v>
      </c>
    </row>
    <row r="3627" spans="1:8">
      <c r="A3627" t="s">
        <v>241</v>
      </c>
      <c r="B3627" t="s">
        <v>24</v>
      </c>
      <c r="C3627">
        <v>85</v>
      </c>
      <c r="D3627" t="s">
        <v>9127</v>
      </c>
      <c r="E3627" t="s">
        <v>9128</v>
      </c>
      <c r="F3627" t="s">
        <v>9129</v>
      </c>
      <c r="H3627" t="s">
        <v>5416</v>
      </c>
    </row>
    <row r="3628" spans="1:8">
      <c r="A3628" t="s">
        <v>242</v>
      </c>
      <c r="B3628" t="s">
        <v>24</v>
      </c>
      <c r="C3628">
        <v>85</v>
      </c>
      <c r="D3628" t="s">
        <v>9130</v>
      </c>
      <c r="E3628" t="s">
        <v>9131</v>
      </c>
      <c r="F3628" t="s">
        <v>24</v>
      </c>
      <c r="G3628" t="s">
        <v>9132</v>
      </c>
      <c r="H3628" t="s">
        <v>9133</v>
      </c>
    </row>
    <row r="3629" spans="1:8">
      <c r="A3629" t="s">
        <v>238</v>
      </c>
      <c r="B3629" t="s">
        <v>24</v>
      </c>
      <c r="C3629">
        <v>85</v>
      </c>
      <c r="D3629" t="s">
        <v>9134</v>
      </c>
      <c r="E3629" t="s">
        <v>9071</v>
      </c>
      <c r="F3629" t="s">
        <v>24</v>
      </c>
      <c r="G3629" t="s">
        <v>9135</v>
      </c>
      <c r="H3629" t="s">
        <v>9136</v>
      </c>
    </row>
    <row r="3630" spans="1:8">
      <c r="A3630" t="s">
        <v>244</v>
      </c>
      <c r="B3630" t="s">
        <v>38</v>
      </c>
      <c r="C3630">
        <v>85</v>
      </c>
      <c r="D3630" t="s">
        <v>11773</v>
      </c>
      <c r="E3630" t="s">
        <v>11774</v>
      </c>
      <c r="F3630" t="s">
        <v>11775</v>
      </c>
    </row>
    <row r="3631" spans="1:8">
      <c r="A3631" t="s">
        <v>242</v>
      </c>
      <c r="B3631" t="s">
        <v>38</v>
      </c>
      <c r="C3631">
        <v>85</v>
      </c>
      <c r="D3631" t="s">
        <v>11776</v>
      </c>
      <c r="E3631" t="s">
        <v>11777</v>
      </c>
      <c r="F3631" t="s">
        <v>38</v>
      </c>
      <c r="G3631" t="s">
        <v>11778</v>
      </c>
      <c r="H3631" t="s">
        <v>11779</v>
      </c>
    </row>
    <row r="3632" spans="1:8">
      <c r="A3632" t="s">
        <v>238</v>
      </c>
      <c r="B3632" t="s">
        <v>38</v>
      </c>
      <c r="C3632">
        <v>85</v>
      </c>
      <c r="D3632" t="s">
        <v>11780</v>
      </c>
      <c r="E3632" t="s">
        <v>11781</v>
      </c>
      <c r="H3632" t="s">
        <v>11782</v>
      </c>
    </row>
    <row r="3633" spans="1:8">
      <c r="A3633" t="s">
        <v>241</v>
      </c>
      <c r="B3633" t="s">
        <v>38</v>
      </c>
      <c r="C3633">
        <v>85</v>
      </c>
      <c r="D3633" t="s">
        <v>11783</v>
      </c>
      <c r="E3633" t="s">
        <v>11784</v>
      </c>
      <c r="H3633" t="s">
        <v>11785</v>
      </c>
    </row>
    <row r="3634" spans="1:8">
      <c r="A3634" t="s">
        <v>240</v>
      </c>
      <c r="B3634" t="s">
        <v>38</v>
      </c>
      <c r="C3634">
        <v>85</v>
      </c>
      <c r="D3634" t="s">
        <v>10769</v>
      </c>
      <c r="E3634" t="s">
        <v>11786</v>
      </c>
      <c r="F3634" t="s">
        <v>38</v>
      </c>
      <c r="G3634" t="s">
        <v>11787</v>
      </c>
      <c r="H3634" t="s">
        <v>11788</v>
      </c>
    </row>
    <row r="3635" spans="1:8">
      <c r="A3635" t="s">
        <v>242</v>
      </c>
      <c r="B3635" t="s">
        <v>38</v>
      </c>
      <c r="C3635">
        <v>85</v>
      </c>
      <c r="D3635" t="s">
        <v>11789</v>
      </c>
      <c r="E3635" t="s">
        <v>11790</v>
      </c>
      <c r="F3635" t="s">
        <v>38</v>
      </c>
      <c r="H3635" t="s">
        <v>11791</v>
      </c>
    </row>
    <row r="3636" spans="1:8">
      <c r="A3636" t="s">
        <v>242</v>
      </c>
      <c r="B3636" t="s">
        <v>38</v>
      </c>
      <c r="C3636">
        <v>85</v>
      </c>
      <c r="D3636" t="s">
        <v>11792</v>
      </c>
      <c r="E3636" t="s">
        <v>11793</v>
      </c>
      <c r="G3636" t="s">
        <v>11794</v>
      </c>
      <c r="H3636" t="s">
        <v>11795</v>
      </c>
    </row>
    <row r="3637" spans="1:8">
      <c r="A3637" t="s">
        <v>240</v>
      </c>
      <c r="B3637" t="s">
        <v>193</v>
      </c>
      <c r="C3637">
        <v>85</v>
      </c>
      <c r="D3637" t="s">
        <v>14675</v>
      </c>
      <c r="E3637" t="s">
        <v>14676</v>
      </c>
      <c r="F3637" t="s">
        <v>193</v>
      </c>
      <c r="G3637" t="s">
        <v>14677</v>
      </c>
      <c r="H3637" t="s">
        <v>14678</v>
      </c>
    </row>
    <row r="3638" spans="1:8">
      <c r="A3638" t="s">
        <v>250</v>
      </c>
      <c r="B3638" t="s">
        <v>193</v>
      </c>
      <c r="C3638">
        <v>85</v>
      </c>
      <c r="D3638" t="s">
        <v>14679</v>
      </c>
      <c r="E3638" t="s">
        <v>14680</v>
      </c>
      <c r="G3638" t="s">
        <v>14681</v>
      </c>
      <c r="H3638" t="s">
        <v>14682</v>
      </c>
    </row>
    <row r="3639" spans="1:8">
      <c r="A3639" t="s">
        <v>250</v>
      </c>
      <c r="B3639" t="s">
        <v>193</v>
      </c>
      <c r="C3639">
        <v>85</v>
      </c>
      <c r="D3639" t="s">
        <v>14683</v>
      </c>
      <c r="E3639" t="s">
        <v>14684</v>
      </c>
    </row>
    <row r="3640" spans="1:8">
      <c r="A3640" t="s">
        <v>250</v>
      </c>
      <c r="B3640" t="s">
        <v>193</v>
      </c>
      <c r="C3640">
        <v>85</v>
      </c>
      <c r="D3640" t="s">
        <v>14685</v>
      </c>
      <c r="E3640" t="s">
        <v>14686</v>
      </c>
      <c r="G3640" t="s">
        <v>14687</v>
      </c>
    </row>
    <row r="3641" spans="1:8">
      <c r="A3641" t="s">
        <v>250</v>
      </c>
      <c r="B3641" t="s">
        <v>193</v>
      </c>
      <c r="C3641">
        <v>85</v>
      </c>
      <c r="D3641" t="s">
        <v>14688</v>
      </c>
      <c r="E3641" t="s">
        <v>12380</v>
      </c>
    </row>
    <row r="3642" spans="1:8">
      <c r="A3642" t="s">
        <v>250</v>
      </c>
      <c r="B3642" t="s">
        <v>193</v>
      </c>
      <c r="C3642">
        <v>85</v>
      </c>
      <c r="D3642" t="s">
        <v>14689</v>
      </c>
      <c r="E3642" t="s">
        <v>12380</v>
      </c>
    </row>
    <row r="3643" spans="1:8">
      <c r="A3643" t="s">
        <v>250</v>
      </c>
      <c r="B3643" t="s">
        <v>193</v>
      </c>
      <c r="C3643">
        <v>85</v>
      </c>
      <c r="D3643" t="s">
        <v>14690</v>
      </c>
      <c r="E3643" t="s">
        <v>14691</v>
      </c>
      <c r="G3643" t="s">
        <v>14692</v>
      </c>
      <c r="H3643" t="s">
        <v>14693</v>
      </c>
    </row>
    <row r="3644" spans="1:8">
      <c r="A3644" t="s">
        <v>250</v>
      </c>
      <c r="B3644" t="s">
        <v>193</v>
      </c>
      <c r="C3644">
        <v>85</v>
      </c>
      <c r="D3644" t="s">
        <v>14694</v>
      </c>
      <c r="G3644" t="s">
        <v>14695</v>
      </c>
    </row>
    <row r="3645" spans="1:8">
      <c r="A3645" t="s">
        <v>250</v>
      </c>
      <c r="B3645" t="s">
        <v>193</v>
      </c>
      <c r="C3645">
        <v>85</v>
      </c>
      <c r="D3645" t="s">
        <v>14696</v>
      </c>
      <c r="E3645" t="s">
        <v>14697</v>
      </c>
      <c r="F3645" t="s">
        <v>14698</v>
      </c>
      <c r="G3645" t="s">
        <v>14699</v>
      </c>
      <c r="H3645" t="s">
        <v>14700</v>
      </c>
    </row>
    <row r="3646" spans="1:8">
      <c r="A3646" t="s">
        <v>250</v>
      </c>
      <c r="B3646" t="s">
        <v>193</v>
      </c>
      <c r="C3646">
        <v>85</v>
      </c>
      <c r="D3646" t="s">
        <v>14701</v>
      </c>
      <c r="E3646" t="s">
        <v>14702</v>
      </c>
    </row>
    <row r="3647" spans="1:8">
      <c r="A3647" t="s">
        <v>250</v>
      </c>
      <c r="B3647" t="s">
        <v>193</v>
      </c>
      <c r="C3647">
        <v>85</v>
      </c>
      <c r="D3647" t="s">
        <v>14703</v>
      </c>
      <c r="E3647" t="s">
        <v>12380</v>
      </c>
      <c r="H3647" t="s">
        <v>14704</v>
      </c>
    </row>
    <row r="3648" spans="1:8">
      <c r="A3648" t="s">
        <v>250</v>
      </c>
      <c r="B3648" t="s">
        <v>193</v>
      </c>
      <c r="C3648">
        <v>85</v>
      </c>
      <c r="D3648" t="s">
        <v>14705</v>
      </c>
      <c r="E3648" t="s">
        <v>14706</v>
      </c>
    </row>
    <row r="3649" spans="1:8">
      <c r="A3649" t="s">
        <v>250</v>
      </c>
      <c r="B3649" t="s">
        <v>193</v>
      </c>
      <c r="C3649">
        <v>85</v>
      </c>
      <c r="D3649" t="s">
        <v>14707</v>
      </c>
      <c r="E3649" t="s">
        <v>14706</v>
      </c>
      <c r="G3649" t="s">
        <v>14708</v>
      </c>
    </row>
    <row r="3650" spans="1:8">
      <c r="A3650" t="s">
        <v>250</v>
      </c>
      <c r="B3650" t="s">
        <v>193</v>
      </c>
      <c r="C3650">
        <v>85</v>
      </c>
      <c r="D3650" t="s">
        <v>14709</v>
      </c>
      <c r="E3650" t="s">
        <v>14710</v>
      </c>
      <c r="G3650" t="s">
        <v>14711</v>
      </c>
    </row>
    <row r="3651" spans="1:8">
      <c r="A3651" t="s">
        <v>250</v>
      </c>
      <c r="B3651" t="s">
        <v>193</v>
      </c>
      <c r="C3651">
        <v>85</v>
      </c>
      <c r="D3651" t="s">
        <v>14712</v>
      </c>
      <c r="E3651" t="s">
        <v>12359</v>
      </c>
    </row>
    <row r="3652" spans="1:8">
      <c r="A3652" t="s">
        <v>250</v>
      </c>
      <c r="B3652" t="s">
        <v>193</v>
      </c>
      <c r="C3652">
        <v>85</v>
      </c>
      <c r="D3652" t="s">
        <v>14713</v>
      </c>
      <c r="E3652" t="s">
        <v>14714</v>
      </c>
    </row>
    <row r="3653" spans="1:8">
      <c r="A3653" t="s">
        <v>250</v>
      </c>
      <c r="B3653" t="s">
        <v>193</v>
      </c>
      <c r="C3653">
        <v>85</v>
      </c>
      <c r="D3653" t="s">
        <v>13525</v>
      </c>
    </row>
    <row r="3654" spans="1:8">
      <c r="A3654" t="s">
        <v>250</v>
      </c>
      <c r="B3654" t="s">
        <v>193</v>
      </c>
      <c r="C3654">
        <v>85</v>
      </c>
      <c r="D3654" t="s">
        <v>4498</v>
      </c>
      <c r="E3654" t="s">
        <v>14715</v>
      </c>
      <c r="G3654" t="s">
        <v>14716</v>
      </c>
    </row>
    <row r="3655" spans="1:8">
      <c r="A3655" t="s">
        <v>250</v>
      </c>
      <c r="B3655" t="s">
        <v>193</v>
      </c>
      <c r="C3655">
        <v>85</v>
      </c>
      <c r="D3655" t="s">
        <v>14717</v>
      </c>
    </row>
    <row r="3656" spans="1:8">
      <c r="A3656" t="s">
        <v>250</v>
      </c>
      <c r="B3656" t="s">
        <v>193</v>
      </c>
      <c r="C3656">
        <v>85</v>
      </c>
      <c r="D3656" t="s">
        <v>14718</v>
      </c>
      <c r="E3656" t="s">
        <v>14719</v>
      </c>
    </row>
    <row r="3657" spans="1:8">
      <c r="A3657" t="s">
        <v>250</v>
      </c>
      <c r="B3657" t="s">
        <v>193</v>
      </c>
      <c r="C3657">
        <v>85</v>
      </c>
      <c r="D3657" t="s">
        <v>14720</v>
      </c>
      <c r="E3657" t="s">
        <v>14721</v>
      </c>
      <c r="F3657" t="s">
        <v>14722</v>
      </c>
      <c r="G3657" t="s">
        <v>14723</v>
      </c>
    </row>
    <row r="3658" spans="1:8">
      <c r="A3658" t="s">
        <v>250</v>
      </c>
      <c r="B3658" t="s">
        <v>193</v>
      </c>
      <c r="C3658">
        <v>85</v>
      </c>
      <c r="D3658" t="s">
        <v>14724</v>
      </c>
      <c r="E3658" t="s">
        <v>14725</v>
      </c>
      <c r="F3658" t="s">
        <v>14726</v>
      </c>
    </row>
    <row r="3659" spans="1:8">
      <c r="A3659" t="s">
        <v>250</v>
      </c>
      <c r="B3659" t="s">
        <v>193</v>
      </c>
      <c r="C3659">
        <v>85</v>
      </c>
      <c r="D3659" t="s">
        <v>9498</v>
      </c>
      <c r="E3659" t="s">
        <v>14727</v>
      </c>
      <c r="G3659" t="s">
        <v>14728</v>
      </c>
      <c r="H3659" t="s">
        <v>14729</v>
      </c>
    </row>
    <row r="3660" spans="1:8">
      <c r="A3660" t="s">
        <v>250</v>
      </c>
      <c r="B3660" t="s">
        <v>193</v>
      </c>
      <c r="C3660">
        <v>85</v>
      </c>
      <c r="D3660" t="s">
        <v>14730</v>
      </c>
      <c r="E3660" t="s">
        <v>14731</v>
      </c>
    </row>
    <row r="3661" spans="1:8">
      <c r="A3661" t="s">
        <v>250</v>
      </c>
      <c r="B3661" t="s">
        <v>193</v>
      </c>
      <c r="C3661">
        <v>85</v>
      </c>
      <c r="D3661" t="s">
        <v>14732</v>
      </c>
      <c r="F3661" t="s">
        <v>193</v>
      </c>
      <c r="G3661" t="s">
        <v>14733</v>
      </c>
    </row>
    <row r="3662" spans="1:8">
      <c r="A3662" t="s">
        <v>250</v>
      </c>
      <c r="B3662" t="s">
        <v>193</v>
      </c>
      <c r="C3662">
        <v>85</v>
      </c>
      <c r="D3662" t="s">
        <v>14734</v>
      </c>
      <c r="E3662" t="s">
        <v>12390</v>
      </c>
    </row>
    <row r="3663" spans="1:8">
      <c r="A3663" t="s">
        <v>250</v>
      </c>
      <c r="B3663" t="s">
        <v>193</v>
      </c>
      <c r="C3663">
        <v>85</v>
      </c>
      <c r="D3663" t="s">
        <v>14735</v>
      </c>
      <c r="G3663" t="s">
        <v>14736</v>
      </c>
    </row>
    <row r="3664" spans="1:8">
      <c r="A3664" t="s">
        <v>250</v>
      </c>
      <c r="B3664" t="s">
        <v>193</v>
      </c>
      <c r="C3664">
        <v>85</v>
      </c>
      <c r="D3664" t="s">
        <v>14737</v>
      </c>
      <c r="E3664" t="s">
        <v>7759</v>
      </c>
      <c r="F3664" t="s">
        <v>193</v>
      </c>
    </row>
    <row r="3665" spans="1:8">
      <c r="A3665" t="s">
        <v>250</v>
      </c>
      <c r="B3665" t="s">
        <v>193</v>
      </c>
      <c r="C3665">
        <v>85</v>
      </c>
      <c r="D3665" t="s">
        <v>14738</v>
      </c>
    </row>
    <row r="3666" spans="1:8">
      <c r="A3666" t="s">
        <v>250</v>
      </c>
      <c r="B3666" t="s">
        <v>193</v>
      </c>
      <c r="C3666">
        <v>85</v>
      </c>
      <c r="D3666" t="s">
        <v>14739</v>
      </c>
      <c r="E3666" t="s">
        <v>14740</v>
      </c>
    </row>
    <row r="3667" spans="1:8">
      <c r="A3667" t="s">
        <v>250</v>
      </c>
      <c r="B3667" t="s">
        <v>193</v>
      </c>
      <c r="C3667">
        <v>85</v>
      </c>
      <c r="D3667" t="s">
        <v>14741</v>
      </c>
      <c r="G3667" t="s">
        <v>14742</v>
      </c>
    </row>
    <row r="3668" spans="1:8">
      <c r="A3668" t="s">
        <v>250</v>
      </c>
      <c r="B3668" t="s">
        <v>193</v>
      </c>
      <c r="C3668">
        <v>85</v>
      </c>
      <c r="D3668" t="s">
        <v>14743</v>
      </c>
      <c r="E3668" t="s">
        <v>14706</v>
      </c>
      <c r="H3668" t="s">
        <v>14744</v>
      </c>
    </row>
    <row r="3669" spans="1:8">
      <c r="A3669" t="s">
        <v>250</v>
      </c>
      <c r="B3669" t="s">
        <v>193</v>
      </c>
      <c r="C3669">
        <v>85</v>
      </c>
      <c r="D3669" t="s">
        <v>14745</v>
      </c>
      <c r="E3669" t="s">
        <v>14746</v>
      </c>
    </row>
    <row r="3670" spans="1:8">
      <c r="A3670" t="s">
        <v>250</v>
      </c>
      <c r="B3670" t="s">
        <v>193</v>
      </c>
      <c r="C3670">
        <v>85</v>
      </c>
      <c r="D3670" t="s">
        <v>14747</v>
      </c>
      <c r="E3670" t="s">
        <v>14748</v>
      </c>
      <c r="F3670" t="s">
        <v>193</v>
      </c>
      <c r="G3670" t="s">
        <v>14749</v>
      </c>
    </row>
    <row r="3671" spans="1:8">
      <c r="A3671" t="s">
        <v>250</v>
      </c>
      <c r="B3671" t="s">
        <v>193</v>
      </c>
      <c r="C3671">
        <v>85</v>
      </c>
      <c r="D3671" t="s">
        <v>14750</v>
      </c>
      <c r="E3671" t="s">
        <v>14751</v>
      </c>
      <c r="F3671" t="s">
        <v>193</v>
      </c>
      <c r="G3671" t="s">
        <v>14752</v>
      </c>
      <c r="H3671" t="s">
        <v>14753</v>
      </c>
    </row>
    <row r="3672" spans="1:8">
      <c r="A3672" t="s">
        <v>250</v>
      </c>
      <c r="B3672" t="s">
        <v>193</v>
      </c>
      <c r="C3672">
        <v>85</v>
      </c>
      <c r="D3672" t="s">
        <v>14754</v>
      </c>
      <c r="E3672" t="s">
        <v>14755</v>
      </c>
      <c r="F3672" t="s">
        <v>14722</v>
      </c>
      <c r="G3672" t="s">
        <v>14756</v>
      </c>
      <c r="H3672" t="s">
        <v>14757</v>
      </c>
    </row>
    <row r="3673" spans="1:8">
      <c r="A3673" t="s">
        <v>250</v>
      </c>
      <c r="B3673" t="s">
        <v>193</v>
      </c>
      <c r="C3673">
        <v>85</v>
      </c>
      <c r="D3673" t="s">
        <v>14758</v>
      </c>
      <c r="E3673" t="s">
        <v>14759</v>
      </c>
      <c r="F3673" t="s">
        <v>193</v>
      </c>
      <c r="G3673" t="s">
        <v>14760</v>
      </c>
      <c r="H3673" t="s">
        <v>14761</v>
      </c>
    </row>
    <row r="3674" spans="1:8">
      <c r="A3674" t="s">
        <v>250</v>
      </c>
      <c r="B3674" t="s">
        <v>193</v>
      </c>
      <c r="C3674">
        <v>85</v>
      </c>
      <c r="D3674" t="s">
        <v>14762</v>
      </c>
      <c r="E3674" t="s">
        <v>14763</v>
      </c>
    </row>
    <row r="3675" spans="1:8">
      <c r="A3675" t="s">
        <v>248</v>
      </c>
      <c r="B3675" t="s">
        <v>193</v>
      </c>
      <c r="C3675">
        <v>85</v>
      </c>
      <c r="D3675" t="s">
        <v>14764</v>
      </c>
      <c r="E3675" t="s">
        <v>14765</v>
      </c>
      <c r="F3675" t="s">
        <v>193</v>
      </c>
      <c r="G3675" t="s">
        <v>14766</v>
      </c>
      <c r="H3675" t="s">
        <v>14767</v>
      </c>
    </row>
    <row r="3676" spans="1:8">
      <c r="A3676" t="s">
        <v>240</v>
      </c>
      <c r="B3676" t="s">
        <v>193</v>
      </c>
      <c r="C3676">
        <v>85</v>
      </c>
      <c r="D3676" t="s">
        <v>13593</v>
      </c>
      <c r="E3676" t="s">
        <v>14768</v>
      </c>
      <c r="F3676" t="s">
        <v>193</v>
      </c>
      <c r="G3676" t="s">
        <v>14769</v>
      </c>
      <c r="H3676" t="s">
        <v>14770</v>
      </c>
    </row>
    <row r="3677" spans="1:8">
      <c r="A3677" t="s">
        <v>240</v>
      </c>
      <c r="B3677" t="s">
        <v>193</v>
      </c>
      <c r="C3677">
        <v>85</v>
      </c>
      <c r="D3677" t="s">
        <v>14771</v>
      </c>
      <c r="E3677" t="s">
        <v>14772</v>
      </c>
      <c r="F3677" t="s">
        <v>193</v>
      </c>
      <c r="G3677" t="s">
        <v>14773</v>
      </c>
      <c r="H3677" t="s">
        <v>14774</v>
      </c>
    </row>
    <row r="3678" spans="1:8">
      <c r="A3678" t="s">
        <v>240</v>
      </c>
      <c r="B3678" t="s">
        <v>193</v>
      </c>
      <c r="C3678">
        <v>85</v>
      </c>
      <c r="D3678" t="s">
        <v>14775</v>
      </c>
      <c r="E3678" t="s">
        <v>14776</v>
      </c>
      <c r="F3678" t="s">
        <v>193</v>
      </c>
      <c r="G3678" t="s">
        <v>14777</v>
      </c>
      <c r="H3678" t="s">
        <v>14778</v>
      </c>
    </row>
    <row r="3679" spans="1:8">
      <c r="A3679" t="s">
        <v>240</v>
      </c>
      <c r="B3679" t="s">
        <v>193</v>
      </c>
      <c r="C3679">
        <v>85</v>
      </c>
      <c r="D3679" t="s">
        <v>14779</v>
      </c>
      <c r="E3679" t="s">
        <v>14780</v>
      </c>
      <c r="F3679" t="s">
        <v>193</v>
      </c>
      <c r="G3679" t="s">
        <v>14781</v>
      </c>
      <c r="H3679" t="s">
        <v>14782</v>
      </c>
    </row>
    <row r="3680" spans="1:8">
      <c r="A3680" t="s">
        <v>240</v>
      </c>
      <c r="B3680" t="s">
        <v>193</v>
      </c>
      <c r="C3680">
        <v>85</v>
      </c>
      <c r="D3680" t="s">
        <v>14783</v>
      </c>
      <c r="E3680" t="s">
        <v>14784</v>
      </c>
      <c r="F3680" t="s">
        <v>193</v>
      </c>
      <c r="G3680" t="s">
        <v>14785</v>
      </c>
      <c r="H3680" t="s">
        <v>14786</v>
      </c>
    </row>
    <row r="3681" spans="1:8">
      <c r="A3681" t="s">
        <v>240</v>
      </c>
      <c r="B3681" t="s">
        <v>193</v>
      </c>
      <c r="C3681">
        <v>85</v>
      </c>
      <c r="D3681" t="s">
        <v>9600</v>
      </c>
      <c r="E3681" t="s">
        <v>14787</v>
      </c>
      <c r="F3681" t="s">
        <v>193</v>
      </c>
      <c r="G3681" t="s">
        <v>14788</v>
      </c>
      <c r="H3681" t="s">
        <v>14789</v>
      </c>
    </row>
    <row r="3682" spans="1:8">
      <c r="A3682" t="s">
        <v>240</v>
      </c>
      <c r="B3682" t="s">
        <v>193</v>
      </c>
      <c r="C3682">
        <v>85</v>
      </c>
      <c r="D3682" t="s">
        <v>14790</v>
      </c>
      <c r="E3682" t="s">
        <v>14791</v>
      </c>
      <c r="F3682" t="s">
        <v>193</v>
      </c>
      <c r="G3682" t="s">
        <v>14792</v>
      </c>
      <c r="H3682" t="s">
        <v>14793</v>
      </c>
    </row>
    <row r="3683" spans="1:8">
      <c r="A3683" t="s">
        <v>240</v>
      </c>
      <c r="B3683" t="s">
        <v>193</v>
      </c>
      <c r="C3683">
        <v>85</v>
      </c>
      <c r="D3683" t="s">
        <v>14794</v>
      </c>
      <c r="E3683" t="s">
        <v>14795</v>
      </c>
      <c r="F3683" t="s">
        <v>193</v>
      </c>
      <c r="G3683" t="s">
        <v>14796</v>
      </c>
      <c r="H3683" t="s">
        <v>14797</v>
      </c>
    </row>
    <row r="3684" spans="1:8">
      <c r="A3684" t="s">
        <v>241</v>
      </c>
      <c r="B3684" t="s">
        <v>193</v>
      </c>
      <c r="C3684">
        <v>85</v>
      </c>
      <c r="D3684" t="s">
        <v>14798</v>
      </c>
      <c r="E3684" t="s">
        <v>14799</v>
      </c>
      <c r="F3684" t="s">
        <v>193</v>
      </c>
      <c r="G3684" t="s">
        <v>4481</v>
      </c>
      <c r="H3684" t="s">
        <v>14800</v>
      </c>
    </row>
    <row r="3685" spans="1:8">
      <c r="A3685" t="s">
        <v>241</v>
      </c>
      <c r="B3685" t="s">
        <v>193</v>
      </c>
      <c r="C3685">
        <v>85</v>
      </c>
      <c r="D3685" t="s">
        <v>14801</v>
      </c>
      <c r="E3685" t="s">
        <v>14802</v>
      </c>
      <c r="F3685" t="s">
        <v>193</v>
      </c>
      <c r="G3685" t="s">
        <v>14803</v>
      </c>
      <c r="H3685" t="s">
        <v>14804</v>
      </c>
    </row>
    <row r="3686" spans="1:8">
      <c r="A3686" t="s">
        <v>250</v>
      </c>
      <c r="B3686" t="s">
        <v>193</v>
      </c>
      <c r="C3686">
        <v>85</v>
      </c>
      <c r="D3686" t="s">
        <v>14805</v>
      </c>
      <c r="E3686" t="s">
        <v>14706</v>
      </c>
    </row>
    <row r="3687" spans="1:8">
      <c r="A3687" t="s">
        <v>250</v>
      </c>
      <c r="B3687" t="s">
        <v>193</v>
      </c>
      <c r="C3687">
        <v>85</v>
      </c>
      <c r="D3687" t="s">
        <v>14806</v>
      </c>
      <c r="E3687" t="s">
        <v>14807</v>
      </c>
      <c r="G3687" t="s">
        <v>14808</v>
      </c>
    </row>
    <row r="3688" spans="1:8">
      <c r="A3688" t="s">
        <v>250</v>
      </c>
      <c r="B3688" t="s">
        <v>193</v>
      </c>
      <c r="C3688">
        <v>85</v>
      </c>
      <c r="D3688" t="s">
        <v>14809</v>
      </c>
    </row>
    <row r="3689" spans="1:8">
      <c r="A3689" t="s">
        <v>250</v>
      </c>
      <c r="B3689" t="s">
        <v>193</v>
      </c>
      <c r="C3689">
        <v>85</v>
      </c>
      <c r="D3689" t="s">
        <v>13783</v>
      </c>
      <c r="E3689" t="s">
        <v>14810</v>
      </c>
      <c r="F3689" t="s">
        <v>193</v>
      </c>
    </row>
    <row r="3690" spans="1:8">
      <c r="A3690" t="s">
        <v>250</v>
      </c>
      <c r="B3690" t="s">
        <v>193</v>
      </c>
      <c r="C3690">
        <v>85</v>
      </c>
      <c r="D3690" t="s">
        <v>14811</v>
      </c>
      <c r="E3690" t="s">
        <v>14812</v>
      </c>
    </row>
    <row r="3691" spans="1:8">
      <c r="A3691" t="s">
        <v>250</v>
      </c>
      <c r="B3691" t="s">
        <v>193</v>
      </c>
      <c r="C3691">
        <v>85</v>
      </c>
      <c r="D3691" t="s">
        <v>14813</v>
      </c>
      <c r="E3691" t="s">
        <v>14814</v>
      </c>
    </row>
    <row r="3692" spans="1:8">
      <c r="A3692" t="s">
        <v>250</v>
      </c>
      <c r="B3692" t="s">
        <v>193</v>
      </c>
      <c r="C3692">
        <v>85</v>
      </c>
      <c r="D3692" t="s">
        <v>14815</v>
      </c>
    </row>
    <row r="3693" spans="1:8">
      <c r="A3693" t="s">
        <v>250</v>
      </c>
      <c r="B3693" t="s">
        <v>193</v>
      </c>
      <c r="C3693">
        <v>85</v>
      </c>
      <c r="D3693" t="s">
        <v>3926</v>
      </c>
      <c r="E3693" t="s">
        <v>14816</v>
      </c>
      <c r="F3693" t="s">
        <v>193</v>
      </c>
      <c r="G3693" t="s">
        <v>14817</v>
      </c>
    </row>
    <row r="3694" spans="1:8">
      <c r="A3694" t="s">
        <v>246</v>
      </c>
      <c r="B3694" t="s">
        <v>193</v>
      </c>
      <c r="C3694">
        <v>85</v>
      </c>
      <c r="D3694" t="s">
        <v>14818</v>
      </c>
      <c r="E3694" t="s">
        <v>14819</v>
      </c>
      <c r="F3694" t="s">
        <v>193</v>
      </c>
      <c r="G3694" t="s">
        <v>14820</v>
      </c>
      <c r="H3694" t="s">
        <v>14821</v>
      </c>
    </row>
    <row r="3695" spans="1:8">
      <c r="A3695" t="s">
        <v>240</v>
      </c>
      <c r="B3695" t="s">
        <v>193</v>
      </c>
      <c r="C3695">
        <v>85</v>
      </c>
      <c r="D3695" t="s">
        <v>12656</v>
      </c>
      <c r="E3695" t="s">
        <v>14822</v>
      </c>
      <c r="F3695" t="s">
        <v>193</v>
      </c>
      <c r="G3695" t="s">
        <v>14823</v>
      </c>
      <c r="H3695" t="s">
        <v>14824</v>
      </c>
    </row>
    <row r="3696" spans="1:8">
      <c r="A3696" t="s">
        <v>240</v>
      </c>
      <c r="B3696" t="s">
        <v>193</v>
      </c>
      <c r="C3696">
        <v>85</v>
      </c>
      <c r="D3696" t="s">
        <v>14825</v>
      </c>
      <c r="E3696" t="s">
        <v>14826</v>
      </c>
      <c r="F3696" t="s">
        <v>193</v>
      </c>
      <c r="G3696" t="s">
        <v>14827</v>
      </c>
      <c r="H3696" t="s">
        <v>14828</v>
      </c>
    </row>
    <row r="3697" spans="1:8">
      <c r="A3697" t="s">
        <v>240</v>
      </c>
      <c r="B3697" t="s">
        <v>193</v>
      </c>
      <c r="C3697">
        <v>85</v>
      </c>
      <c r="D3697" t="s">
        <v>14829</v>
      </c>
      <c r="E3697" t="s">
        <v>14830</v>
      </c>
      <c r="F3697" t="s">
        <v>193</v>
      </c>
      <c r="G3697" t="s">
        <v>14831</v>
      </c>
      <c r="H3697" t="s">
        <v>14832</v>
      </c>
    </row>
    <row r="3698" spans="1:8">
      <c r="A3698" t="s">
        <v>240</v>
      </c>
      <c r="B3698" t="s">
        <v>193</v>
      </c>
      <c r="C3698">
        <v>85</v>
      </c>
      <c r="D3698" t="s">
        <v>5610</v>
      </c>
      <c r="E3698" t="s">
        <v>14833</v>
      </c>
      <c r="F3698" t="s">
        <v>193</v>
      </c>
      <c r="G3698" t="s">
        <v>14834</v>
      </c>
      <c r="H3698" t="s">
        <v>14835</v>
      </c>
    </row>
    <row r="3699" spans="1:8">
      <c r="A3699" t="s">
        <v>240</v>
      </c>
      <c r="B3699" t="s">
        <v>193</v>
      </c>
      <c r="C3699">
        <v>85</v>
      </c>
      <c r="D3699" t="s">
        <v>14836</v>
      </c>
      <c r="E3699" t="s">
        <v>14837</v>
      </c>
      <c r="F3699" t="s">
        <v>193</v>
      </c>
      <c r="G3699" t="s">
        <v>14838</v>
      </c>
      <c r="H3699" t="s">
        <v>14839</v>
      </c>
    </row>
    <row r="3700" spans="1:8">
      <c r="A3700" t="s">
        <v>240</v>
      </c>
      <c r="B3700" t="s">
        <v>193</v>
      </c>
      <c r="C3700">
        <v>85</v>
      </c>
      <c r="D3700" t="s">
        <v>14840</v>
      </c>
      <c r="E3700" t="s">
        <v>14841</v>
      </c>
      <c r="F3700" t="s">
        <v>193</v>
      </c>
      <c r="G3700" t="s">
        <v>14842</v>
      </c>
      <c r="H3700" t="s">
        <v>14843</v>
      </c>
    </row>
    <row r="3701" spans="1:8">
      <c r="A3701" t="s">
        <v>240</v>
      </c>
      <c r="B3701" t="s">
        <v>193</v>
      </c>
      <c r="C3701">
        <v>85</v>
      </c>
      <c r="D3701" t="s">
        <v>14844</v>
      </c>
      <c r="E3701" t="s">
        <v>14845</v>
      </c>
      <c r="F3701" t="s">
        <v>193</v>
      </c>
      <c r="G3701" t="s">
        <v>14846</v>
      </c>
      <c r="H3701" t="s">
        <v>14847</v>
      </c>
    </row>
    <row r="3702" spans="1:8">
      <c r="A3702" t="s">
        <v>240</v>
      </c>
      <c r="B3702" t="s">
        <v>193</v>
      </c>
      <c r="C3702">
        <v>85</v>
      </c>
      <c r="D3702" t="s">
        <v>14848</v>
      </c>
      <c r="E3702" t="s">
        <v>14849</v>
      </c>
      <c r="F3702" t="s">
        <v>193</v>
      </c>
      <c r="G3702" t="s">
        <v>14850</v>
      </c>
      <c r="H3702" t="s">
        <v>14851</v>
      </c>
    </row>
    <row r="3703" spans="1:8">
      <c r="A3703" t="s">
        <v>240</v>
      </c>
      <c r="B3703" t="s">
        <v>193</v>
      </c>
      <c r="C3703">
        <v>85</v>
      </c>
      <c r="D3703" t="s">
        <v>14852</v>
      </c>
      <c r="E3703" t="s">
        <v>14853</v>
      </c>
      <c r="F3703" t="s">
        <v>193</v>
      </c>
      <c r="G3703" t="s">
        <v>14854</v>
      </c>
      <c r="H3703" t="s">
        <v>14855</v>
      </c>
    </row>
    <row r="3704" spans="1:8">
      <c r="A3704" t="s">
        <v>240</v>
      </c>
      <c r="B3704" t="s">
        <v>193</v>
      </c>
      <c r="C3704">
        <v>85</v>
      </c>
      <c r="D3704" t="s">
        <v>7053</v>
      </c>
      <c r="E3704" t="s">
        <v>14856</v>
      </c>
      <c r="F3704" t="s">
        <v>193</v>
      </c>
      <c r="G3704" t="s">
        <v>14857</v>
      </c>
      <c r="H3704" t="s">
        <v>14858</v>
      </c>
    </row>
    <row r="3705" spans="1:8">
      <c r="A3705" t="s">
        <v>240</v>
      </c>
      <c r="B3705" t="s">
        <v>193</v>
      </c>
      <c r="C3705">
        <v>85</v>
      </c>
      <c r="D3705" t="s">
        <v>14859</v>
      </c>
      <c r="E3705" t="s">
        <v>3596</v>
      </c>
      <c r="F3705" t="s">
        <v>193</v>
      </c>
      <c r="G3705" t="s">
        <v>14860</v>
      </c>
      <c r="H3705" t="s">
        <v>14861</v>
      </c>
    </row>
    <row r="3706" spans="1:8">
      <c r="A3706" t="s">
        <v>240</v>
      </c>
      <c r="B3706" t="s">
        <v>193</v>
      </c>
      <c r="C3706">
        <v>85</v>
      </c>
      <c r="D3706" t="s">
        <v>3785</v>
      </c>
      <c r="E3706" t="s">
        <v>14862</v>
      </c>
      <c r="F3706" t="s">
        <v>193</v>
      </c>
      <c r="G3706" t="s">
        <v>14863</v>
      </c>
      <c r="H3706" t="s">
        <v>14864</v>
      </c>
    </row>
    <row r="3707" spans="1:8">
      <c r="A3707" t="s">
        <v>240</v>
      </c>
      <c r="B3707" t="s">
        <v>193</v>
      </c>
      <c r="C3707">
        <v>85</v>
      </c>
      <c r="D3707" t="s">
        <v>14865</v>
      </c>
      <c r="E3707" t="s">
        <v>14866</v>
      </c>
      <c r="F3707" t="s">
        <v>193</v>
      </c>
      <c r="G3707" t="s">
        <v>14867</v>
      </c>
      <c r="H3707" t="s">
        <v>14868</v>
      </c>
    </row>
    <row r="3708" spans="1:8">
      <c r="A3708" t="s">
        <v>240</v>
      </c>
      <c r="B3708" t="s">
        <v>193</v>
      </c>
      <c r="C3708">
        <v>85</v>
      </c>
      <c r="D3708" t="s">
        <v>12502</v>
      </c>
      <c r="E3708" t="s">
        <v>14869</v>
      </c>
      <c r="F3708" t="s">
        <v>193</v>
      </c>
      <c r="G3708" t="s">
        <v>14870</v>
      </c>
      <c r="H3708" t="s">
        <v>14871</v>
      </c>
    </row>
    <row r="3709" spans="1:8">
      <c r="A3709" t="s">
        <v>240</v>
      </c>
      <c r="B3709" t="s">
        <v>193</v>
      </c>
      <c r="C3709">
        <v>85</v>
      </c>
      <c r="D3709" t="s">
        <v>14872</v>
      </c>
      <c r="E3709" t="s">
        <v>14873</v>
      </c>
      <c r="F3709" t="s">
        <v>193</v>
      </c>
      <c r="G3709" t="s">
        <v>14870</v>
      </c>
      <c r="H3709" t="s">
        <v>14874</v>
      </c>
    </row>
    <row r="3710" spans="1:8">
      <c r="A3710" t="s">
        <v>240</v>
      </c>
      <c r="B3710" t="s">
        <v>193</v>
      </c>
      <c r="C3710">
        <v>85</v>
      </c>
      <c r="D3710" t="s">
        <v>14875</v>
      </c>
      <c r="E3710" t="s">
        <v>14876</v>
      </c>
      <c r="F3710" t="s">
        <v>193</v>
      </c>
      <c r="G3710" t="s">
        <v>14877</v>
      </c>
      <c r="H3710" t="s">
        <v>14878</v>
      </c>
    </row>
    <row r="3711" spans="1:8">
      <c r="A3711" t="s">
        <v>240</v>
      </c>
      <c r="B3711" t="s">
        <v>193</v>
      </c>
      <c r="C3711">
        <v>85</v>
      </c>
      <c r="D3711" t="s">
        <v>14879</v>
      </c>
      <c r="E3711" t="s">
        <v>14795</v>
      </c>
      <c r="F3711" t="s">
        <v>193</v>
      </c>
      <c r="G3711" t="s">
        <v>14796</v>
      </c>
      <c r="H3711" t="s">
        <v>14797</v>
      </c>
    </row>
    <row r="3712" spans="1:8">
      <c r="A3712" t="s">
        <v>240</v>
      </c>
      <c r="B3712" t="s">
        <v>193</v>
      </c>
      <c r="C3712">
        <v>85</v>
      </c>
      <c r="D3712" t="s">
        <v>6966</v>
      </c>
      <c r="E3712" t="s">
        <v>14880</v>
      </c>
      <c r="F3712" t="s">
        <v>193</v>
      </c>
      <c r="G3712" t="s">
        <v>14881</v>
      </c>
      <c r="H3712" t="s">
        <v>14882</v>
      </c>
    </row>
    <row r="3713" spans="1:8">
      <c r="A3713" t="s">
        <v>241</v>
      </c>
      <c r="B3713" t="s">
        <v>193</v>
      </c>
      <c r="C3713">
        <v>85</v>
      </c>
      <c r="D3713" t="s">
        <v>14883</v>
      </c>
      <c r="E3713" t="s">
        <v>14884</v>
      </c>
      <c r="F3713" t="s">
        <v>14885</v>
      </c>
      <c r="G3713" t="s">
        <v>14886</v>
      </c>
      <c r="H3713" t="s">
        <v>14887</v>
      </c>
    </row>
    <row r="3714" spans="1:8">
      <c r="A3714" t="s">
        <v>248</v>
      </c>
      <c r="B3714" t="s">
        <v>193</v>
      </c>
      <c r="C3714">
        <v>85</v>
      </c>
      <c r="D3714" t="s">
        <v>14888</v>
      </c>
      <c r="E3714" t="s">
        <v>14889</v>
      </c>
      <c r="G3714" t="s">
        <v>14890</v>
      </c>
      <c r="H3714" t="s">
        <v>14891</v>
      </c>
    </row>
    <row r="3715" spans="1:8">
      <c r="A3715" t="s">
        <v>241</v>
      </c>
      <c r="B3715" t="s">
        <v>193</v>
      </c>
      <c r="C3715">
        <v>85</v>
      </c>
      <c r="D3715" t="s">
        <v>14892</v>
      </c>
      <c r="E3715" t="s">
        <v>14893</v>
      </c>
      <c r="H3715" t="s">
        <v>14894</v>
      </c>
    </row>
    <row r="3716" spans="1:8">
      <c r="A3716" t="s">
        <v>243</v>
      </c>
      <c r="B3716" t="s">
        <v>193</v>
      </c>
      <c r="C3716">
        <v>85</v>
      </c>
      <c r="D3716" t="s">
        <v>14895</v>
      </c>
      <c r="E3716" t="s">
        <v>14896</v>
      </c>
      <c r="G3716" t="s">
        <v>14897</v>
      </c>
      <c r="H3716" t="s">
        <v>14898</v>
      </c>
    </row>
    <row r="3717" spans="1:8">
      <c r="A3717" t="s">
        <v>241</v>
      </c>
      <c r="B3717" t="s">
        <v>193</v>
      </c>
      <c r="C3717">
        <v>85</v>
      </c>
      <c r="D3717" t="s">
        <v>14899</v>
      </c>
      <c r="E3717" t="s">
        <v>14900</v>
      </c>
      <c r="F3717" t="s">
        <v>14901</v>
      </c>
      <c r="G3717" t="s">
        <v>14902</v>
      </c>
      <c r="H3717" t="s">
        <v>14903</v>
      </c>
    </row>
    <row r="3718" spans="1:8">
      <c r="A3718" t="s">
        <v>241</v>
      </c>
      <c r="B3718" t="s">
        <v>193</v>
      </c>
      <c r="C3718">
        <v>85</v>
      </c>
      <c r="D3718" t="s">
        <v>14904</v>
      </c>
      <c r="E3718" t="s">
        <v>14905</v>
      </c>
      <c r="F3718" t="s">
        <v>193</v>
      </c>
      <c r="G3718" t="s">
        <v>14906</v>
      </c>
      <c r="H3718" t="s">
        <v>14907</v>
      </c>
    </row>
    <row r="3719" spans="1:8">
      <c r="A3719" t="s">
        <v>239</v>
      </c>
      <c r="B3719" t="s">
        <v>193</v>
      </c>
      <c r="C3719">
        <v>85</v>
      </c>
      <c r="D3719" t="s">
        <v>14908</v>
      </c>
      <c r="E3719" t="s">
        <v>14799</v>
      </c>
      <c r="F3719" t="s">
        <v>193</v>
      </c>
      <c r="H3719" t="s">
        <v>14909</v>
      </c>
    </row>
    <row r="3720" spans="1:8">
      <c r="A3720" t="s">
        <v>240</v>
      </c>
      <c r="B3720" t="s">
        <v>193</v>
      </c>
      <c r="C3720">
        <v>85</v>
      </c>
      <c r="D3720" t="s">
        <v>14910</v>
      </c>
      <c r="E3720" t="s">
        <v>14911</v>
      </c>
      <c r="F3720" t="s">
        <v>193</v>
      </c>
      <c r="G3720" t="s">
        <v>14912</v>
      </c>
      <c r="H3720" t="s">
        <v>14913</v>
      </c>
    </row>
    <row r="3721" spans="1:8">
      <c r="A3721" t="s">
        <v>250</v>
      </c>
      <c r="B3721" t="s">
        <v>193</v>
      </c>
      <c r="C3721">
        <v>85</v>
      </c>
      <c r="D3721" t="s">
        <v>14914</v>
      </c>
      <c r="E3721" t="s">
        <v>14915</v>
      </c>
      <c r="F3721" t="s">
        <v>13</v>
      </c>
    </row>
    <row r="3722" spans="1:8">
      <c r="A3722" t="s">
        <v>240</v>
      </c>
      <c r="B3722" t="s">
        <v>193</v>
      </c>
      <c r="C3722">
        <v>85</v>
      </c>
      <c r="D3722" t="s">
        <v>14916</v>
      </c>
      <c r="E3722" t="s">
        <v>14917</v>
      </c>
      <c r="F3722" t="s">
        <v>193</v>
      </c>
      <c r="G3722" t="s">
        <v>14918</v>
      </c>
      <c r="H3722" t="s">
        <v>14919</v>
      </c>
    </row>
    <row r="3723" spans="1:8">
      <c r="A3723" t="s">
        <v>240</v>
      </c>
      <c r="B3723" t="s">
        <v>193</v>
      </c>
      <c r="C3723">
        <v>85</v>
      </c>
      <c r="D3723" t="s">
        <v>3809</v>
      </c>
      <c r="E3723" t="s">
        <v>14920</v>
      </c>
      <c r="F3723" t="s">
        <v>193</v>
      </c>
      <c r="G3723" t="s">
        <v>14921</v>
      </c>
      <c r="H3723" t="s">
        <v>14922</v>
      </c>
    </row>
    <row r="3724" spans="1:8">
      <c r="A3724" t="s">
        <v>246</v>
      </c>
      <c r="B3724" t="s">
        <v>193</v>
      </c>
      <c r="C3724">
        <v>85</v>
      </c>
      <c r="D3724" t="s">
        <v>14923</v>
      </c>
      <c r="E3724" t="s">
        <v>14924</v>
      </c>
      <c r="F3724" t="s">
        <v>193</v>
      </c>
      <c r="G3724" t="s">
        <v>14925</v>
      </c>
      <c r="H3724" t="s">
        <v>14926</v>
      </c>
    </row>
    <row r="3725" spans="1:8">
      <c r="A3725" t="s">
        <v>246</v>
      </c>
      <c r="B3725" t="s">
        <v>193</v>
      </c>
      <c r="C3725">
        <v>85</v>
      </c>
      <c r="D3725" t="s">
        <v>14927</v>
      </c>
      <c r="E3725" t="s">
        <v>14928</v>
      </c>
      <c r="F3725" t="s">
        <v>193</v>
      </c>
      <c r="H3725" t="s">
        <v>14929</v>
      </c>
    </row>
    <row r="3726" spans="1:8">
      <c r="A3726" t="s">
        <v>243</v>
      </c>
      <c r="B3726" t="s">
        <v>193</v>
      </c>
      <c r="C3726">
        <v>85</v>
      </c>
      <c r="D3726" t="s">
        <v>14930</v>
      </c>
      <c r="E3726" t="s">
        <v>14931</v>
      </c>
      <c r="F3726" t="s">
        <v>193</v>
      </c>
      <c r="G3726" t="s">
        <v>14932</v>
      </c>
      <c r="H3726" t="s">
        <v>14933</v>
      </c>
    </row>
    <row r="3727" spans="1:8">
      <c r="A3727" t="s">
        <v>243</v>
      </c>
      <c r="B3727" t="s">
        <v>193</v>
      </c>
      <c r="C3727">
        <v>85</v>
      </c>
      <c r="D3727" t="s">
        <v>14754</v>
      </c>
      <c r="E3727" t="s">
        <v>14934</v>
      </c>
      <c r="F3727" t="s">
        <v>193</v>
      </c>
      <c r="G3727" t="s">
        <v>14757</v>
      </c>
      <c r="H3727" t="s">
        <v>14756</v>
      </c>
    </row>
    <row r="3728" spans="1:8">
      <c r="A3728" t="s">
        <v>243</v>
      </c>
      <c r="B3728" t="s">
        <v>193</v>
      </c>
      <c r="C3728">
        <v>85</v>
      </c>
      <c r="D3728" t="s">
        <v>14935</v>
      </c>
      <c r="E3728" t="s">
        <v>14936</v>
      </c>
      <c r="F3728" t="s">
        <v>193</v>
      </c>
      <c r="G3728" t="s">
        <v>14937</v>
      </c>
      <c r="H3728" t="s">
        <v>14938</v>
      </c>
    </row>
    <row r="3729" spans="1:8">
      <c r="A3729" t="s">
        <v>243</v>
      </c>
      <c r="B3729" t="s">
        <v>193</v>
      </c>
      <c r="C3729">
        <v>85</v>
      </c>
      <c r="D3729" t="s">
        <v>14939</v>
      </c>
      <c r="E3729" t="s">
        <v>14940</v>
      </c>
      <c r="F3729" t="s">
        <v>193</v>
      </c>
      <c r="G3729" t="s">
        <v>14733</v>
      </c>
      <c r="H3729" t="s">
        <v>14941</v>
      </c>
    </row>
    <row r="3730" spans="1:8">
      <c r="A3730" t="s">
        <v>243</v>
      </c>
      <c r="B3730" t="s">
        <v>193</v>
      </c>
      <c r="C3730">
        <v>85</v>
      </c>
      <c r="D3730" t="s">
        <v>14942</v>
      </c>
      <c r="E3730" t="s">
        <v>14943</v>
      </c>
      <c r="F3730" t="s">
        <v>193</v>
      </c>
    </row>
    <row r="3731" spans="1:8">
      <c r="A3731" t="s">
        <v>243</v>
      </c>
      <c r="B3731" t="s">
        <v>193</v>
      </c>
      <c r="C3731">
        <v>85</v>
      </c>
      <c r="D3731" t="s">
        <v>14944</v>
      </c>
      <c r="E3731" t="s">
        <v>14945</v>
      </c>
      <c r="F3731" t="s">
        <v>14726</v>
      </c>
      <c r="H3731" t="s">
        <v>14946</v>
      </c>
    </row>
    <row r="3732" spans="1:8">
      <c r="A3732" t="s">
        <v>243</v>
      </c>
      <c r="B3732" t="s">
        <v>193</v>
      </c>
      <c r="C3732">
        <v>85</v>
      </c>
      <c r="D3732" t="s">
        <v>14947</v>
      </c>
      <c r="E3732" t="s">
        <v>14948</v>
      </c>
      <c r="F3732" t="s">
        <v>193</v>
      </c>
      <c r="G3732" t="s">
        <v>14949</v>
      </c>
      <c r="H3732" t="s">
        <v>14950</v>
      </c>
    </row>
    <row r="3733" spans="1:8">
      <c r="A3733" t="s">
        <v>243</v>
      </c>
      <c r="B3733" t="s">
        <v>193</v>
      </c>
      <c r="C3733">
        <v>85</v>
      </c>
      <c r="D3733" t="s">
        <v>14951</v>
      </c>
      <c r="E3733" t="s">
        <v>14952</v>
      </c>
      <c r="F3733" t="s">
        <v>193</v>
      </c>
      <c r="H3733" t="s">
        <v>14953</v>
      </c>
    </row>
    <row r="3734" spans="1:8">
      <c r="A3734" t="s">
        <v>243</v>
      </c>
      <c r="B3734" t="s">
        <v>193</v>
      </c>
      <c r="C3734">
        <v>85</v>
      </c>
      <c r="D3734" t="s">
        <v>14954</v>
      </c>
      <c r="E3734" t="s">
        <v>14955</v>
      </c>
      <c r="F3734" t="s">
        <v>193</v>
      </c>
      <c r="G3734" t="s">
        <v>14956</v>
      </c>
      <c r="H3734" t="s">
        <v>14957</v>
      </c>
    </row>
    <row r="3735" spans="1:8">
      <c r="A3735" t="s">
        <v>243</v>
      </c>
      <c r="B3735" t="s">
        <v>193</v>
      </c>
      <c r="C3735">
        <v>85</v>
      </c>
      <c r="D3735" t="s">
        <v>14958</v>
      </c>
      <c r="E3735" t="s">
        <v>14959</v>
      </c>
      <c r="F3735" t="s">
        <v>193</v>
      </c>
      <c r="G3735" t="s">
        <v>14960</v>
      </c>
      <c r="H3735" t="s">
        <v>14961</v>
      </c>
    </row>
    <row r="3736" spans="1:8">
      <c r="A3736" t="s">
        <v>249</v>
      </c>
      <c r="B3736" t="s">
        <v>193</v>
      </c>
      <c r="C3736">
        <v>85</v>
      </c>
      <c r="D3736" t="s">
        <v>14962</v>
      </c>
      <c r="E3736" t="s">
        <v>14963</v>
      </c>
      <c r="F3736" t="s">
        <v>193</v>
      </c>
      <c r="H3736" t="s">
        <v>14964</v>
      </c>
    </row>
    <row r="3737" spans="1:8">
      <c r="A3737" t="s">
        <v>248</v>
      </c>
      <c r="B3737" t="s">
        <v>193</v>
      </c>
      <c r="C3737">
        <v>85</v>
      </c>
      <c r="D3737" t="s">
        <v>14965</v>
      </c>
      <c r="E3737" t="s">
        <v>14966</v>
      </c>
      <c r="F3737" t="s">
        <v>193</v>
      </c>
      <c r="G3737" t="s">
        <v>14967</v>
      </c>
      <c r="H3737" t="s">
        <v>14968</v>
      </c>
    </row>
    <row r="3738" spans="1:8">
      <c r="A3738" t="s">
        <v>248</v>
      </c>
      <c r="B3738" t="s">
        <v>193</v>
      </c>
      <c r="C3738">
        <v>85</v>
      </c>
      <c r="D3738" t="s">
        <v>14969</v>
      </c>
      <c r="E3738" t="s">
        <v>14970</v>
      </c>
      <c r="F3738" t="s">
        <v>193</v>
      </c>
      <c r="G3738" t="s">
        <v>14971</v>
      </c>
      <c r="H3738" t="s">
        <v>14972</v>
      </c>
    </row>
    <row r="3739" spans="1:8">
      <c r="A3739" t="s">
        <v>248</v>
      </c>
      <c r="B3739" t="s">
        <v>193</v>
      </c>
      <c r="C3739">
        <v>85</v>
      </c>
      <c r="D3739" t="s">
        <v>12713</v>
      </c>
      <c r="E3739" t="s">
        <v>14973</v>
      </c>
      <c r="F3739" t="s">
        <v>193</v>
      </c>
      <c r="G3739" t="s">
        <v>14974</v>
      </c>
      <c r="H3739" t="s">
        <v>14767</v>
      </c>
    </row>
    <row r="3740" spans="1:8">
      <c r="A3740" t="s">
        <v>243</v>
      </c>
      <c r="B3740" t="s">
        <v>193</v>
      </c>
      <c r="C3740">
        <v>85</v>
      </c>
      <c r="D3740" t="s">
        <v>14975</v>
      </c>
      <c r="E3740" t="s">
        <v>14976</v>
      </c>
      <c r="F3740" t="s">
        <v>193</v>
      </c>
      <c r="G3740" t="s">
        <v>14974</v>
      </c>
      <c r="H3740" t="s">
        <v>14767</v>
      </c>
    </row>
    <row r="3741" spans="1:8">
      <c r="A3741" t="s">
        <v>248</v>
      </c>
      <c r="B3741" t="s">
        <v>193</v>
      </c>
      <c r="C3741">
        <v>85</v>
      </c>
      <c r="D3741" t="s">
        <v>14977</v>
      </c>
      <c r="E3741" t="s">
        <v>14978</v>
      </c>
      <c r="F3741" t="s">
        <v>193</v>
      </c>
      <c r="G3741" t="s">
        <v>14967</v>
      </c>
      <c r="H3741" t="s">
        <v>14933</v>
      </c>
    </row>
    <row r="3742" spans="1:8">
      <c r="A3742" t="s">
        <v>248</v>
      </c>
      <c r="B3742" t="s">
        <v>193</v>
      </c>
      <c r="C3742">
        <v>85</v>
      </c>
      <c r="D3742" t="s">
        <v>14979</v>
      </c>
      <c r="E3742" t="s">
        <v>14963</v>
      </c>
      <c r="F3742" t="s">
        <v>193</v>
      </c>
      <c r="H3742" t="s">
        <v>14964</v>
      </c>
    </row>
    <row r="3743" spans="1:8">
      <c r="A3743" t="s">
        <v>240</v>
      </c>
      <c r="B3743" t="s">
        <v>193</v>
      </c>
      <c r="C3743">
        <v>85</v>
      </c>
      <c r="D3743" t="s">
        <v>14980</v>
      </c>
      <c r="E3743" t="s">
        <v>14981</v>
      </c>
      <c r="F3743" t="s">
        <v>193</v>
      </c>
      <c r="G3743" t="s">
        <v>14982</v>
      </c>
      <c r="H3743" t="s">
        <v>14983</v>
      </c>
    </row>
    <row r="3744" spans="1:8">
      <c r="A3744" t="s">
        <v>240</v>
      </c>
      <c r="B3744" t="s">
        <v>193</v>
      </c>
      <c r="C3744">
        <v>85</v>
      </c>
      <c r="D3744" t="s">
        <v>14984</v>
      </c>
      <c r="E3744" t="s">
        <v>14985</v>
      </c>
      <c r="F3744" t="s">
        <v>193</v>
      </c>
      <c r="G3744" t="s">
        <v>14986</v>
      </c>
      <c r="H3744" t="s">
        <v>14987</v>
      </c>
    </row>
    <row r="3745" spans="1:8">
      <c r="A3745" t="s">
        <v>240</v>
      </c>
      <c r="B3745" t="s">
        <v>193</v>
      </c>
      <c r="C3745">
        <v>85</v>
      </c>
      <c r="D3745" t="s">
        <v>5456</v>
      </c>
      <c r="E3745" t="s">
        <v>14988</v>
      </c>
      <c r="F3745" t="s">
        <v>193</v>
      </c>
      <c r="G3745" t="s">
        <v>14989</v>
      </c>
      <c r="H3745" t="s">
        <v>14990</v>
      </c>
    </row>
    <row r="3746" spans="1:8">
      <c r="A3746" t="s">
        <v>240</v>
      </c>
      <c r="B3746" t="s">
        <v>193</v>
      </c>
      <c r="C3746">
        <v>85</v>
      </c>
      <c r="D3746" t="s">
        <v>5502</v>
      </c>
      <c r="E3746" t="s">
        <v>14955</v>
      </c>
      <c r="F3746" t="s">
        <v>193</v>
      </c>
      <c r="G3746" t="s">
        <v>14991</v>
      </c>
      <c r="H3746" t="s">
        <v>14957</v>
      </c>
    </row>
    <row r="3747" spans="1:8">
      <c r="A3747" t="s">
        <v>240</v>
      </c>
      <c r="B3747" t="s">
        <v>193</v>
      </c>
      <c r="C3747">
        <v>85</v>
      </c>
      <c r="D3747" t="s">
        <v>14992</v>
      </c>
      <c r="E3747" t="s">
        <v>14993</v>
      </c>
      <c r="F3747" t="s">
        <v>193</v>
      </c>
      <c r="G3747" t="s">
        <v>14994</v>
      </c>
      <c r="H3747" t="s">
        <v>14995</v>
      </c>
    </row>
    <row r="3748" spans="1:8">
      <c r="A3748" t="s">
        <v>240</v>
      </c>
      <c r="B3748" t="s">
        <v>193</v>
      </c>
      <c r="C3748">
        <v>85</v>
      </c>
      <c r="D3748" t="s">
        <v>14996</v>
      </c>
      <c r="E3748" t="s">
        <v>14997</v>
      </c>
      <c r="F3748" t="s">
        <v>193</v>
      </c>
      <c r="G3748" t="s">
        <v>14998</v>
      </c>
      <c r="H3748" t="s">
        <v>14999</v>
      </c>
    </row>
    <row r="3749" spans="1:8">
      <c r="A3749" t="s">
        <v>240</v>
      </c>
      <c r="B3749" t="s">
        <v>193</v>
      </c>
      <c r="C3749">
        <v>85</v>
      </c>
      <c r="D3749" t="s">
        <v>7348</v>
      </c>
      <c r="E3749" t="s">
        <v>15000</v>
      </c>
      <c r="F3749" t="s">
        <v>193</v>
      </c>
      <c r="G3749" t="s">
        <v>15001</v>
      </c>
      <c r="H3749" t="s">
        <v>15002</v>
      </c>
    </row>
    <row r="3750" spans="1:8">
      <c r="A3750" t="s">
        <v>250</v>
      </c>
      <c r="B3750" t="s">
        <v>193</v>
      </c>
      <c r="C3750">
        <v>85</v>
      </c>
      <c r="D3750" t="s">
        <v>15003</v>
      </c>
      <c r="E3750" t="s">
        <v>15004</v>
      </c>
      <c r="F3750" t="s">
        <v>193</v>
      </c>
      <c r="G3750" t="s">
        <v>15005</v>
      </c>
      <c r="H3750" t="s">
        <v>15006</v>
      </c>
    </row>
    <row r="3751" spans="1:8">
      <c r="A3751" t="s">
        <v>250</v>
      </c>
      <c r="B3751" t="s">
        <v>193</v>
      </c>
      <c r="C3751">
        <v>85</v>
      </c>
      <c r="D3751" t="s">
        <v>15007</v>
      </c>
      <c r="E3751" t="s">
        <v>15008</v>
      </c>
      <c r="F3751" t="s">
        <v>14726</v>
      </c>
      <c r="G3751" t="s">
        <v>14767</v>
      </c>
      <c r="H3751" t="s">
        <v>14974</v>
      </c>
    </row>
    <row r="3752" spans="1:8">
      <c r="A3752" t="s">
        <v>250</v>
      </c>
      <c r="B3752" t="s">
        <v>193</v>
      </c>
      <c r="C3752">
        <v>85</v>
      </c>
      <c r="D3752" t="s">
        <v>15009</v>
      </c>
      <c r="E3752" t="s">
        <v>15010</v>
      </c>
    </row>
    <row r="3753" spans="1:8">
      <c r="A3753" t="s">
        <v>241</v>
      </c>
      <c r="B3753" t="s">
        <v>193</v>
      </c>
      <c r="C3753">
        <v>85</v>
      </c>
      <c r="D3753" t="s">
        <v>15011</v>
      </c>
      <c r="E3753" t="s">
        <v>15012</v>
      </c>
      <c r="F3753" t="s">
        <v>193</v>
      </c>
    </row>
    <row r="3754" spans="1:8">
      <c r="A3754" t="s">
        <v>241</v>
      </c>
      <c r="B3754" t="s">
        <v>193</v>
      </c>
      <c r="C3754">
        <v>85</v>
      </c>
      <c r="D3754" t="s">
        <v>15013</v>
      </c>
      <c r="E3754" t="s">
        <v>15014</v>
      </c>
      <c r="F3754" t="s">
        <v>193</v>
      </c>
      <c r="H3754" t="s">
        <v>15015</v>
      </c>
    </row>
    <row r="3755" spans="1:8">
      <c r="A3755" t="s">
        <v>250</v>
      </c>
      <c r="B3755" t="s">
        <v>193</v>
      </c>
      <c r="C3755">
        <v>85</v>
      </c>
      <c r="D3755" t="s">
        <v>11544</v>
      </c>
      <c r="E3755" t="s">
        <v>12380</v>
      </c>
      <c r="G3755" t="s">
        <v>15016</v>
      </c>
    </row>
    <row r="3756" spans="1:8">
      <c r="A3756" t="s">
        <v>250</v>
      </c>
      <c r="B3756" t="s">
        <v>193</v>
      </c>
      <c r="C3756">
        <v>85</v>
      </c>
      <c r="D3756" t="s">
        <v>13513</v>
      </c>
      <c r="E3756" t="s">
        <v>15017</v>
      </c>
    </row>
    <row r="3757" spans="1:8">
      <c r="A3757" t="s">
        <v>250</v>
      </c>
      <c r="B3757" t="s">
        <v>193</v>
      </c>
      <c r="C3757">
        <v>85</v>
      </c>
      <c r="D3757" t="s">
        <v>15018</v>
      </c>
    </row>
    <row r="3758" spans="1:8">
      <c r="A3758" t="s">
        <v>250</v>
      </c>
      <c r="B3758" t="s">
        <v>193</v>
      </c>
      <c r="C3758">
        <v>85</v>
      </c>
      <c r="D3758" t="s">
        <v>15019</v>
      </c>
    </row>
    <row r="3759" spans="1:8">
      <c r="A3759" t="s">
        <v>250</v>
      </c>
      <c r="B3759" t="s">
        <v>193</v>
      </c>
      <c r="C3759">
        <v>85</v>
      </c>
      <c r="D3759" t="s">
        <v>15020</v>
      </c>
      <c r="E3759" t="s">
        <v>15021</v>
      </c>
      <c r="F3759" t="s">
        <v>193</v>
      </c>
      <c r="G3759" t="s">
        <v>15022</v>
      </c>
    </row>
    <row r="3760" spans="1:8">
      <c r="A3760" t="s">
        <v>250</v>
      </c>
      <c r="B3760" t="s">
        <v>193</v>
      </c>
      <c r="C3760">
        <v>85</v>
      </c>
      <c r="D3760" t="s">
        <v>15023</v>
      </c>
      <c r="G3760" t="s">
        <v>15024</v>
      </c>
    </row>
    <row r="3761" spans="1:8">
      <c r="A3761" t="s">
        <v>250</v>
      </c>
      <c r="B3761" t="s">
        <v>193</v>
      </c>
      <c r="C3761">
        <v>85</v>
      </c>
      <c r="D3761" t="s">
        <v>15025</v>
      </c>
      <c r="E3761" t="s">
        <v>15026</v>
      </c>
    </row>
    <row r="3762" spans="1:8">
      <c r="A3762" t="s">
        <v>250</v>
      </c>
      <c r="B3762" t="s">
        <v>193</v>
      </c>
      <c r="C3762">
        <v>85</v>
      </c>
      <c r="D3762" t="s">
        <v>15027</v>
      </c>
      <c r="E3762" t="s">
        <v>15028</v>
      </c>
    </row>
    <row r="3763" spans="1:8">
      <c r="A3763" t="s">
        <v>250</v>
      </c>
      <c r="B3763" t="s">
        <v>193</v>
      </c>
      <c r="C3763">
        <v>85</v>
      </c>
      <c r="D3763" t="s">
        <v>15029</v>
      </c>
      <c r="E3763" t="s">
        <v>15030</v>
      </c>
    </row>
    <row r="3764" spans="1:8">
      <c r="A3764" t="s">
        <v>250</v>
      </c>
      <c r="B3764" t="s">
        <v>193</v>
      </c>
      <c r="C3764">
        <v>85</v>
      </c>
      <c r="D3764" t="s">
        <v>15031</v>
      </c>
      <c r="G3764" t="s">
        <v>15032</v>
      </c>
    </row>
    <row r="3765" spans="1:8">
      <c r="A3765" t="s">
        <v>250</v>
      </c>
      <c r="B3765" t="s">
        <v>193</v>
      </c>
      <c r="C3765">
        <v>85</v>
      </c>
      <c r="D3765" t="s">
        <v>15033</v>
      </c>
      <c r="E3765" t="s">
        <v>12380</v>
      </c>
    </row>
    <row r="3766" spans="1:8">
      <c r="A3766" t="s">
        <v>250</v>
      </c>
      <c r="B3766" t="s">
        <v>193</v>
      </c>
      <c r="C3766">
        <v>85</v>
      </c>
      <c r="D3766" t="s">
        <v>13716</v>
      </c>
      <c r="E3766" t="s">
        <v>15034</v>
      </c>
    </row>
    <row r="3767" spans="1:8">
      <c r="A3767" t="s">
        <v>250</v>
      </c>
      <c r="B3767" t="s">
        <v>193</v>
      </c>
      <c r="C3767">
        <v>85</v>
      </c>
      <c r="D3767" t="s">
        <v>15035</v>
      </c>
      <c r="E3767" t="s">
        <v>14706</v>
      </c>
    </row>
    <row r="3768" spans="1:8">
      <c r="A3768" t="s">
        <v>250</v>
      </c>
      <c r="B3768" t="s">
        <v>193</v>
      </c>
      <c r="C3768">
        <v>85</v>
      </c>
      <c r="D3768" t="s">
        <v>4602</v>
      </c>
      <c r="E3768" t="s">
        <v>15036</v>
      </c>
      <c r="G3768" t="s">
        <v>15037</v>
      </c>
    </row>
    <row r="3769" spans="1:8">
      <c r="A3769" t="s">
        <v>250</v>
      </c>
      <c r="B3769" t="s">
        <v>193</v>
      </c>
      <c r="C3769">
        <v>85</v>
      </c>
      <c r="D3769" t="s">
        <v>15038</v>
      </c>
      <c r="E3769" t="s">
        <v>15039</v>
      </c>
      <c r="F3769" t="s">
        <v>193</v>
      </c>
    </row>
    <row r="3770" spans="1:8">
      <c r="A3770" t="s">
        <v>250</v>
      </c>
      <c r="B3770" t="s">
        <v>193</v>
      </c>
      <c r="C3770">
        <v>85</v>
      </c>
      <c r="D3770" t="s">
        <v>15040</v>
      </c>
      <c r="G3770" t="s">
        <v>14957</v>
      </c>
    </row>
    <row r="3771" spans="1:8">
      <c r="A3771" t="s">
        <v>250</v>
      </c>
      <c r="B3771" t="s">
        <v>193</v>
      </c>
      <c r="C3771">
        <v>85</v>
      </c>
      <c r="D3771" t="s">
        <v>5078</v>
      </c>
      <c r="E3771" t="s">
        <v>15041</v>
      </c>
      <c r="G3771" t="s">
        <v>15042</v>
      </c>
    </row>
    <row r="3772" spans="1:8">
      <c r="A3772" t="s">
        <v>250</v>
      </c>
      <c r="B3772" t="s">
        <v>193</v>
      </c>
      <c r="C3772">
        <v>85</v>
      </c>
      <c r="D3772" t="s">
        <v>3958</v>
      </c>
      <c r="G3772" t="s">
        <v>14868</v>
      </c>
    </row>
    <row r="3773" spans="1:8">
      <c r="A3773" t="s">
        <v>250</v>
      </c>
      <c r="B3773" t="s">
        <v>193</v>
      </c>
      <c r="C3773">
        <v>85</v>
      </c>
      <c r="D3773" t="s">
        <v>15043</v>
      </c>
      <c r="E3773" t="s">
        <v>15044</v>
      </c>
      <c r="G3773" t="s">
        <v>15045</v>
      </c>
      <c r="H3773" t="s">
        <v>15046</v>
      </c>
    </row>
    <row r="3774" spans="1:8">
      <c r="A3774" t="s">
        <v>250</v>
      </c>
      <c r="B3774" t="s">
        <v>193</v>
      </c>
      <c r="C3774">
        <v>85</v>
      </c>
      <c r="D3774" t="s">
        <v>15047</v>
      </c>
      <c r="E3774" t="s">
        <v>15048</v>
      </c>
      <c r="F3774" t="s">
        <v>101</v>
      </c>
      <c r="G3774" t="s">
        <v>14797</v>
      </c>
      <c r="H3774" t="s">
        <v>14796</v>
      </c>
    </row>
    <row r="3775" spans="1:8">
      <c r="A3775" t="s">
        <v>241</v>
      </c>
      <c r="B3775" t="s">
        <v>193</v>
      </c>
      <c r="C3775">
        <v>85</v>
      </c>
      <c r="D3775" t="s">
        <v>15049</v>
      </c>
      <c r="E3775" t="s">
        <v>15050</v>
      </c>
      <c r="F3775" t="s">
        <v>193</v>
      </c>
      <c r="G3775" t="s">
        <v>15051</v>
      </c>
      <c r="H3775" t="s">
        <v>15052</v>
      </c>
    </row>
    <row r="3776" spans="1:8">
      <c r="A3776" t="s">
        <v>241</v>
      </c>
      <c r="B3776" t="s">
        <v>193</v>
      </c>
      <c r="C3776">
        <v>85</v>
      </c>
      <c r="D3776" t="s">
        <v>15053</v>
      </c>
      <c r="E3776" t="s">
        <v>15054</v>
      </c>
      <c r="F3776" t="s">
        <v>193</v>
      </c>
      <c r="G3776" t="s">
        <v>15055</v>
      </c>
      <c r="H3776" t="s">
        <v>15056</v>
      </c>
    </row>
    <row r="3777" spans="1:8">
      <c r="A3777" t="s">
        <v>248</v>
      </c>
      <c r="B3777" t="s">
        <v>193</v>
      </c>
      <c r="C3777">
        <v>85</v>
      </c>
      <c r="D3777" t="s">
        <v>15057</v>
      </c>
      <c r="E3777" t="s">
        <v>15058</v>
      </c>
      <c r="F3777" t="s">
        <v>193</v>
      </c>
      <c r="G3777" t="s">
        <v>15059</v>
      </c>
      <c r="H3777" t="s">
        <v>15060</v>
      </c>
    </row>
    <row r="3778" spans="1:8">
      <c r="A3778" t="s">
        <v>241</v>
      </c>
      <c r="B3778" t="s">
        <v>193</v>
      </c>
      <c r="C3778">
        <v>85</v>
      </c>
      <c r="D3778" t="s">
        <v>15061</v>
      </c>
      <c r="E3778" t="s">
        <v>15062</v>
      </c>
      <c r="F3778" t="s">
        <v>193</v>
      </c>
      <c r="G3778" t="s">
        <v>15063</v>
      </c>
      <c r="H3778" t="s">
        <v>15064</v>
      </c>
    </row>
    <row r="3779" spans="1:8">
      <c r="A3779" t="s">
        <v>241</v>
      </c>
      <c r="B3779" t="s">
        <v>193</v>
      </c>
      <c r="C3779">
        <v>85</v>
      </c>
      <c r="D3779" t="s">
        <v>15065</v>
      </c>
      <c r="E3779" t="s">
        <v>15066</v>
      </c>
      <c r="H3779" t="s">
        <v>15067</v>
      </c>
    </row>
    <row r="3780" spans="1:8">
      <c r="A3780" t="s">
        <v>241</v>
      </c>
      <c r="B3780" t="s">
        <v>193</v>
      </c>
      <c r="C3780">
        <v>85</v>
      </c>
      <c r="D3780" t="s">
        <v>15068</v>
      </c>
      <c r="E3780" t="s">
        <v>15069</v>
      </c>
      <c r="F3780" t="s">
        <v>193</v>
      </c>
      <c r="G3780" t="s">
        <v>15070</v>
      </c>
      <c r="H3780" t="s">
        <v>15071</v>
      </c>
    </row>
    <row r="3781" spans="1:8">
      <c r="A3781" t="s">
        <v>243</v>
      </c>
      <c r="B3781" t="s">
        <v>193</v>
      </c>
      <c r="C3781">
        <v>85</v>
      </c>
      <c r="D3781" t="s">
        <v>15072</v>
      </c>
      <c r="E3781" t="s">
        <v>15073</v>
      </c>
      <c r="F3781" t="s">
        <v>193</v>
      </c>
      <c r="G3781" t="s">
        <v>15074</v>
      </c>
      <c r="H3781" t="s">
        <v>15075</v>
      </c>
    </row>
    <row r="3782" spans="1:8">
      <c r="A3782" t="s">
        <v>241</v>
      </c>
      <c r="B3782" t="s">
        <v>193</v>
      </c>
      <c r="C3782">
        <v>85</v>
      </c>
      <c r="D3782" t="s">
        <v>15076</v>
      </c>
      <c r="E3782" t="s">
        <v>15077</v>
      </c>
      <c r="F3782" t="s">
        <v>193</v>
      </c>
      <c r="G3782" t="s">
        <v>15078</v>
      </c>
      <c r="H3782" t="s">
        <v>15079</v>
      </c>
    </row>
    <row r="3783" spans="1:8">
      <c r="A3783" t="s">
        <v>241</v>
      </c>
      <c r="B3783" t="s">
        <v>193</v>
      </c>
      <c r="C3783">
        <v>85</v>
      </c>
      <c r="D3783" t="s">
        <v>15080</v>
      </c>
      <c r="E3783" t="s">
        <v>15081</v>
      </c>
      <c r="F3783" t="s">
        <v>193</v>
      </c>
      <c r="G3783" t="s">
        <v>15082</v>
      </c>
      <c r="H3783" t="s">
        <v>15083</v>
      </c>
    </row>
    <row r="3784" spans="1:8">
      <c r="A3784" t="s">
        <v>241</v>
      </c>
      <c r="B3784" t="s">
        <v>193</v>
      </c>
      <c r="C3784">
        <v>85</v>
      </c>
      <c r="D3784" t="s">
        <v>15084</v>
      </c>
      <c r="E3784" t="s">
        <v>15085</v>
      </c>
      <c r="F3784" t="s">
        <v>193</v>
      </c>
      <c r="G3784" t="s">
        <v>15086</v>
      </c>
      <c r="H3784" t="s">
        <v>15087</v>
      </c>
    </row>
    <row r="3785" spans="1:8">
      <c r="A3785" t="s">
        <v>241</v>
      </c>
      <c r="B3785" t="s">
        <v>193</v>
      </c>
      <c r="C3785">
        <v>85</v>
      </c>
      <c r="D3785" t="s">
        <v>15088</v>
      </c>
      <c r="E3785" t="s">
        <v>15089</v>
      </c>
      <c r="F3785" t="s">
        <v>193</v>
      </c>
      <c r="H3785" t="s">
        <v>15090</v>
      </c>
    </row>
    <row r="3786" spans="1:8">
      <c r="A3786" t="s">
        <v>243</v>
      </c>
      <c r="B3786" t="s">
        <v>193</v>
      </c>
      <c r="C3786">
        <v>85</v>
      </c>
      <c r="D3786" t="s">
        <v>5462</v>
      </c>
      <c r="E3786" t="s">
        <v>14812</v>
      </c>
      <c r="F3786" t="s">
        <v>193</v>
      </c>
      <c r="G3786" t="s">
        <v>15091</v>
      </c>
      <c r="H3786" t="s">
        <v>15092</v>
      </c>
    </row>
    <row r="3787" spans="1:8">
      <c r="A3787" t="s">
        <v>243</v>
      </c>
      <c r="B3787" t="s">
        <v>193</v>
      </c>
      <c r="C3787">
        <v>85</v>
      </c>
      <c r="D3787" t="s">
        <v>15093</v>
      </c>
      <c r="E3787" t="s">
        <v>15094</v>
      </c>
      <c r="F3787" t="s">
        <v>193</v>
      </c>
      <c r="H3787" t="s">
        <v>15095</v>
      </c>
    </row>
    <row r="3788" spans="1:8">
      <c r="A3788" t="s">
        <v>241</v>
      </c>
      <c r="B3788" t="s">
        <v>193</v>
      </c>
      <c r="C3788">
        <v>85</v>
      </c>
      <c r="D3788" t="s">
        <v>15096</v>
      </c>
      <c r="H3788" t="s">
        <v>15097</v>
      </c>
    </row>
    <row r="3789" spans="1:8">
      <c r="A3789" t="s">
        <v>241</v>
      </c>
      <c r="B3789" t="s">
        <v>193</v>
      </c>
      <c r="C3789">
        <v>85</v>
      </c>
      <c r="D3789" t="s">
        <v>15098</v>
      </c>
      <c r="E3789" t="s">
        <v>15099</v>
      </c>
      <c r="F3789" t="s">
        <v>193</v>
      </c>
      <c r="G3789" t="s">
        <v>15100</v>
      </c>
      <c r="H3789" t="s">
        <v>15101</v>
      </c>
    </row>
    <row r="3790" spans="1:8">
      <c r="A3790" t="s">
        <v>243</v>
      </c>
      <c r="B3790" t="s">
        <v>193</v>
      </c>
      <c r="C3790">
        <v>85</v>
      </c>
      <c r="D3790" t="s">
        <v>15102</v>
      </c>
      <c r="E3790" t="s">
        <v>15103</v>
      </c>
      <c r="F3790" t="s">
        <v>193</v>
      </c>
      <c r="G3790" t="s">
        <v>15104</v>
      </c>
      <c r="H3790" t="s">
        <v>14736</v>
      </c>
    </row>
    <row r="3791" spans="1:8">
      <c r="A3791" t="s">
        <v>243</v>
      </c>
      <c r="B3791" t="s">
        <v>193</v>
      </c>
      <c r="C3791">
        <v>85</v>
      </c>
      <c r="D3791" t="s">
        <v>15105</v>
      </c>
      <c r="E3791" t="s">
        <v>15106</v>
      </c>
      <c r="F3791" t="s">
        <v>193</v>
      </c>
      <c r="G3791" t="s">
        <v>15107</v>
      </c>
      <c r="H3791" t="s">
        <v>15108</v>
      </c>
    </row>
    <row r="3792" spans="1:8">
      <c r="A3792" t="s">
        <v>243</v>
      </c>
      <c r="B3792" t="s">
        <v>193</v>
      </c>
      <c r="C3792">
        <v>85</v>
      </c>
      <c r="D3792" t="s">
        <v>15109</v>
      </c>
      <c r="E3792" t="s">
        <v>15110</v>
      </c>
      <c r="F3792" t="s">
        <v>193</v>
      </c>
      <c r="G3792" t="s">
        <v>15111</v>
      </c>
      <c r="H3792" t="s">
        <v>15112</v>
      </c>
    </row>
    <row r="3793" spans="1:8">
      <c r="A3793" t="s">
        <v>244</v>
      </c>
      <c r="B3793" t="s">
        <v>193</v>
      </c>
      <c r="C3793">
        <v>85</v>
      </c>
      <c r="D3793" t="s">
        <v>15113</v>
      </c>
      <c r="F3793" t="s">
        <v>15114</v>
      </c>
      <c r="G3793" t="s">
        <v>15115</v>
      </c>
    </row>
    <row r="3794" spans="1:8">
      <c r="A3794" t="s">
        <v>243</v>
      </c>
      <c r="B3794" t="s">
        <v>193</v>
      </c>
      <c r="C3794">
        <v>85</v>
      </c>
      <c r="D3794" t="s">
        <v>15116</v>
      </c>
      <c r="E3794" t="s">
        <v>15117</v>
      </c>
      <c r="G3794" t="s">
        <v>15111</v>
      </c>
      <c r="H3794" t="s">
        <v>15112</v>
      </c>
    </row>
    <row r="3795" spans="1:8">
      <c r="A3795" t="s">
        <v>243</v>
      </c>
      <c r="B3795" t="s">
        <v>193</v>
      </c>
      <c r="C3795">
        <v>85</v>
      </c>
      <c r="D3795" t="s">
        <v>15118</v>
      </c>
      <c r="E3795" t="s">
        <v>15119</v>
      </c>
      <c r="G3795" t="s">
        <v>15120</v>
      </c>
      <c r="H3795" t="s">
        <v>15121</v>
      </c>
    </row>
    <row r="3796" spans="1:8">
      <c r="A3796" t="s">
        <v>241</v>
      </c>
      <c r="B3796" t="s">
        <v>193</v>
      </c>
      <c r="C3796">
        <v>85</v>
      </c>
      <c r="D3796" t="s">
        <v>15122</v>
      </c>
      <c r="E3796" t="s">
        <v>15123</v>
      </c>
      <c r="F3796" t="s">
        <v>193</v>
      </c>
      <c r="H3796" t="s">
        <v>15124</v>
      </c>
    </row>
    <row r="3797" spans="1:8">
      <c r="A3797" t="s">
        <v>241</v>
      </c>
      <c r="B3797" t="s">
        <v>193</v>
      </c>
      <c r="C3797">
        <v>85</v>
      </c>
      <c r="D3797" t="s">
        <v>15125</v>
      </c>
      <c r="E3797" t="s">
        <v>15126</v>
      </c>
      <c r="F3797" t="s">
        <v>193</v>
      </c>
      <c r="G3797" t="s">
        <v>15127</v>
      </c>
      <c r="H3797" t="s">
        <v>15128</v>
      </c>
    </row>
    <row r="3798" spans="1:8">
      <c r="A3798" t="s">
        <v>241</v>
      </c>
      <c r="B3798" t="s">
        <v>193</v>
      </c>
      <c r="C3798">
        <v>85</v>
      </c>
      <c r="D3798" t="s">
        <v>15129</v>
      </c>
      <c r="E3798" t="s">
        <v>15130</v>
      </c>
      <c r="F3798" t="s">
        <v>1738</v>
      </c>
      <c r="G3798" t="s">
        <v>15131</v>
      </c>
      <c r="H3798" t="s">
        <v>15132</v>
      </c>
    </row>
    <row r="3799" spans="1:8">
      <c r="A3799" t="s">
        <v>241</v>
      </c>
      <c r="B3799" t="s">
        <v>193</v>
      </c>
      <c r="C3799">
        <v>85</v>
      </c>
      <c r="D3799" t="s">
        <v>15133</v>
      </c>
      <c r="E3799" t="s">
        <v>15134</v>
      </c>
      <c r="F3799" t="s">
        <v>14722</v>
      </c>
      <c r="H3799" t="s">
        <v>15135</v>
      </c>
    </row>
    <row r="3800" spans="1:8">
      <c r="A3800" t="s">
        <v>243</v>
      </c>
      <c r="B3800" t="s">
        <v>193</v>
      </c>
      <c r="C3800">
        <v>85</v>
      </c>
      <c r="D3800" t="s">
        <v>15136</v>
      </c>
      <c r="E3800" t="s">
        <v>15137</v>
      </c>
      <c r="F3800" t="s">
        <v>193</v>
      </c>
      <c r="G3800" t="s">
        <v>15138</v>
      </c>
      <c r="H3800" t="s">
        <v>15139</v>
      </c>
    </row>
    <row r="3801" spans="1:8">
      <c r="A3801" t="s">
        <v>248</v>
      </c>
      <c r="B3801" t="s">
        <v>193</v>
      </c>
      <c r="C3801">
        <v>85</v>
      </c>
      <c r="D3801" t="s">
        <v>15140</v>
      </c>
      <c r="G3801" t="s">
        <v>15141</v>
      </c>
      <c r="H3801" t="s">
        <v>15142</v>
      </c>
    </row>
    <row r="3802" spans="1:8">
      <c r="A3802" t="s">
        <v>246</v>
      </c>
      <c r="B3802" t="s">
        <v>193</v>
      </c>
      <c r="C3802">
        <v>85</v>
      </c>
      <c r="D3802" t="s">
        <v>1872</v>
      </c>
      <c r="E3802" t="s">
        <v>15143</v>
      </c>
      <c r="F3802" t="s">
        <v>193</v>
      </c>
      <c r="H3802" t="s">
        <v>15144</v>
      </c>
    </row>
    <row r="3803" spans="1:8">
      <c r="A3803" t="s">
        <v>248</v>
      </c>
      <c r="B3803" t="s">
        <v>193</v>
      </c>
      <c r="C3803">
        <v>85</v>
      </c>
      <c r="D3803" t="s">
        <v>15145</v>
      </c>
      <c r="E3803" t="s">
        <v>15146</v>
      </c>
      <c r="F3803" t="s">
        <v>193</v>
      </c>
      <c r="G3803" t="s">
        <v>15147</v>
      </c>
      <c r="H3803" t="s">
        <v>15148</v>
      </c>
    </row>
    <row r="3804" spans="1:8">
      <c r="A3804" t="s">
        <v>248</v>
      </c>
      <c r="B3804" t="s">
        <v>193</v>
      </c>
      <c r="C3804">
        <v>85</v>
      </c>
      <c r="D3804" t="s">
        <v>15149</v>
      </c>
      <c r="E3804" t="s">
        <v>4875</v>
      </c>
      <c r="F3804" t="s">
        <v>193</v>
      </c>
      <c r="G3804" t="s">
        <v>15150</v>
      </c>
      <c r="H3804" t="s">
        <v>15151</v>
      </c>
    </row>
    <row r="3805" spans="1:8">
      <c r="A3805" t="s">
        <v>250</v>
      </c>
      <c r="B3805" t="s">
        <v>193</v>
      </c>
      <c r="C3805">
        <v>85</v>
      </c>
      <c r="D3805" t="s">
        <v>15152</v>
      </c>
      <c r="E3805" t="s">
        <v>15153</v>
      </c>
      <c r="F3805" t="s">
        <v>14726</v>
      </c>
    </row>
    <row r="3806" spans="1:8">
      <c r="A3806" t="s">
        <v>241</v>
      </c>
      <c r="B3806" t="s">
        <v>193</v>
      </c>
      <c r="C3806">
        <v>85</v>
      </c>
      <c r="D3806" t="s">
        <v>15154</v>
      </c>
      <c r="E3806" t="s">
        <v>15155</v>
      </c>
      <c r="F3806" t="s">
        <v>15156</v>
      </c>
      <c r="H3806" t="s">
        <v>14903</v>
      </c>
    </row>
    <row r="3807" spans="1:8">
      <c r="A3807" t="s">
        <v>248</v>
      </c>
      <c r="B3807" t="s">
        <v>193</v>
      </c>
      <c r="C3807">
        <v>85</v>
      </c>
      <c r="D3807" t="s">
        <v>15157</v>
      </c>
      <c r="E3807" t="s">
        <v>15158</v>
      </c>
      <c r="F3807" t="s">
        <v>193</v>
      </c>
      <c r="H3807" t="s">
        <v>15159</v>
      </c>
    </row>
    <row r="3808" spans="1:8">
      <c r="A3808" t="s">
        <v>241</v>
      </c>
      <c r="B3808" t="s">
        <v>193</v>
      </c>
      <c r="C3808">
        <v>85</v>
      </c>
      <c r="D3808" t="s">
        <v>15160</v>
      </c>
      <c r="E3808" t="s">
        <v>15161</v>
      </c>
      <c r="F3808" t="s">
        <v>193</v>
      </c>
      <c r="G3808" t="s">
        <v>1816</v>
      </c>
      <c r="H3808" t="s">
        <v>1817</v>
      </c>
    </row>
    <row r="3809" spans="1:8">
      <c r="A3809" t="s">
        <v>241</v>
      </c>
      <c r="B3809" t="s">
        <v>193</v>
      </c>
      <c r="C3809">
        <v>85</v>
      </c>
      <c r="D3809" t="s">
        <v>15162</v>
      </c>
      <c r="E3809" t="s">
        <v>15163</v>
      </c>
      <c r="H3809" t="s">
        <v>15164</v>
      </c>
    </row>
    <row r="3810" spans="1:8">
      <c r="A3810" t="s">
        <v>241</v>
      </c>
      <c r="B3810" t="s">
        <v>193</v>
      </c>
      <c r="C3810">
        <v>85</v>
      </c>
      <c r="D3810" t="s">
        <v>15165</v>
      </c>
      <c r="E3810" t="s">
        <v>15166</v>
      </c>
      <c r="H3810" t="s">
        <v>15167</v>
      </c>
    </row>
    <row r="3811" spans="1:8">
      <c r="A3811" t="s">
        <v>250</v>
      </c>
      <c r="B3811" t="s">
        <v>193</v>
      </c>
      <c r="C3811">
        <v>85</v>
      </c>
      <c r="D3811" t="s">
        <v>15168</v>
      </c>
      <c r="G3811" t="s">
        <v>15169</v>
      </c>
      <c r="H3811" t="s">
        <v>15170</v>
      </c>
    </row>
    <row r="3812" spans="1:8">
      <c r="A3812" t="s">
        <v>250</v>
      </c>
      <c r="B3812" t="s">
        <v>193</v>
      </c>
      <c r="C3812">
        <v>85</v>
      </c>
      <c r="D3812" t="s">
        <v>15171</v>
      </c>
      <c r="E3812" t="s">
        <v>15172</v>
      </c>
    </row>
    <row r="3813" spans="1:8">
      <c r="A3813" t="s">
        <v>250</v>
      </c>
      <c r="B3813" t="s">
        <v>193</v>
      </c>
      <c r="C3813">
        <v>85</v>
      </c>
      <c r="D3813" t="s">
        <v>15173</v>
      </c>
    </row>
    <row r="3814" spans="1:8">
      <c r="A3814" t="s">
        <v>250</v>
      </c>
      <c r="B3814" t="s">
        <v>193</v>
      </c>
      <c r="C3814">
        <v>85</v>
      </c>
      <c r="D3814" t="s">
        <v>11578</v>
      </c>
      <c r="E3814" t="s">
        <v>15041</v>
      </c>
    </row>
    <row r="3815" spans="1:8">
      <c r="A3815" t="s">
        <v>243</v>
      </c>
      <c r="B3815" t="s">
        <v>193</v>
      </c>
      <c r="C3815">
        <v>85</v>
      </c>
      <c r="D3815" t="s">
        <v>15174</v>
      </c>
      <c r="E3815" t="s">
        <v>14765</v>
      </c>
      <c r="F3815" t="s">
        <v>193</v>
      </c>
      <c r="G3815" t="s">
        <v>14766</v>
      </c>
      <c r="H3815" t="s">
        <v>14767</v>
      </c>
    </row>
    <row r="3816" spans="1:8">
      <c r="A3816" t="s">
        <v>250</v>
      </c>
      <c r="B3816" t="s">
        <v>193</v>
      </c>
      <c r="C3816">
        <v>85</v>
      </c>
      <c r="D3816" t="s">
        <v>15175</v>
      </c>
      <c r="E3816" t="s">
        <v>15176</v>
      </c>
      <c r="F3816" t="s">
        <v>167</v>
      </c>
      <c r="G3816" t="s">
        <v>15177</v>
      </c>
      <c r="H3816" t="s">
        <v>15178</v>
      </c>
    </row>
    <row r="3817" spans="1:8">
      <c r="A3817" t="s">
        <v>241</v>
      </c>
      <c r="B3817" t="s">
        <v>193</v>
      </c>
      <c r="C3817">
        <v>85</v>
      </c>
      <c r="D3817" t="s">
        <v>15179</v>
      </c>
      <c r="E3817" t="s">
        <v>15180</v>
      </c>
      <c r="G3817" t="s">
        <v>15181</v>
      </c>
      <c r="H3817" t="s">
        <v>15182</v>
      </c>
    </row>
    <row r="3818" spans="1:8">
      <c r="A3818" t="s">
        <v>250</v>
      </c>
      <c r="B3818" t="s">
        <v>193</v>
      </c>
      <c r="C3818">
        <v>85</v>
      </c>
      <c r="D3818" t="s">
        <v>15183</v>
      </c>
      <c r="E3818" t="s">
        <v>15184</v>
      </c>
      <c r="F3818" t="s">
        <v>193</v>
      </c>
      <c r="G3818" t="s">
        <v>15148</v>
      </c>
      <c r="H3818" t="s">
        <v>15147</v>
      </c>
    </row>
    <row r="3819" spans="1:8">
      <c r="A3819" t="s">
        <v>250</v>
      </c>
      <c r="B3819" t="s">
        <v>193</v>
      </c>
      <c r="C3819">
        <v>85</v>
      </c>
      <c r="D3819" t="s">
        <v>15185</v>
      </c>
      <c r="E3819" t="s">
        <v>15186</v>
      </c>
    </row>
    <row r="3820" spans="1:8">
      <c r="A3820" t="s">
        <v>250</v>
      </c>
      <c r="B3820" t="s">
        <v>193</v>
      </c>
      <c r="C3820">
        <v>85</v>
      </c>
      <c r="D3820" t="s">
        <v>15187</v>
      </c>
      <c r="E3820" t="s">
        <v>15188</v>
      </c>
      <c r="F3820" t="s">
        <v>193</v>
      </c>
    </row>
    <row r="3821" spans="1:8">
      <c r="A3821" t="s">
        <v>250</v>
      </c>
      <c r="B3821" t="s">
        <v>193</v>
      </c>
      <c r="C3821">
        <v>85</v>
      </c>
      <c r="D3821" t="s">
        <v>15189</v>
      </c>
      <c r="E3821" t="s">
        <v>15190</v>
      </c>
      <c r="G3821" t="s">
        <v>14922</v>
      </c>
      <c r="H3821" t="s">
        <v>14921</v>
      </c>
    </row>
    <row r="3822" spans="1:8">
      <c r="A3822" t="s">
        <v>250</v>
      </c>
      <c r="B3822" t="s">
        <v>193</v>
      </c>
      <c r="C3822">
        <v>85</v>
      </c>
      <c r="D3822" t="s">
        <v>15191</v>
      </c>
      <c r="E3822" t="s">
        <v>15192</v>
      </c>
      <c r="G3822" t="s">
        <v>14950</v>
      </c>
      <c r="H3822" t="s">
        <v>14949</v>
      </c>
    </row>
    <row r="3823" spans="1:8">
      <c r="A3823" t="s">
        <v>250</v>
      </c>
      <c r="B3823" t="s">
        <v>193</v>
      </c>
      <c r="C3823">
        <v>85</v>
      </c>
      <c r="D3823" t="s">
        <v>15193</v>
      </c>
      <c r="E3823" t="s">
        <v>15194</v>
      </c>
    </row>
    <row r="3824" spans="1:8">
      <c r="A3824" t="s">
        <v>250</v>
      </c>
      <c r="B3824" t="s">
        <v>193</v>
      </c>
      <c r="C3824">
        <v>85</v>
      </c>
      <c r="D3824" t="s">
        <v>15195</v>
      </c>
      <c r="E3824" t="s">
        <v>15196</v>
      </c>
      <c r="F3824" t="s">
        <v>193</v>
      </c>
      <c r="G3824" t="s">
        <v>15197</v>
      </c>
      <c r="H3824" t="s">
        <v>15198</v>
      </c>
    </row>
    <row r="3825" spans="1:8">
      <c r="A3825" t="s">
        <v>250</v>
      </c>
      <c r="B3825" t="s">
        <v>193</v>
      </c>
      <c r="C3825">
        <v>85</v>
      </c>
      <c r="D3825" t="s">
        <v>15199</v>
      </c>
      <c r="G3825" t="s">
        <v>15151</v>
      </c>
    </row>
    <row r="3826" spans="1:8">
      <c r="A3826" t="s">
        <v>250</v>
      </c>
      <c r="B3826" t="s">
        <v>193</v>
      </c>
      <c r="C3826">
        <v>85</v>
      </c>
      <c r="D3826" t="s">
        <v>15200</v>
      </c>
      <c r="E3826" t="s">
        <v>15201</v>
      </c>
      <c r="G3826" t="s">
        <v>15202</v>
      </c>
      <c r="H3826" t="s">
        <v>15203</v>
      </c>
    </row>
    <row r="3827" spans="1:8">
      <c r="A3827" t="s">
        <v>250</v>
      </c>
      <c r="B3827" t="s">
        <v>193</v>
      </c>
      <c r="C3827">
        <v>85</v>
      </c>
      <c r="D3827" t="s">
        <v>15204</v>
      </c>
    </row>
    <row r="3828" spans="1:8">
      <c r="A3828" t="s">
        <v>243</v>
      </c>
      <c r="B3828" t="s">
        <v>193</v>
      </c>
      <c r="C3828">
        <v>85</v>
      </c>
      <c r="D3828" t="s">
        <v>15205</v>
      </c>
      <c r="E3828" t="s">
        <v>15206</v>
      </c>
      <c r="F3828" t="s">
        <v>193</v>
      </c>
      <c r="G3828" t="s">
        <v>15207</v>
      </c>
      <c r="H3828" t="s">
        <v>15208</v>
      </c>
    </row>
    <row r="3829" spans="1:8">
      <c r="A3829" t="s">
        <v>243</v>
      </c>
      <c r="B3829" t="s">
        <v>193</v>
      </c>
      <c r="C3829">
        <v>85</v>
      </c>
      <c r="D3829" t="s">
        <v>15209</v>
      </c>
      <c r="E3829" t="s">
        <v>15210</v>
      </c>
      <c r="F3829" t="s">
        <v>193</v>
      </c>
      <c r="G3829" t="s">
        <v>15211</v>
      </c>
      <c r="H3829" t="s">
        <v>15212</v>
      </c>
    </row>
    <row r="3830" spans="1:8">
      <c r="A3830" t="s">
        <v>250</v>
      </c>
      <c r="B3830" t="s">
        <v>193</v>
      </c>
      <c r="C3830">
        <v>85</v>
      </c>
      <c r="D3830" t="s">
        <v>15213</v>
      </c>
      <c r="E3830" t="s">
        <v>15214</v>
      </c>
    </row>
    <row r="3831" spans="1:8">
      <c r="A3831" t="s">
        <v>250</v>
      </c>
      <c r="B3831" t="s">
        <v>193</v>
      </c>
      <c r="C3831">
        <v>85</v>
      </c>
      <c r="D3831" t="s">
        <v>15215</v>
      </c>
      <c r="E3831" t="s">
        <v>15216</v>
      </c>
    </row>
    <row r="3832" spans="1:8">
      <c r="A3832" t="s">
        <v>250</v>
      </c>
      <c r="B3832" t="s">
        <v>193</v>
      </c>
      <c r="C3832">
        <v>85</v>
      </c>
      <c r="D3832" t="s">
        <v>15217</v>
      </c>
      <c r="E3832" t="s">
        <v>15218</v>
      </c>
      <c r="F3832" t="s">
        <v>193</v>
      </c>
      <c r="H3832" t="s">
        <v>15219</v>
      </c>
    </row>
    <row r="3833" spans="1:8">
      <c r="A3833" t="s">
        <v>250</v>
      </c>
      <c r="B3833" t="s">
        <v>193</v>
      </c>
      <c r="C3833">
        <v>85</v>
      </c>
      <c r="D3833" t="s">
        <v>15220</v>
      </c>
      <c r="E3833" t="s">
        <v>15221</v>
      </c>
    </row>
    <row r="3834" spans="1:8">
      <c r="A3834" t="s">
        <v>250</v>
      </c>
      <c r="B3834" t="s">
        <v>193</v>
      </c>
      <c r="C3834">
        <v>85</v>
      </c>
      <c r="D3834" t="s">
        <v>15222</v>
      </c>
      <c r="E3834" t="s">
        <v>15223</v>
      </c>
    </row>
    <row r="3835" spans="1:8">
      <c r="A3835" t="s">
        <v>250</v>
      </c>
      <c r="B3835" t="s">
        <v>193</v>
      </c>
      <c r="C3835">
        <v>85</v>
      </c>
      <c r="D3835" t="s">
        <v>15224</v>
      </c>
      <c r="E3835" t="s">
        <v>15225</v>
      </c>
      <c r="F3835" t="s">
        <v>14726</v>
      </c>
    </row>
    <row r="3836" spans="1:8">
      <c r="A3836" t="s">
        <v>250</v>
      </c>
      <c r="B3836" t="s">
        <v>193</v>
      </c>
      <c r="C3836">
        <v>85</v>
      </c>
      <c r="D3836" t="s">
        <v>15226</v>
      </c>
      <c r="E3836" t="s">
        <v>14706</v>
      </c>
    </row>
    <row r="3837" spans="1:8">
      <c r="A3837" t="s">
        <v>241</v>
      </c>
      <c r="B3837" t="s">
        <v>193</v>
      </c>
      <c r="C3837">
        <v>85</v>
      </c>
      <c r="D3837" t="s">
        <v>15227</v>
      </c>
      <c r="E3837" t="s">
        <v>15228</v>
      </c>
      <c r="G3837" t="s">
        <v>15229</v>
      </c>
      <c r="H3837" t="s">
        <v>15230</v>
      </c>
    </row>
    <row r="3838" spans="1:8">
      <c r="A3838" t="s">
        <v>250</v>
      </c>
      <c r="B3838" t="s">
        <v>193</v>
      </c>
      <c r="C3838">
        <v>85</v>
      </c>
      <c r="D3838" t="s">
        <v>11585</v>
      </c>
      <c r="E3838" t="s">
        <v>15231</v>
      </c>
    </row>
    <row r="3839" spans="1:8">
      <c r="A3839" t="s">
        <v>250</v>
      </c>
      <c r="B3839" t="s">
        <v>193</v>
      </c>
      <c r="C3839">
        <v>85</v>
      </c>
      <c r="D3839" t="s">
        <v>15232</v>
      </c>
      <c r="E3839" t="s">
        <v>15233</v>
      </c>
      <c r="G3839" t="s">
        <v>15234</v>
      </c>
      <c r="H3839" t="s">
        <v>15235</v>
      </c>
    </row>
    <row r="3840" spans="1:8">
      <c r="A3840" t="s">
        <v>241</v>
      </c>
      <c r="B3840" t="s">
        <v>193</v>
      </c>
      <c r="C3840">
        <v>85</v>
      </c>
      <c r="D3840" t="s">
        <v>15236</v>
      </c>
      <c r="E3840" t="s">
        <v>15237</v>
      </c>
      <c r="G3840" t="s">
        <v>15238</v>
      </c>
      <c r="H3840" t="s">
        <v>15239</v>
      </c>
    </row>
    <row r="3841" spans="1:8">
      <c r="A3841" t="s">
        <v>243</v>
      </c>
      <c r="B3841" t="s">
        <v>193</v>
      </c>
      <c r="C3841">
        <v>85</v>
      </c>
      <c r="D3841" t="s">
        <v>15240</v>
      </c>
      <c r="E3841" t="s">
        <v>15241</v>
      </c>
      <c r="F3841" t="s">
        <v>193</v>
      </c>
      <c r="H3841" t="s">
        <v>15242</v>
      </c>
    </row>
    <row r="3842" spans="1:8">
      <c r="A3842" t="s">
        <v>250</v>
      </c>
      <c r="B3842" t="s">
        <v>193</v>
      </c>
      <c r="C3842">
        <v>85</v>
      </c>
      <c r="D3842" t="s">
        <v>15243</v>
      </c>
      <c r="E3842" t="s">
        <v>12385</v>
      </c>
    </row>
    <row r="3843" spans="1:8">
      <c r="A3843" t="s">
        <v>241</v>
      </c>
      <c r="B3843" t="s">
        <v>193</v>
      </c>
      <c r="C3843">
        <v>85</v>
      </c>
      <c r="D3843" t="s">
        <v>15244</v>
      </c>
      <c r="E3843" t="s">
        <v>15245</v>
      </c>
      <c r="H3843" t="s">
        <v>15246</v>
      </c>
    </row>
    <row r="3844" spans="1:8">
      <c r="A3844" t="s">
        <v>241</v>
      </c>
      <c r="B3844" t="s">
        <v>193</v>
      </c>
      <c r="C3844">
        <v>85</v>
      </c>
      <c r="D3844" t="s">
        <v>15247</v>
      </c>
      <c r="E3844" t="s">
        <v>15248</v>
      </c>
      <c r="F3844" t="s">
        <v>193</v>
      </c>
      <c r="H3844" t="s">
        <v>15249</v>
      </c>
    </row>
    <row r="3845" spans="1:8">
      <c r="A3845" t="s">
        <v>241</v>
      </c>
      <c r="B3845" t="s">
        <v>193</v>
      </c>
      <c r="C3845">
        <v>85</v>
      </c>
      <c r="D3845" t="s">
        <v>15250</v>
      </c>
      <c r="E3845" t="s">
        <v>15251</v>
      </c>
      <c r="G3845" t="s">
        <v>15252</v>
      </c>
      <c r="H3845" t="s">
        <v>15253</v>
      </c>
    </row>
    <row r="3846" spans="1:8">
      <c r="A3846" t="s">
        <v>248</v>
      </c>
      <c r="B3846" t="s">
        <v>193</v>
      </c>
      <c r="C3846">
        <v>85</v>
      </c>
      <c r="D3846" t="s">
        <v>15254</v>
      </c>
      <c r="E3846" t="s">
        <v>15255</v>
      </c>
      <c r="F3846" t="s">
        <v>193</v>
      </c>
      <c r="G3846" t="s">
        <v>15256</v>
      </c>
      <c r="H3846" t="s">
        <v>15257</v>
      </c>
    </row>
    <row r="3847" spans="1:8">
      <c r="A3847" t="s">
        <v>241</v>
      </c>
      <c r="B3847" t="s">
        <v>193</v>
      </c>
      <c r="C3847">
        <v>85</v>
      </c>
      <c r="D3847" t="s">
        <v>15258</v>
      </c>
      <c r="E3847" t="s">
        <v>15259</v>
      </c>
      <c r="G3847" t="s">
        <v>15260</v>
      </c>
      <c r="H3847" t="s">
        <v>15261</v>
      </c>
    </row>
    <row r="3848" spans="1:8">
      <c r="A3848" t="s">
        <v>241</v>
      </c>
      <c r="B3848" t="s">
        <v>193</v>
      </c>
      <c r="C3848">
        <v>85</v>
      </c>
      <c r="D3848" t="s">
        <v>15262</v>
      </c>
      <c r="E3848" t="s">
        <v>15263</v>
      </c>
      <c r="G3848" t="s">
        <v>15264</v>
      </c>
      <c r="H3848" t="s">
        <v>15265</v>
      </c>
    </row>
    <row r="3849" spans="1:8">
      <c r="A3849" t="s">
        <v>241</v>
      </c>
      <c r="B3849" t="s">
        <v>193</v>
      </c>
      <c r="C3849">
        <v>85</v>
      </c>
      <c r="D3849" t="s">
        <v>15266</v>
      </c>
      <c r="E3849" t="s">
        <v>15267</v>
      </c>
      <c r="G3849" t="s">
        <v>15268</v>
      </c>
      <c r="H3849" t="s">
        <v>15269</v>
      </c>
    </row>
    <row r="3850" spans="1:8">
      <c r="A3850" t="s">
        <v>241</v>
      </c>
      <c r="B3850" t="s">
        <v>193</v>
      </c>
      <c r="C3850">
        <v>85</v>
      </c>
      <c r="D3850" t="s">
        <v>15270</v>
      </c>
      <c r="E3850" t="s">
        <v>15271</v>
      </c>
      <c r="G3850" t="s">
        <v>15272</v>
      </c>
      <c r="H3850" t="s">
        <v>15273</v>
      </c>
    </row>
    <row r="3851" spans="1:8">
      <c r="A3851" t="s">
        <v>241</v>
      </c>
      <c r="B3851" t="s">
        <v>193</v>
      </c>
      <c r="C3851">
        <v>85</v>
      </c>
      <c r="D3851" t="s">
        <v>5722</v>
      </c>
      <c r="E3851" t="s">
        <v>15274</v>
      </c>
      <c r="G3851" t="s">
        <v>15275</v>
      </c>
      <c r="H3851" t="s">
        <v>15276</v>
      </c>
    </row>
    <row r="3852" spans="1:8">
      <c r="A3852" t="s">
        <v>248</v>
      </c>
      <c r="B3852" t="s">
        <v>193</v>
      </c>
      <c r="C3852">
        <v>85</v>
      </c>
      <c r="D3852" t="s">
        <v>15277</v>
      </c>
      <c r="E3852" t="s">
        <v>15278</v>
      </c>
      <c r="G3852" t="s">
        <v>15279</v>
      </c>
      <c r="H3852" t="s">
        <v>15280</v>
      </c>
    </row>
    <row r="3853" spans="1:8">
      <c r="A3853" t="s">
        <v>250</v>
      </c>
      <c r="B3853" t="s">
        <v>193</v>
      </c>
      <c r="C3853">
        <v>85</v>
      </c>
      <c r="D3853" t="s">
        <v>15281</v>
      </c>
      <c r="E3853" t="s">
        <v>15282</v>
      </c>
    </row>
    <row r="3854" spans="1:8">
      <c r="A3854" t="s">
        <v>250</v>
      </c>
      <c r="B3854" t="s">
        <v>193</v>
      </c>
      <c r="C3854">
        <v>85</v>
      </c>
      <c r="D3854" t="s">
        <v>15283</v>
      </c>
    </row>
    <row r="3855" spans="1:8">
      <c r="A3855" t="s">
        <v>250</v>
      </c>
      <c r="B3855" t="s">
        <v>193</v>
      </c>
      <c r="C3855">
        <v>85</v>
      </c>
      <c r="D3855" t="s">
        <v>15284</v>
      </c>
      <c r="E3855" t="s">
        <v>15285</v>
      </c>
      <c r="G3855" t="s">
        <v>15286</v>
      </c>
    </row>
    <row r="3856" spans="1:8">
      <c r="A3856" t="s">
        <v>250</v>
      </c>
      <c r="B3856" t="s">
        <v>193</v>
      </c>
      <c r="C3856">
        <v>85</v>
      </c>
      <c r="D3856" t="s">
        <v>15287</v>
      </c>
    </row>
    <row r="3857" spans="1:8">
      <c r="A3857" t="s">
        <v>250</v>
      </c>
      <c r="B3857" t="s">
        <v>193</v>
      </c>
      <c r="C3857">
        <v>85</v>
      </c>
      <c r="D3857" t="s">
        <v>15288</v>
      </c>
      <c r="E3857" t="s">
        <v>15021</v>
      </c>
      <c r="F3857" t="s">
        <v>193</v>
      </c>
      <c r="G3857" t="s">
        <v>15289</v>
      </c>
    </row>
    <row r="3858" spans="1:8">
      <c r="A3858" t="s">
        <v>250</v>
      </c>
      <c r="B3858" t="s">
        <v>193</v>
      </c>
      <c r="C3858">
        <v>85</v>
      </c>
      <c r="D3858" t="s">
        <v>15290</v>
      </c>
      <c r="E3858" t="s">
        <v>15291</v>
      </c>
      <c r="G3858" t="s">
        <v>15292</v>
      </c>
      <c r="H3858" t="s">
        <v>15293</v>
      </c>
    </row>
    <row r="3859" spans="1:8">
      <c r="A3859" t="s">
        <v>250</v>
      </c>
      <c r="B3859" t="s">
        <v>193</v>
      </c>
      <c r="C3859">
        <v>85</v>
      </c>
      <c r="D3859" t="s">
        <v>15294</v>
      </c>
      <c r="E3859" t="s">
        <v>15233</v>
      </c>
      <c r="G3859" t="s">
        <v>15295</v>
      </c>
    </row>
    <row r="3860" spans="1:8">
      <c r="A3860" t="s">
        <v>250</v>
      </c>
      <c r="B3860" t="s">
        <v>193</v>
      </c>
      <c r="C3860">
        <v>85</v>
      </c>
      <c r="D3860" t="s">
        <v>15296</v>
      </c>
      <c r="E3860" t="s">
        <v>15297</v>
      </c>
    </row>
    <row r="3861" spans="1:8">
      <c r="A3861" t="s">
        <v>250</v>
      </c>
      <c r="B3861" t="s">
        <v>193</v>
      </c>
      <c r="C3861">
        <v>85</v>
      </c>
      <c r="D3861" t="s">
        <v>15298</v>
      </c>
    </row>
    <row r="3862" spans="1:8">
      <c r="A3862" t="s">
        <v>250</v>
      </c>
      <c r="B3862" t="s">
        <v>193</v>
      </c>
      <c r="C3862">
        <v>85</v>
      </c>
      <c r="D3862" t="s">
        <v>15299</v>
      </c>
    </row>
    <row r="3863" spans="1:8">
      <c r="A3863" t="s">
        <v>250</v>
      </c>
      <c r="B3863" t="s">
        <v>193</v>
      </c>
      <c r="C3863">
        <v>85</v>
      </c>
      <c r="D3863" t="s">
        <v>15300</v>
      </c>
    </row>
    <row r="3864" spans="1:8">
      <c r="A3864" t="s">
        <v>250</v>
      </c>
      <c r="B3864" t="s">
        <v>193</v>
      </c>
      <c r="C3864">
        <v>85</v>
      </c>
      <c r="D3864" t="s">
        <v>15301</v>
      </c>
      <c r="E3864" t="s">
        <v>15302</v>
      </c>
    </row>
    <row r="3865" spans="1:8">
      <c r="A3865" t="s">
        <v>250</v>
      </c>
      <c r="B3865" t="s">
        <v>193</v>
      </c>
      <c r="C3865">
        <v>85</v>
      </c>
      <c r="D3865" t="s">
        <v>15303</v>
      </c>
      <c r="E3865" t="s">
        <v>15304</v>
      </c>
      <c r="G3865" t="s">
        <v>15305</v>
      </c>
    </row>
    <row r="3866" spans="1:8">
      <c r="A3866" t="s">
        <v>250</v>
      </c>
      <c r="B3866" t="s">
        <v>193</v>
      </c>
      <c r="C3866">
        <v>85</v>
      </c>
      <c r="D3866" t="s">
        <v>15306</v>
      </c>
      <c r="F3866" t="s">
        <v>14726</v>
      </c>
    </row>
    <row r="3867" spans="1:8">
      <c r="A3867" t="s">
        <v>240</v>
      </c>
      <c r="B3867" t="s">
        <v>193</v>
      </c>
      <c r="C3867">
        <v>85</v>
      </c>
      <c r="D3867" t="s">
        <v>15307</v>
      </c>
      <c r="E3867" t="s">
        <v>15308</v>
      </c>
      <c r="F3867" t="s">
        <v>193</v>
      </c>
      <c r="G3867" t="s">
        <v>15309</v>
      </c>
      <c r="H3867" t="s">
        <v>15310</v>
      </c>
    </row>
    <row r="3868" spans="1:8">
      <c r="A3868" t="s">
        <v>240</v>
      </c>
      <c r="B3868" t="s">
        <v>193</v>
      </c>
      <c r="C3868">
        <v>85</v>
      </c>
      <c r="D3868" t="s">
        <v>15311</v>
      </c>
      <c r="E3868" t="s">
        <v>15312</v>
      </c>
      <c r="F3868" t="s">
        <v>193</v>
      </c>
      <c r="G3868" t="s">
        <v>12109</v>
      </c>
      <c r="H3868" t="s">
        <v>15313</v>
      </c>
    </row>
    <row r="3869" spans="1:8">
      <c r="A3869" t="s">
        <v>240</v>
      </c>
      <c r="B3869" t="s">
        <v>193</v>
      </c>
      <c r="C3869">
        <v>85</v>
      </c>
      <c r="D3869" t="s">
        <v>15314</v>
      </c>
      <c r="E3869" t="s">
        <v>15315</v>
      </c>
      <c r="F3869" t="s">
        <v>193</v>
      </c>
      <c r="G3869" t="s">
        <v>15111</v>
      </c>
      <c r="H3869" t="s">
        <v>15112</v>
      </c>
    </row>
    <row r="3870" spans="1:8">
      <c r="A3870" t="s">
        <v>240</v>
      </c>
      <c r="B3870" t="s">
        <v>193</v>
      </c>
      <c r="C3870">
        <v>85</v>
      </c>
      <c r="D3870" t="s">
        <v>15316</v>
      </c>
      <c r="E3870" t="s">
        <v>15317</v>
      </c>
      <c r="F3870" t="s">
        <v>193</v>
      </c>
      <c r="G3870" t="s">
        <v>15318</v>
      </c>
      <c r="H3870" t="s">
        <v>15319</v>
      </c>
    </row>
    <row r="3871" spans="1:8">
      <c r="A3871" t="s">
        <v>240</v>
      </c>
      <c r="B3871" t="s">
        <v>193</v>
      </c>
      <c r="C3871">
        <v>85</v>
      </c>
      <c r="D3871" t="s">
        <v>15019</v>
      </c>
      <c r="E3871" t="s">
        <v>15320</v>
      </c>
      <c r="F3871" t="s">
        <v>193</v>
      </c>
      <c r="G3871" t="s">
        <v>15321</v>
      </c>
      <c r="H3871" t="s">
        <v>15322</v>
      </c>
    </row>
    <row r="3872" spans="1:8">
      <c r="A3872" t="s">
        <v>240</v>
      </c>
      <c r="B3872" t="s">
        <v>193</v>
      </c>
      <c r="C3872">
        <v>85</v>
      </c>
      <c r="D3872" t="s">
        <v>15323</v>
      </c>
      <c r="E3872" t="s">
        <v>15324</v>
      </c>
      <c r="F3872" t="s">
        <v>193</v>
      </c>
      <c r="G3872" t="s">
        <v>15325</v>
      </c>
      <c r="H3872" t="s">
        <v>15326</v>
      </c>
    </row>
    <row r="3873" spans="1:8">
      <c r="A3873" t="s">
        <v>241</v>
      </c>
      <c r="B3873" t="s">
        <v>193</v>
      </c>
      <c r="C3873">
        <v>85</v>
      </c>
      <c r="D3873" t="s">
        <v>15327</v>
      </c>
      <c r="E3873" t="s">
        <v>15328</v>
      </c>
      <c r="H3873" t="s">
        <v>15329</v>
      </c>
    </row>
    <row r="3874" spans="1:8">
      <c r="A3874" t="s">
        <v>240</v>
      </c>
      <c r="B3874" t="s">
        <v>193</v>
      </c>
      <c r="C3874">
        <v>85</v>
      </c>
      <c r="D3874" t="s">
        <v>15330</v>
      </c>
      <c r="E3874" t="s">
        <v>15331</v>
      </c>
      <c r="F3874" t="s">
        <v>193</v>
      </c>
      <c r="G3874" t="s">
        <v>15332</v>
      </c>
      <c r="H3874" t="s">
        <v>15333</v>
      </c>
    </row>
    <row r="3875" spans="1:8">
      <c r="A3875" t="s">
        <v>240</v>
      </c>
      <c r="B3875" t="s">
        <v>193</v>
      </c>
      <c r="C3875">
        <v>85</v>
      </c>
      <c r="D3875" t="s">
        <v>15334</v>
      </c>
      <c r="E3875" t="s">
        <v>15335</v>
      </c>
      <c r="F3875" t="s">
        <v>193</v>
      </c>
      <c r="H3875" t="s">
        <v>15336</v>
      </c>
    </row>
    <row r="3876" spans="1:8">
      <c r="A3876" t="s">
        <v>240</v>
      </c>
      <c r="B3876" t="s">
        <v>193</v>
      </c>
      <c r="C3876">
        <v>85</v>
      </c>
      <c r="D3876" t="s">
        <v>15337</v>
      </c>
      <c r="E3876" t="s">
        <v>15338</v>
      </c>
      <c r="F3876" t="s">
        <v>193</v>
      </c>
      <c r="G3876" t="s">
        <v>15339</v>
      </c>
      <c r="H3876" t="s">
        <v>15340</v>
      </c>
    </row>
    <row r="3877" spans="1:8">
      <c r="A3877" t="s">
        <v>240</v>
      </c>
      <c r="B3877" t="s">
        <v>193</v>
      </c>
      <c r="C3877">
        <v>85</v>
      </c>
      <c r="D3877" t="s">
        <v>15341</v>
      </c>
      <c r="E3877" t="s">
        <v>15342</v>
      </c>
      <c r="F3877" t="s">
        <v>193</v>
      </c>
      <c r="G3877" t="s">
        <v>15343</v>
      </c>
      <c r="H3877" t="s">
        <v>15344</v>
      </c>
    </row>
    <row r="3878" spans="1:8">
      <c r="A3878" t="s">
        <v>240</v>
      </c>
      <c r="B3878" t="s">
        <v>193</v>
      </c>
      <c r="C3878">
        <v>85</v>
      </c>
      <c r="D3878" t="s">
        <v>15345</v>
      </c>
      <c r="E3878" t="s">
        <v>15346</v>
      </c>
      <c r="F3878" t="s">
        <v>193</v>
      </c>
      <c r="G3878" t="s">
        <v>15347</v>
      </c>
      <c r="H3878" t="s">
        <v>15348</v>
      </c>
    </row>
    <row r="3879" spans="1:8">
      <c r="A3879" t="s">
        <v>240</v>
      </c>
      <c r="B3879" t="s">
        <v>193</v>
      </c>
      <c r="C3879">
        <v>85</v>
      </c>
      <c r="D3879" t="s">
        <v>15349</v>
      </c>
      <c r="E3879" t="s">
        <v>15350</v>
      </c>
      <c r="F3879" t="s">
        <v>193</v>
      </c>
      <c r="G3879" t="s">
        <v>15351</v>
      </c>
      <c r="H3879" t="s">
        <v>15352</v>
      </c>
    </row>
    <row r="3880" spans="1:8">
      <c r="A3880" t="s">
        <v>240</v>
      </c>
      <c r="B3880" t="s">
        <v>193</v>
      </c>
      <c r="C3880">
        <v>85</v>
      </c>
      <c r="D3880" t="s">
        <v>15353</v>
      </c>
      <c r="E3880" t="s">
        <v>15354</v>
      </c>
      <c r="F3880" t="s">
        <v>193</v>
      </c>
      <c r="G3880" t="s">
        <v>15355</v>
      </c>
      <c r="H3880" t="s">
        <v>15356</v>
      </c>
    </row>
    <row r="3881" spans="1:8">
      <c r="A3881" t="s">
        <v>240</v>
      </c>
      <c r="B3881" t="s">
        <v>193</v>
      </c>
      <c r="C3881">
        <v>85</v>
      </c>
      <c r="D3881" t="s">
        <v>15357</v>
      </c>
      <c r="E3881" t="s">
        <v>14784</v>
      </c>
      <c r="F3881" t="s">
        <v>193</v>
      </c>
      <c r="G3881" t="s">
        <v>15358</v>
      </c>
      <c r="H3881" t="s">
        <v>15359</v>
      </c>
    </row>
    <row r="3882" spans="1:8">
      <c r="A3882" t="s">
        <v>240</v>
      </c>
      <c r="B3882" t="s">
        <v>193</v>
      </c>
      <c r="C3882">
        <v>85</v>
      </c>
      <c r="D3882" t="s">
        <v>15360</v>
      </c>
      <c r="E3882" t="s">
        <v>15361</v>
      </c>
      <c r="F3882" t="s">
        <v>193</v>
      </c>
      <c r="G3882" t="s">
        <v>15362</v>
      </c>
      <c r="H3882" t="s">
        <v>15363</v>
      </c>
    </row>
    <row r="3883" spans="1:8">
      <c r="A3883" t="s">
        <v>240</v>
      </c>
      <c r="B3883" t="s">
        <v>193</v>
      </c>
      <c r="C3883">
        <v>85</v>
      </c>
      <c r="D3883" t="s">
        <v>15364</v>
      </c>
      <c r="E3883" t="s">
        <v>15365</v>
      </c>
      <c r="F3883" t="s">
        <v>193</v>
      </c>
      <c r="G3883" t="s">
        <v>15366</v>
      </c>
      <c r="H3883" t="s">
        <v>15367</v>
      </c>
    </row>
    <row r="3884" spans="1:8">
      <c r="A3884" t="s">
        <v>240</v>
      </c>
      <c r="B3884" t="s">
        <v>193</v>
      </c>
      <c r="C3884">
        <v>85</v>
      </c>
      <c r="D3884" t="s">
        <v>9498</v>
      </c>
      <c r="E3884" t="s">
        <v>15368</v>
      </c>
      <c r="F3884" t="s">
        <v>193</v>
      </c>
      <c r="G3884" t="s">
        <v>14729</v>
      </c>
      <c r="H3884" t="s">
        <v>14728</v>
      </c>
    </row>
    <row r="3885" spans="1:8">
      <c r="A3885" t="s">
        <v>240</v>
      </c>
      <c r="B3885" t="s">
        <v>193</v>
      </c>
      <c r="C3885">
        <v>85</v>
      </c>
      <c r="D3885" t="s">
        <v>13943</v>
      </c>
      <c r="E3885" t="s">
        <v>15369</v>
      </c>
      <c r="F3885" t="s">
        <v>193</v>
      </c>
      <c r="G3885" t="s">
        <v>14753</v>
      </c>
      <c r="H3885" t="s">
        <v>15370</v>
      </c>
    </row>
    <row r="3886" spans="1:8">
      <c r="A3886" t="s">
        <v>240</v>
      </c>
      <c r="B3886" t="s">
        <v>193</v>
      </c>
      <c r="C3886">
        <v>85</v>
      </c>
      <c r="D3886" t="s">
        <v>15371</v>
      </c>
      <c r="E3886" t="s">
        <v>15372</v>
      </c>
      <c r="F3886" t="s">
        <v>193</v>
      </c>
      <c r="G3886" t="s">
        <v>15373</v>
      </c>
      <c r="H3886" t="s">
        <v>15374</v>
      </c>
    </row>
    <row r="3887" spans="1:8">
      <c r="A3887" t="s">
        <v>239</v>
      </c>
      <c r="B3887" t="s">
        <v>193</v>
      </c>
      <c r="C3887">
        <v>85</v>
      </c>
      <c r="D3887" t="s">
        <v>15375</v>
      </c>
      <c r="E3887" t="s">
        <v>15376</v>
      </c>
    </row>
    <row r="3888" spans="1:8">
      <c r="A3888" t="s">
        <v>239</v>
      </c>
      <c r="B3888" t="s">
        <v>193</v>
      </c>
      <c r="C3888">
        <v>85</v>
      </c>
      <c r="D3888" t="s">
        <v>15377</v>
      </c>
      <c r="E3888" t="s">
        <v>15378</v>
      </c>
    </row>
    <row r="3889" spans="1:8">
      <c r="A3889" t="s">
        <v>241</v>
      </c>
      <c r="B3889" t="s">
        <v>193</v>
      </c>
      <c r="C3889">
        <v>85</v>
      </c>
      <c r="D3889" t="s">
        <v>15379</v>
      </c>
      <c r="E3889" t="s">
        <v>15380</v>
      </c>
      <c r="G3889" t="s">
        <v>15381</v>
      </c>
      <c r="H3889" t="s">
        <v>15382</v>
      </c>
    </row>
    <row r="3890" spans="1:8">
      <c r="A3890" t="s">
        <v>240</v>
      </c>
      <c r="B3890" t="s">
        <v>193</v>
      </c>
      <c r="C3890">
        <v>85</v>
      </c>
      <c r="D3890" t="s">
        <v>15383</v>
      </c>
      <c r="E3890" t="s">
        <v>15384</v>
      </c>
      <c r="F3890" t="s">
        <v>193</v>
      </c>
      <c r="G3890" t="s">
        <v>15385</v>
      </c>
      <c r="H3890" t="s">
        <v>15386</v>
      </c>
    </row>
    <row r="3891" spans="1:8">
      <c r="A3891" t="s">
        <v>240</v>
      </c>
      <c r="B3891" t="s">
        <v>193</v>
      </c>
      <c r="C3891">
        <v>85</v>
      </c>
      <c r="D3891" t="s">
        <v>15387</v>
      </c>
      <c r="E3891" t="s">
        <v>15388</v>
      </c>
      <c r="F3891" t="s">
        <v>193</v>
      </c>
      <c r="G3891" t="s">
        <v>15006</v>
      </c>
      <c r="H3891" t="s">
        <v>15005</v>
      </c>
    </row>
    <row r="3892" spans="1:8">
      <c r="A3892" t="s">
        <v>240</v>
      </c>
      <c r="B3892" t="s">
        <v>193</v>
      </c>
      <c r="C3892">
        <v>85</v>
      </c>
      <c r="D3892" t="s">
        <v>15389</v>
      </c>
      <c r="E3892" t="s">
        <v>15390</v>
      </c>
      <c r="F3892" t="s">
        <v>193</v>
      </c>
      <c r="G3892" t="s">
        <v>15138</v>
      </c>
      <c r="H3892" t="s">
        <v>15139</v>
      </c>
    </row>
    <row r="3893" spans="1:8">
      <c r="A3893" t="s">
        <v>240</v>
      </c>
      <c r="B3893" t="s">
        <v>193</v>
      </c>
      <c r="C3893">
        <v>85</v>
      </c>
      <c r="D3893" t="s">
        <v>15391</v>
      </c>
      <c r="E3893" t="s">
        <v>15392</v>
      </c>
      <c r="F3893" t="s">
        <v>193</v>
      </c>
      <c r="G3893" t="s">
        <v>15178</v>
      </c>
      <c r="H3893" t="s">
        <v>15177</v>
      </c>
    </row>
    <row r="3894" spans="1:8">
      <c r="A3894" t="s">
        <v>248</v>
      </c>
      <c r="B3894" t="s">
        <v>193</v>
      </c>
      <c r="C3894">
        <v>85</v>
      </c>
      <c r="D3894" t="s">
        <v>15393</v>
      </c>
      <c r="E3894" t="s">
        <v>15394</v>
      </c>
      <c r="F3894" t="s">
        <v>193</v>
      </c>
      <c r="G3894" t="s">
        <v>15395</v>
      </c>
      <c r="H3894" t="s">
        <v>15396</v>
      </c>
    </row>
    <row r="3895" spans="1:8">
      <c r="A3895" t="s">
        <v>240</v>
      </c>
      <c r="B3895" t="s">
        <v>193</v>
      </c>
      <c r="C3895">
        <v>85</v>
      </c>
      <c r="D3895" t="s">
        <v>15397</v>
      </c>
      <c r="E3895" t="s">
        <v>15398</v>
      </c>
      <c r="F3895" t="s">
        <v>193</v>
      </c>
      <c r="G3895" t="s">
        <v>15399</v>
      </c>
      <c r="H3895" t="s">
        <v>15400</v>
      </c>
    </row>
    <row r="3896" spans="1:8">
      <c r="A3896" t="s">
        <v>240</v>
      </c>
      <c r="B3896" t="s">
        <v>193</v>
      </c>
      <c r="C3896">
        <v>85</v>
      </c>
      <c r="D3896" t="s">
        <v>15401</v>
      </c>
      <c r="E3896" t="s">
        <v>15402</v>
      </c>
      <c r="F3896" t="s">
        <v>193</v>
      </c>
      <c r="G3896" t="s">
        <v>15170</v>
      </c>
      <c r="H3896" t="s">
        <v>15169</v>
      </c>
    </row>
    <row r="3897" spans="1:8">
      <c r="A3897" t="s">
        <v>240</v>
      </c>
      <c r="B3897" t="s">
        <v>193</v>
      </c>
      <c r="C3897">
        <v>85</v>
      </c>
      <c r="D3897" t="s">
        <v>15403</v>
      </c>
      <c r="E3897" t="s">
        <v>15404</v>
      </c>
      <c r="F3897" t="s">
        <v>193</v>
      </c>
      <c r="G3897" t="s">
        <v>14729</v>
      </c>
      <c r="H3897" t="s">
        <v>14728</v>
      </c>
    </row>
    <row r="3898" spans="1:8">
      <c r="A3898" t="s">
        <v>240</v>
      </c>
      <c r="B3898" t="s">
        <v>193</v>
      </c>
      <c r="C3898">
        <v>85</v>
      </c>
      <c r="D3898" t="s">
        <v>15405</v>
      </c>
      <c r="E3898" t="s">
        <v>15406</v>
      </c>
      <c r="F3898" t="s">
        <v>193</v>
      </c>
      <c r="G3898" t="s">
        <v>15407</v>
      </c>
      <c r="H3898" t="s">
        <v>15408</v>
      </c>
    </row>
    <row r="3899" spans="1:8">
      <c r="A3899" t="s">
        <v>240</v>
      </c>
      <c r="B3899" t="s">
        <v>193</v>
      </c>
      <c r="C3899">
        <v>85</v>
      </c>
      <c r="D3899" t="s">
        <v>15409</v>
      </c>
      <c r="E3899" t="s">
        <v>12415</v>
      </c>
      <c r="F3899" t="s">
        <v>193</v>
      </c>
      <c r="G3899" t="s">
        <v>15410</v>
      </c>
      <c r="H3899" t="s">
        <v>15411</v>
      </c>
    </row>
    <row r="3900" spans="1:8">
      <c r="A3900" t="s">
        <v>240</v>
      </c>
      <c r="B3900" t="s">
        <v>193</v>
      </c>
      <c r="C3900">
        <v>85</v>
      </c>
      <c r="D3900" t="s">
        <v>15412</v>
      </c>
      <c r="E3900" t="s">
        <v>15413</v>
      </c>
      <c r="F3900" t="s">
        <v>193</v>
      </c>
      <c r="G3900" t="s">
        <v>15414</v>
      </c>
      <c r="H3900" t="s">
        <v>15415</v>
      </c>
    </row>
    <row r="3901" spans="1:8">
      <c r="A3901" t="s">
        <v>240</v>
      </c>
      <c r="B3901" t="s">
        <v>193</v>
      </c>
      <c r="C3901">
        <v>85</v>
      </c>
      <c r="D3901" t="s">
        <v>15416</v>
      </c>
      <c r="E3901" t="s">
        <v>15417</v>
      </c>
      <c r="F3901" t="s">
        <v>193</v>
      </c>
      <c r="G3901" t="s">
        <v>15418</v>
      </c>
      <c r="H3901" t="s">
        <v>15419</v>
      </c>
    </row>
    <row r="3902" spans="1:8">
      <c r="A3902" t="s">
        <v>241</v>
      </c>
      <c r="B3902" t="s">
        <v>193</v>
      </c>
      <c r="C3902">
        <v>85</v>
      </c>
      <c r="D3902" t="s">
        <v>15420</v>
      </c>
      <c r="E3902" t="s">
        <v>15421</v>
      </c>
      <c r="G3902" t="s">
        <v>15422</v>
      </c>
      <c r="H3902" t="s">
        <v>15423</v>
      </c>
    </row>
    <row r="3903" spans="1:8">
      <c r="A3903" t="s">
        <v>240</v>
      </c>
      <c r="B3903" t="s">
        <v>193</v>
      </c>
      <c r="C3903">
        <v>85</v>
      </c>
      <c r="D3903" t="s">
        <v>15424</v>
      </c>
      <c r="E3903" t="s">
        <v>15425</v>
      </c>
      <c r="F3903" t="s">
        <v>193</v>
      </c>
      <c r="G3903" t="s">
        <v>15426</v>
      </c>
      <c r="H3903" t="s">
        <v>15427</v>
      </c>
    </row>
    <row r="3904" spans="1:8">
      <c r="A3904" t="s">
        <v>240</v>
      </c>
      <c r="B3904" t="s">
        <v>193</v>
      </c>
      <c r="C3904">
        <v>85</v>
      </c>
      <c r="D3904" t="s">
        <v>15428</v>
      </c>
      <c r="F3904" t="s">
        <v>193</v>
      </c>
      <c r="G3904" t="s">
        <v>15429</v>
      </c>
      <c r="H3904" t="s">
        <v>15430</v>
      </c>
    </row>
    <row r="3905" spans="1:8">
      <c r="A3905" t="s">
        <v>241</v>
      </c>
      <c r="B3905" t="s">
        <v>193</v>
      </c>
      <c r="C3905">
        <v>85</v>
      </c>
      <c r="D3905" t="s">
        <v>15431</v>
      </c>
      <c r="E3905" t="s">
        <v>15432</v>
      </c>
      <c r="F3905" t="s">
        <v>193</v>
      </c>
      <c r="G3905" t="s">
        <v>15433</v>
      </c>
      <c r="H3905" t="s">
        <v>15434</v>
      </c>
    </row>
    <row r="3906" spans="1:8">
      <c r="A3906" t="s">
        <v>239</v>
      </c>
      <c r="B3906" t="s">
        <v>193</v>
      </c>
      <c r="C3906">
        <v>85</v>
      </c>
      <c r="D3906" t="s">
        <v>15435</v>
      </c>
      <c r="E3906" t="s">
        <v>15436</v>
      </c>
      <c r="F3906" t="s">
        <v>193</v>
      </c>
      <c r="H3906" t="s">
        <v>15437</v>
      </c>
    </row>
    <row r="3907" spans="1:8">
      <c r="A3907" t="s">
        <v>239</v>
      </c>
      <c r="B3907" t="s">
        <v>193</v>
      </c>
      <c r="C3907">
        <v>85</v>
      </c>
      <c r="D3907" t="s">
        <v>15438</v>
      </c>
      <c r="E3907" t="s">
        <v>15439</v>
      </c>
      <c r="F3907" t="s">
        <v>193</v>
      </c>
      <c r="H3907" t="s">
        <v>15440</v>
      </c>
    </row>
    <row r="3908" spans="1:8">
      <c r="A3908" t="s">
        <v>241</v>
      </c>
      <c r="B3908" t="s">
        <v>193</v>
      </c>
      <c r="C3908">
        <v>85</v>
      </c>
      <c r="D3908" t="s">
        <v>15441</v>
      </c>
      <c r="E3908" t="s">
        <v>15442</v>
      </c>
      <c r="F3908" t="s">
        <v>193</v>
      </c>
      <c r="H3908" t="s">
        <v>15443</v>
      </c>
    </row>
    <row r="3909" spans="1:8">
      <c r="A3909" t="s">
        <v>241</v>
      </c>
      <c r="B3909" t="s">
        <v>193</v>
      </c>
      <c r="C3909">
        <v>85</v>
      </c>
      <c r="D3909" t="s">
        <v>9509</v>
      </c>
      <c r="E3909" t="s">
        <v>15444</v>
      </c>
      <c r="F3909" t="s">
        <v>193</v>
      </c>
      <c r="H3909" t="s">
        <v>15445</v>
      </c>
    </row>
    <row r="3910" spans="1:8">
      <c r="A3910" t="s">
        <v>241</v>
      </c>
      <c r="B3910" t="s">
        <v>193</v>
      </c>
      <c r="C3910">
        <v>85</v>
      </c>
      <c r="D3910" t="s">
        <v>15446</v>
      </c>
      <c r="E3910" t="s">
        <v>15447</v>
      </c>
      <c r="H3910" t="s">
        <v>15448</v>
      </c>
    </row>
    <row r="3911" spans="1:8">
      <c r="A3911" t="s">
        <v>241</v>
      </c>
      <c r="B3911" t="s">
        <v>193</v>
      </c>
      <c r="C3911">
        <v>85</v>
      </c>
      <c r="D3911" t="s">
        <v>15449</v>
      </c>
      <c r="E3911" t="s">
        <v>15450</v>
      </c>
      <c r="F3911" t="s">
        <v>193</v>
      </c>
      <c r="H3911" t="s">
        <v>15451</v>
      </c>
    </row>
    <row r="3912" spans="1:8">
      <c r="A3912" t="s">
        <v>240</v>
      </c>
      <c r="B3912" t="s">
        <v>193</v>
      </c>
      <c r="C3912">
        <v>85</v>
      </c>
      <c r="D3912" t="s">
        <v>15452</v>
      </c>
      <c r="E3912" t="s">
        <v>15453</v>
      </c>
      <c r="F3912" t="s">
        <v>193</v>
      </c>
      <c r="G3912" t="s">
        <v>15454</v>
      </c>
      <c r="H3912" t="s">
        <v>15455</v>
      </c>
    </row>
    <row r="3913" spans="1:8">
      <c r="A3913" t="s">
        <v>243</v>
      </c>
      <c r="B3913" t="s">
        <v>193</v>
      </c>
      <c r="C3913">
        <v>85</v>
      </c>
      <c r="D3913" t="s">
        <v>15456</v>
      </c>
      <c r="E3913" t="s">
        <v>15457</v>
      </c>
      <c r="G3913" t="s">
        <v>15458</v>
      </c>
      <c r="H3913" t="s">
        <v>15459</v>
      </c>
    </row>
    <row r="3914" spans="1:8">
      <c r="A3914" t="s">
        <v>243</v>
      </c>
      <c r="B3914" t="s">
        <v>193</v>
      </c>
      <c r="C3914">
        <v>85</v>
      </c>
      <c r="D3914" t="s">
        <v>15460</v>
      </c>
      <c r="E3914" t="s">
        <v>15461</v>
      </c>
      <c r="F3914" t="s">
        <v>193</v>
      </c>
      <c r="H3914" t="s">
        <v>15462</v>
      </c>
    </row>
    <row r="3915" spans="1:8">
      <c r="A3915" t="s">
        <v>239</v>
      </c>
      <c r="B3915" t="s">
        <v>193</v>
      </c>
      <c r="C3915">
        <v>85</v>
      </c>
      <c r="D3915" t="s">
        <v>15463</v>
      </c>
      <c r="E3915" t="s">
        <v>15464</v>
      </c>
      <c r="F3915" t="s">
        <v>15465</v>
      </c>
      <c r="H3915" t="s">
        <v>15466</v>
      </c>
    </row>
    <row r="3916" spans="1:8">
      <c r="A3916" t="s">
        <v>239</v>
      </c>
      <c r="B3916" t="s">
        <v>193</v>
      </c>
      <c r="C3916">
        <v>85</v>
      </c>
      <c r="D3916" t="s">
        <v>15467</v>
      </c>
      <c r="E3916" t="s">
        <v>15468</v>
      </c>
      <c r="F3916" t="s">
        <v>193</v>
      </c>
      <c r="H3916" t="s">
        <v>15469</v>
      </c>
    </row>
    <row r="3917" spans="1:8">
      <c r="A3917" t="s">
        <v>239</v>
      </c>
      <c r="B3917" t="s">
        <v>193</v>
      </c>
      <c r="C3917">
        <v>85</v>
      </c>
      <c r="D3917" t="s">
        <v>15470</v>
      </c>
      <c r="E3917" t="s">
        <v>15471</v>
      </c>
      <c r="F3917" t="s">
        <v>193</v>
      </c>
      <c r="H3917" t="s">
        <v>15437</v>
      </c>
    </row>
    <row r="3918" spans="1:8">
      <c r="A3918" t="s">
        <v>241</v>
      </c>
      <c r="B3918" t="s">
        <v>193</v>
      </c>
      <c r="C3918">
        <v>85</v>
      </c>
      <c r="D3918" t="s">
        <v>15472</v>
      </c>
      <c r="E3918" t="s">
        <v>15473</v>
      </c>
      <c r="F3918" t="s">
        <v>193</v>
      </c>
      <c r="H3918" t="s">
        <v>15474</v>
      </c>
    </row>
    <row r="3919" spans="1:8">
      <c r="A3919" t="s">
        <v>240</v>
      </c>
      <c r="B3919" t="s">
        <v>193</v>
      </c>
      <c r="C3919">
        <v>85</v>
      </c>
      <c r="D3919" t="s">
        <v>15475</v>
      </c>
      <c r="E3919" t="s">
        <v>15476</v>
      </c>
      <c r="F3919" t="s">
        <v>193</v>
      </c>
    </row>
    <row r="3920" spans="1:8">
      <c r="A3920" t="s">
        <v>241</v>
      </c>
      <c r="B3920" t="s">
        <v>193</v>
      </c>
      <c r="C3920">
        <v>85</v>
      </c>
      <c r="D3920" t="s">
        <v>15477</v>
      </c>
      <c r="E3920" t="s">
        <v>3157</v>
      </c>
      <c r="H3920" t="s">
        <v>15478</v>
      </c>
    </row>
    <row r="3921" spans="1:8">
      <c r="A3921" t="s">
        <v>241</v>
      </c>
      <c r="B3921" t="s">
        <v>193</v>
      </c>
      <c r="C3921">
        <v>85</v>
      </c>
      <c r="D3921" t="s">
        <v>15479</v>
      </c>
      <c r="E3921" t="s">
        <v>15480</v>
      </c>
      <c r="H3921" t="s">
        <v>15481</v>
      </c>
    </row>
    <row r="3922" spans="1:8">
      <c r="A3922" t="s">
        <v>240</v>
      </c>
      <c r="B3922" t="s">
        <v>193</v>
      </c>
      <c r="C3922">
        <v>85</v>
      </c>
      <c r="D3922" t="s">
        <v>15482</v>
      </c>
      <c r="E3922" t="s">
        <v>15483</v>
      </c>
      <c r="F3922" t="s">
        <v>193</v>
      </c>
      <c r="G3922" t="s">
        <v>15484</v>
      </c>
      <c r="H3922" t="s">
        <v>15485</v>
      </c>
    </row>
    <row r="3923" spans="1:8">
      <c r="A3923" t="s">
        <v>240</v>
      </c>
      <c r="B3923" t="s">
        <v>193</v>
      </c>
      <c r="C3923">
        <v>85</v>
      </c>
      <c r="D3923" t="s">
        <v>15486</v>
      </c>
      <c r="E3923" t="s">
        <v>15487</v>
      </c>
      <c r="F3923" t="s">
        <v>193</v>
      </c>
      <c r="G3923" t="s">
        <v>15488</v>
      </c>
      <c r="H3923" t="s">
        <v>15489</v>
      </c>
    </row>
    <row r="3924" spans="1:8">
      <c r="A3924" t="s">
        <v>241</v>
      </c>
      <c r="B3924" t="s">
        <v>193</v>
      </c>
      <c r="C3924">
        <v>85</v>
      </c>
      <c r="D3924" t="s">
        <v>15490</v>
      </c>
      <c r="F3924" t="s">
        <v>193</v>
      </c>
      <c r="H3924" t="s">
        <v>15491</v>
      </c>
    </row>
    <row r="3925" spans="1:8">
      <c r="A3925" t="s">
        <v>241</v>
      </c>
      <c r="B3925" t="s">
        <v>193</v>
      </c>
      <c r="C3925">
        <v>85</v>
      </c>
      <c r="D3925" t="s">
        <v>15492</v>
      </c>
      <c r="E3925" t="s">
        <v>15493</v>
      </c>
      <c r="F3925" t="s">
        <v>193</v>
      </c>
    </row>
    <row r="3926" spans="1:8">
      <c r="A3926" t="s">
        <v>241</v>
      </c>
      <c r="B3926" t="s">
        <v>193</v>
      </c>
      <c r="C3926">
        <v>85</v>
      </c>
      <c r="D3926" t="s">
        <v>15494</v>
      </c>
      <c r="E3926" t="s">
        <v>15493</v>
      </c>
      <c r="F3926" t="s">
        <v>193</v>
      </c>
    </row>
    <row r="3927" spans="1:8">
      <c r="A3927" t="s">
        <v>241</v>
      </c>
      <c r="B3927" t="s">
        <v>193</v>
      </c>
      <c r="C3927">
        <v>85</v>
      </c>
      <c r="D3927" t="s">
        <v>15495</v>
      </c>
      <c r="E3927" t="s">
        <v>15496</v>
      </c>
      <c r="F3927" t="s">
        <v>193</v>
      </c>
      <c r="G3927" t="s">
        <v>15497</v>
      </c>
      <c r="H3927" t="s">
        <v>15491</v>
      </c>
    </row>
    <row r="3928" spans="1:8">
      <c r="A3928" t="s">
        <v>243</v>
      </c>
      <c r="B3928" t="s">
        <v>193</v>
      </c>
      <c r="C3928">
        <v>85</v>
      </c>
      <c r="D3928" t="s">
        <v>15498</v>
      </c>
      <c r="E3928" t="s">
        <v>15499</v>
      </c>
      <c r="H3928" t="s">
        <v>15500</v>
      </c>
    </row>
    <row r="3929" spans="1:8">
      <c r="A3929" t="s">
        <v>242</v>
      </c>
      <c r="B3929" t="s">
        <v>193</v>
      </c>
      <c r="C3929">
        <v>85</v>
      </c>
      <c r="D3929" t="s">
        <v>15501</v>
      </c>
      <c r="E3929" t="s">
        <v>15502</v>
      </c>
      <c r="F3929" t="s">
        <v>193</v>
      </c>
      <c r="G3929" t="s">
        <v>15503</v>
      </c>
      <c r="H3929" t="s">
        <v>15504</v>
      </c>
    </row>
    <row r="3930" spans="1:8">
      <c r="A3930" t="s">
        <v>243</v>
      </c>
      <c r="B3930" t="s">
        <v>193</v>
      </c>
      <c r="C3930">
        <v>85</v>
      </c>
      <c r="D3930" t="s">
        <v>15505</v>
      </c>
      <c r="E3930" t="s">
        <v>15506</v>
      </c>
      <c r="H3930" t="s">
        <v>15507</v>
      </c>
    </row>
    <row r="3931" spans="1:8">
      <c r="A3931" t="s">
        <v>241</v>
      </c>
      <c r="B3931" t="s">
        <v>193</v>
      </c>
      <c r="C3931">
        <v>85</v>
      </c>
      <c r="D3931" t="s">
        <v>15508</v>
      </c>
      <c r="E3931" t="s">
        <v>15509</v>
      </c>
      <c r="G3931" t="s">
        <v>15510</v>
      </c>
      <c r="H3931" t="s">
        <v>15511</v>
      </c>
    </row>
    <row r="3932" spans="1:8">
      <c r="A3932" t="s">
        <v>241</v>
      </c>
      <c r="B3932" t="s">
        <v>193</v>
      </c>
      <c r="C3932">
        <v>85</v>
      </c>
      <c r="D3932" t="s">
        <v>15512</v>
      </c>
      <c r="E3932" t="s">
        <v>15513</v>
      </c>
      <c r="G3932" t="s">
        <v>15514</v>
      </c>
      <c r="H3932" t="s">
        <v>15515</v>
      </c>
    </row>
    <row r="3933" spans="1:8">
      <c r="A3933" t="s">
        <v>241</v>
      </c>
      <c r="B3933" t="s">
        <v>193</v>
      </c>
      <c r="C3933">
        <v>85</v>
      </c>
      <c r="D3933" t="s">
        <v>15516</v>
      </c>
      <c r="E3933" t="s">
        <v>15517</v>
      </c>
      <c r="G3933" t="s">
        <v>15518</v>
      </c>
      <c r="H3933" t="s">
        <v>15519</v>
      </c>
    </row>
    <row r="3934" spans="1:8">
      <c r="A3934" t="s">
        <v>241</v>
      </c>
      <c r="B3934" t="s">
        <v>193</v>
      </c>
      <c r="C3934">
        <v>85</v>
      </c>
      <c r="D3934" t="s">
        <v>15520</v>
      </c>
      <c r="E3934" t="s">
        <v>15521</v>
      </c>
      <c r="F3934" t="s">
        <v>167</v>
      </c>
      <c r="G3934" t="s">
        <v>15522</v>
      </c>
      <c r="H3934" t="s">
        <v>15523</v>
      </c>
    </row>
    <row r="3935" spans="1:8">
      <c r="A3935" t="s">
        <v>245</v>
      </c>
      <c r="B3935" t="s">
        <v>193</v>
      </c>
      <c r="C3935">
        <v>85</v>
      </c>
      <c r="D3935" t="s">
        <v>3102</v>
      </c>
      <c r="E3935" t="s">
        <v>15524</v>
      </c>
      <c r="F3935" t="s">
        <v>193</v>
      </c>
      <c r="G3935" t="s">
        <v>15525</v>
      </c>
      <c r="H3935" t="s">
        <v>15526</v>
      </c>
    </row>
    <row r="3936" spans="1:8">
      <c r="A3936" t="s">
        <v>241</v>
      </c>
      <c r="B3936" t="s">
        <v>193</v>
      </c>
      <c r="C3936">
        <v>85</v>
      </c>
      <c r="D3936" t="s">
        <v>15527</v>
      </c>
      <c r="E3936" t="s">
        <v>15528</v>
      </c>
      <c r="H3936" t="s">
        <v>15529</v>
      </c>
    </row>
    <row r="3937" spans="1:8">
      <c r="A3937" t="s">
        <v>243</v>
      </c>
      <c r="B3937" t="s">
        <v>193</v>
      </c>
      <c r="C3937">
        <v>85</v>
      </c>
      <c r="D3937" t="s">
        <v>15530</v>
      </c>
      <c r="E3937" t="s">
        <v>15531</v>
      </c>
      <c r="H3937" t="s">
        <v>15532</v>
      </c>
    </row>
    <row r="3938" spans="1:8">
      <c r="A3938" t="s">
        <v>241</v>
      </c>
      <c r="B3938" t="s">
        <v>165</v>
      </c>
      <c r="C3938">
        <v>86</v>
      </c>
      <c r="D3938" t="s">
        <v>829</v>
      </c>
      <c r="E3938" t="s">
        <v>1400</v>
      </c>
      <c r="G3938" t="s">
        <v>1401</v>
      </c>
      <c r="H3938" t="s">
        <v>1402</v>
      </c>
    </row>
    <row r="3939" spans="1:8">
      <c r="A3939" t="s">
        <v>242</v>
      </c>
      <c r="B3939" t="s">
        <v>165</v>
      </c>
      <c r="C3939">
        <v>86</v>
      </c>
      <c r="D3939" t="s">
        <v>1403</v>
      </c>
      <c r="E3939" t="s">
        <v>1404</v>
      </c>
      <c r="F3939" t="s">
        <v>165</v>
      </c>
      <c r="G3939" t="s">
        <v>1405</v>
      </c>
      <c r="H3939" t="s">
        <v>1406</v>
      </c>
    </row>
    <row r="3940" spans="1:8">
      <c r="A3940" t="s">
        <v>242</v>
      </c>
      <c r="B3940" t="s">
        <v>165</v>
      </c>
      <c r="C3940">
        <v>86</v>
      </c>
      <c r="D3940" t="s">
        <v>1407</v>
      </c>
      <c r="E3940" t="s">
        <v>1408</v>
      </c>
      <c r="F3940" t="s">
        <v>165</v>
      </c>
      <c r="H3940" t="s">
        <v>1409</v>
      </c>
    </row>
    <row r="3941" spans="1:8">
      <c r="A3941" t="s">
        <v>242</v>
      </c>
      <c r="B3941" t="s">
        <v>165</v>
      </c>
      <c r="C3941">
        <v>86</v>
      </c>
      <c r="D3941" t="s">
        <v>1410</v>
      </c>
      <c r="E3941" t="s">
        <v>1411</v>
      </c>
      <c r="F3941" t="s">
        <v>165</v>
      </c>
      <c r="H3941" t="s">
        <v>1412</v>
      </c>
    </row>
    <row r="3942" spans="1:8">
      <c r="A3942" t="s">
        <v>241</v>
      </c>
      <c r="B3942" t="s">
        <v>41</v>
      </c>
      <c r="C3942">
        <v>86</v>
      </c>
      <c r="D3942" t="s">
        <v>12296</v>
      </c>
      <c r="E3942" t="s">
        <v>12297</v>
      </c>
      <c r="F3942" t="s">
        <v>41</v>
      </c>
      <c r="G3942" t="s">
        <v>12298</v>
      </c>
      <c r="H3942" t="s">
        <v>12299</v>
      </c>
    </row>
    <row r="3943" spans="1:8">
      <c r="A3943" t="s">
        <v>242</v>
      </c>
      <c r="B3943" t="s">
        <v>41</v>
      </c>
      <c r="C3943">
        <v>86</v>
      </c>
      <c r="D3943" t="s">
        <v>12300</v>
      </c>
      <c r="E3943" t="s">
        <v>12301</v>
      </c>
      <c r="F3943" t="s">
        <v>41</v>
      </c>
      <c r="G3943" t="s">
        <v>12302</v>
      </c>
      <c r="H3943" t="s">
        <v>12303</v>
      </c>
    </row>
    <row r="3944" spans="1:8">
      <c r="A3944" t="s">
        <v>241</v>
      </c>
      <c r="B3944" t="s">
        <v>41</v>
      </c>
      <c r="C3944">
        <v>86</v>
      </c>
      <c r="D3944" t="s">
        <v>12304</v>
      </c>
      <c r="E3944" t="s">
        <v>12305</v>
      </c>
      <c r="H3944" t="s">
        <v>12306</v>
      </c>
    </row>
    <row r="3945" spans="1:8">
      <c r="A3945" t="s">
        <v>241</v>
      </c>
      <c r="B3945" t="s">
        <v>41</v>
      </c>
      <c r="C3945">
        <v>86</v>
      </c>
      <c r="D3945" t="s">
        <v>12307</v>
      </c>
      <c r="E3945" t="s">
        <v>12308</v>
      </c>
      <c r="F3945" t="s">
        <v>41</v>
      </c>
      <c r="G3945" t="s">
        <v>12309</v>
      </c>
      <c r="H3945" t="s">
        <v>12310</v>
      </c>
    </row>
    <row r="3946" spans="1:8">
      <c r="A3946" t="s">
        <v>241</v>
      </c>
      <c r="B3946" t="s">
        <v>41</v>
      </c>
      <c r="C3946">
        <v>86</v>
      </c>
      <c r="D3946" t="s">
        <v>12311</v>
      </c>
      <c r="E3946" t="s">
        <v>12312</v>
      </c>
      <c r="F3946" t="s">
        <v>41</v>
      </c>
      <c r="H3946" t="s">
        <v>12313</v>
      </c>
    </row>
    <row r="3947" spans="1:8">
      <c r="A3947" t="s">
        <v>241</v>
      </c>
      <c r="B3947" t="s">
        <v>41</v>
      </c>
      <c r="C3947">
        <v>86</v>
      </c>
      <c r="D3947" t="s">
        <v>12314</v>
      </c>
      <c r="E3947" t="s">
        <v>12315</v>
      </c>
      <c r="F3947" t="s">
        <v>41</v>
      </c>
      <c r="H3947" t="s">
        <v>12316</v>
      </c>
    </row>
    <row r="3948" spans="1:8">
      <c r="A3948" t="s">
        <v>238</v>
      </c>
      <c r="B3948" t="s">
        <v>41</v>
      </c>
      <c r="C3948">
        <v>86</v>
      </c>
      <c r="D3948" t="s">
        <v>12317</v>
      </c>
      <c r="E3948" t="s">
        <v>12318</v>
      </c>
      <c r="F3948" t="s">
        <v>41</v>
      </c>
      <c r="G3948" t="s">
        <v>12319</v>
      </c>
      <c r="H3948" t="s">
        <v>12320</v>
      </c>
    </row>
    <row r="3949" spans="1:8">
      <c r="A3949" t="s">
        <v>240</v>
      </c>
      <c r="B3949" t="s">
        <v>41</v>
      </c>
      <c r="C3949">
        <v>86</v>
      </c>
      <c r="D3949" t="s">
        <v>5456</v>
      </c>
      <c r="E3949" t="s">
        <v>12321</v>
      </c>
      <c r="F3949" t="s">
        <v>41</v>
      </c>
      <c r="G3949" t="s">
        <v>12322</v>
      </c>
      <c r="H3949" t="s">
        <v>12323</v>
      </c>
    </row>
    <row r="3950" spans="1:8">
      <c r="A3950" t="s">
        <v>250</v>
      </c>
      <c r="B3950" t="s">
        <v>41</v>
      </c>
      <c r="C3950">
        <v>86</v>
      </c>
      <c r="D3950" t="s">
        <v>12324</v>
      </c>
      <c r="E3950" t="s">
        <v>12325</v>
      </c>
      <c r="F3950" t="s">
        <v>41</v>
      </c>
    </row>
    <row r="3951" spans="1:8">
      <c r="A3951" t="s">
        <v>250</v>
      </c>
      <c r="B3951" t="s">
        <v>41</v>
      </c>
      <c r="C3951">
        <v>86</v>
      </c>
      <c r="D3951" t="s">
        <v>12326</v>
      </c>
      <c r="E3951" t="s">
        <v>12327</v>
      </c>
      <c r="F3951" t="s">
        <v>41</v>
      </c>
    </row>
    <row r="3952" spans="1:8">
      <c r="A3952" t="s">
        <v>250</v>
      </c>
      <c r="B3952" t="s">
        <v>41</v>
      </c>
      <c r="C3952">
        <v>86</v>
      </c>
      <c r="D3952" t="s">
        <v>12328</v>
      </c>
      <c r="E3952" t="s">
        <v>12329</v>
      </c>
      <c r="F3952" t="s">
        <v>41</v>
      </c>
      <c r="H3952" t="s">
        <v>12330</v>
      </c>
    </row>
    <row r="3953" spans="1:8">
      <c r="A3953" t="s">
        <v>242</v>
      </c>
      <c r="B3953" t="s">
        <v>41</v>
      </c>
      <c r="C3953">
        <v>86</v>
      </c>
      <c r="D3953" t="s">
        <v>12331</v>
      </c>
      <c r="E3953" t="s">
        <v>12332</v>
      </c>
      <c r="F3953" t="s">
        <v>12333</v>
      </c>
      <c r="G3953" t="s">
        <v>12334</v>
      </c>
      <c r="H3953" t="s">
        <v>12335</v>
      </c>
    </row>
    <row r="3954" spans="1:8">
      <c r="A3954" t="s">
        <v>243</v>
      </c>
      <c r="B3954" t="s">
        <v>41</v>
      </c>
      <c r="C3954">
        <v>86</v>
      </c>
      <c r="D3954" t="s">
        <v>12336</v>
      </c>
      <c r="E3954" t="s">
        <v>12337</v>
      </c>
      <c r="H3954" t="s">
        <v>12338</v>
      </c>
    </row>
    <row r="3955" spans="1:8">
      <c r="A3955" t="s">
        <v>241</v>
      </c>
      <c r="B3955" t="s">
        <v>41</v>
      </c>
      <c r="C3955">
        <v>86</v>
      </c>
      <c r="D3955" t="s">
        <v>12339</v>
      </c>
      <c r="E3955" t="s">
        <v>12340</v>
      </c>
      <c r="F3955" t="s">
        <v>12341</v>
      </c>
      <c r="G3955" t="s">
        <v>12342</v>
      </c>
      <c r="H3955" t="s">
        <v>12343</v>
      </c>
    </row>
    <row r="3956" spans="1:8">
      <c r="A3956" t="s">
        <v>241</v>
      </c>
      <c r="B3956" t="s">
        <v>41</v>
      </c>
      <c r="C3956">
        <v>86</v>
      </c>
      <c r="D3956" t="s">
        <v>12344</v>
      </c>
      <c r="E3956" t="s">
        <v>12345</v>
      </c>
      <c r="G3956" t="s">
        <v>12346</v>
      </c>
      <c r="H3956" t="s">
        <v>12347</v>
      </c>
    </row>
    <row r="3957" spans="1:8">
      <c r="A3957" t="s">
        <v>240</v>
      </c>
      <c r="B3957" t="s">
        <v>41</v>
      </c>
      <c r="C3957">
        <v>86</v>
      </c>
      <c r="D3957" t="s">
        <v>12348</v>
      </c>
      <c r="E3957" t="s">
        <v>12349</v>
      </c>
      <c r="F3957" t="s">
        <v>41</v>
      </c>
      <c r="G3957" t="s">
        <v>12350</v>
      </c>
      <c r="H3957" t="s">
        <v>12351</v>
      </c>
    </row>
    <row r="3958" spans="1:8">
      <c r="A3958" t="s">
        <v>241</v>
      </c>
      <c r="B3958" t="s">
        <v>41</v>
      </c>
      <c r="C3958">
        <v>86</v>
      </c>
      <c r="D3958" t="s">
        <v>12352</v>
      </c>
      <c r="E3958" t="s">
        <v>12353</v>
      </c>
      <c r="F3958" t="s">
        <v>41</v>
      </c>
      <c r="G3958" t="s">
        <v>12354</v>
      </c>
      <c r="H3958" t="s">
        <v>12355</v>
      </c>
    </row>
    <row r="3959" spans="1:8">
      <c r="A3959" t="s">
        <v>241</v>
      </c>
      <c r="B3959" t="s">
        <v>41</v>
      </c>
      <c r="C3959">
        <v>86</v>
      </c>
      <c r="D3959" t="s">
        <v>12356</v>
      </c>
      <c r="E3959" t="s">
        <v>12357</v>
      </c>
      <c r="F3959" t="s">
        <v>41</v>
      </c>
    </row>
    <row r="3960" spans="1:8">
      <c r="A3960" t="s">
        <v>250</v>
      </c>
      <c r="B3960" t="s">
        <v>41</v>
      </c>
      <c r="C3960">
        <v>86</v>
      </c>
      <c r="D3960" t="s">
        <v>12358</v>
      </c>
      <c r="E3960" t="s">
        <v>12359</v>
      </c>
      <c r="F3960" t="s">
        <v>12360</v>
      </c>
    </row>
    <row r="3961" spans="1:8">
      <c r="A3961" t="s">
        <v>241</v>
      </c>
      <c r="B3961" t="s">
        <v>41</v>
      </c>
      <c r="C3961">
        <v>86</v>
      </c>
      <c r="D3961" t="s">
        <v>12361</v>
      </c>
      <c r="E3961" t="s">
        <v>12362</v>
      </c>
      <c r="F3961" t="s">
        <v>41</v>
      </c>
      <c r="G3961" t="s">
        <v>12363</v>
      </c>
      <c r="H3961" t="s">
        <v>12364</v>
      </c>
    </row>
    <row r="3962" spans="1:8">
      <c r="A3962" t="s">
        <v>250</v>
      </c>
      <c r="B3962" t="s">
        <v>41</v>
      </c>
      <c r="C3962">
        <v>86</v>
      </c>
      <c r="D3962" t="s">
        <v>12365</v>
      </c>
      <c r="E3962" t="s">
        <v>12366</v>
      </c>
      <c r="F3962" t="s">
        <v>41</v>
      </c>
    </row>
    <row r="3963" spans="1:8">
      <c r="A3963" t="s">
        <v>250</v>
      </c>
      <c r="B3963" t="s">
        <v>41</v>
      </c>
      <c r="C3963">
        <v>86</v>
      </c>
      <c r="D3963" t="s">
        <v>12367</v>
      </c>
      <c r="E3963" t="s">
        <v>12368</v>
      </c>
      <c r="F3963" t="s">
        <v>41</v>
      </c>
      <c r="H3963" t="s">
        <v>12369</v>
      </c>
    </row>
    <row r="3964" spans="1:8">
      <c r="A3964" t="s">
        <v>250</v>
      </c>
      <c r="B3964" t="s">
        <v>41</v>
      </c>
      <c r="C3964">
        <v>86</v>
      </c>
      <c r="D3964" t="s">
        <v>12370</v>
      </c>
      <c r="E3964" t="s">
        <v>12371</v>
      </c>
      <c r="F3964" t="s">
        <v>41</v>
      </c>
    </row>
    <row r="3965" spans="1:8">
      <c r="A3965" t="s">
        <v>250</v>
      </c>
      <c r="B3965" t="s">
        <v>41</v>
      </c>
      <c r="C3965">
        <v>86</v>
      </c>
      <c r="D3965" t="s">
        <v>12372</v>
      </c>
    </row>
    <row r="3966" spans="1:8">
      <c r="A3966" t="s">
        <v>250</v>
      </c>
      <c r="B3966" t="s">
        <v>41</v>
      </c>
      <c r="C3966">
        <v>86</v>
      </c>
      <c r="D3966" t="s">
        <v>12373</v>
      </c>
      <c r="E3966" t="s">
        <v>12374</v>
      </c>
      <c r="F3966" t="s">
        <v>41</v>
      </c>
    </row>
    <row r="3967" spans="1:8">
      <c r="A3967" t="s">
        <v>250</v>
      </c>
      <c r="B3967" t="s">
        <v>41</v>
      </c>
      <c r="C3967">
        <v>86</v>
      </c>
      <c r="D3967" t="s">
        <v>12375</v>
      </c>
      <c r="E3967" t="s">
        <v>12376</v>
      </c>
      <c r="F3967" t="s">
        <v>12377</v>
      </c>
      <c r="H3967" t="s">
        <v>12378</v>
      </c>
    </row>
    <row r="3968" spans="1:8">
      <c r="A3968" t="s">
        <v>250</v>
      </c>
      <c r="B3968" t="s">
        <v>41</v>
      </c>
      <c r="C3968">
        <v>86</v>
      </c>
      <c r="D3968" t="s">
        <v>12379</v>
      </c>
      <c r="E3968" t="s">
        <v>12380</v>
      </c>
      <c r="F3968" t="s">
        <v>12377</v>
      </c>
    </row>
    <row r="3969" spans="1:8">
      <c r="A3969" t="s">
        <v>241</v>
      </c>
      <c r="B3969" t="s">
        <v>41</v>
      </c>
      <c r="C3969">
        <v>86</v>
      </c>
      <c r="D3969" t="s">
        <v>9748</v>
      </c>
      <c r="E3969" t="s">
        <v>12381</v>
      </c>
      <c r="F3969" t="s">
        <v>41</v>
      </c>
      <c r="G3969" t="s">
        <v>12382</v>
      </c>
      <c r="H3969" t="s">
        <v>12383</v>
      </c>
    </row>
    <row r="3970" spans="1:8">
      <c r="A3970" t="s">
        <v>250</v>
      </c>
      <c r="B3970" t="s">
        <v>41</v>
      </c>
      <c r="C3970">
        <v>86</v>
      </c>
      <c r="D3970" t="s">
        <v>12384</v>
      </c>
      <c r="E3970" t="s">
        <v>12385</v>
      </c>
      <c r="F3970" t="s">
        <v>41</v>
      </c>
      <c r="H3970" t="s">
        <v>12386</v>
      </c>
    </row>
    <row r="3971" spans="1:8">
      <c r="A3971" t="s">
        <v>250</v>
      </c>
      <c r="B3971" t="s">
        <v>41</v>
      </c>
      <c r="C3971">
        <v>86</v>
      </c>
      <c r="D3971" t="s">
        <v>12387</v>
      </c>
      <c r="E3971" t="s">
        <v>12388</v>
      </c>
      <c r="F3971" t="s">
        <v>41</v>
      </c>
    </row>
    <row r="3972" spans="1:8">
      <c r="A3972" t="s">
        <v>250</v>
      </c>
      <c r="B3972" t="s">
        <v>41</v>
      </c>
      <c r="C3972">
        <v>86</v>
      </c>
      <c r="D3972" t="s">
        <v>12389</v>
      </c>
      <c r="E3972" t="s">
        <v>12390</v>
      </c>
      <c r="F3972" t="s">
        <v>41</v>
      </c>
    </row>
    <row r="3973" spans="1:8">
      <c r="A3973" t="s">
        <v>250</v>
      </c>
      <c r="B3973" t="s">
        <v>41</v>
      </c>
      <c r="C3973">
        <v>86</v>
      </c>
      <c r="D3973" t="s">
        <v>12391</v>
      </c>
      <c r="E3973" t="s">
        <v>12392</v>
      </c>
      <c r="F3973" t="s">
        <v>41</v>
      </c>
    </row>
    <row r="3974" spans="1:8">
      <c r="A3974" t="s">
        <v>250</v>
      </c>
      <c r="B3974" t="s">
        <v>41</v>
      </c>
      <c r="C3974">
        <v>86</v>
      </c>
      <c r="D3974" t="s">
        <v>12393</v>
      </c>
      <c r="E3974" t="s">
        <v>12394</v>
      </c>
      <c r="F3974" t="s">
        <v>41</v>
      </c>
    </row>
    <row r="3975" spans="1:8">
      <c r="A3975" t="s">
        <v>250</v>
      </c>
      <c r="B3975" t="s">
        <v>41</v>
      </c>
      <c r="C3975">
        <v>86</v>
      </c>
      <c r="D3975" t="s">
        <v>12395</v>
      </c>
      <c r="E3975" t="s">
        <v>12396</v>
      </c>
      <c r="F3975" t="s">
        <v>41</v>
      </c>
    </row>
    <row r="3976" spans="1:8">
      <c r="A3976" t="s">
        <v>241</v>
      </c>
      <c r="B3976" t="s">
        <v>41</v>
      </c>
      <c r="C3976">
        <v>86</v>
      </c>
      <c r="D3976" t="s">
        <v>12397</v>
      </c>
      <c r="E3976" t="s">
        <v>12398</v>
      </c>
      <c r="F3976" t="s">
        <v>41</v>
      </c>
      <c r="G3976" t="s">
        <v>12399</v>
      </c>
      <c r="H3976" t="s">
        <v>12400</v>
      </c>
    </row>
    <row r="3977" spans="1:8">
      <c r="A3977" t="s">
        <v>240</v>
      </c>
      <c r="B3977" t="s">
        <v>41</v>
      </c>
      <c r="C3977">
        <v>86</v>
      </c>
      <c r="D3977" t="s">
        <v>12401</v>
      </c>
      <c r="E3977" t="s">
        <v>12402</v>
      </c>
      <c r="F3977" t="s">
        <v>41</v>
      </c>
      <c r="G3977" t="s">
        <v>12403</v>
      </c>
      <c r="H3977" t="s">
        <v>12404</v>
      </c>
    </row>
    <row r="3978" spans="1:8">
      <c r="A3978" t="s">
        <v>250</v>
      </c>
      <c r="B3978" t="s">
        <v>41</v>
      </c>
      <c r="C3978">
        <v>86</v>
      </c>
      <c r="D3978" t="s">
        <v>12405</v>
      </c>
      <c r="E3978" t="s">
        <v>12406</v>
      </c>
      <c r="F3978" t="s">
        <v>41</v>
      </c>
    </row>
    <row r="3979" spans="1:8">
      <c r="A3979" t="s">
        <v>241</v>
      </c>
      <c r="B3979" t="s">
        <v>41</v>
      </c>
      <c r="C3979">
        <v>86</v>
      </c>
      <c r="D3979" t="s">
        <v>12407</v>
      </c>
      <c r="E3979" t="s">
        <v>12408</v>
      </c>
      <c r="G3979" t="s">
        <v>12409</v>
      </c>
      <c r="H3979" t="s">
        <v>12410</v>
      </c>
    </row>
    <row r="3980" spans="1:8">
      <c r="A3980" t="s">
        <v>241</v>
      </c>
      <c r="B3980" t="s">
        <v>41</v>
      </c>
      <c r="C3980">
        <v>86</v>
      </c>
      <c r="D3980" t="s">
        <v>12411</v>
      </c>
      <c r="E3980" t="s">
        <v>12412</v>
      </c>
      <c r="G3980" t="s">
        <v>12413</v>
      </c>
      <c r="H3980" t="s">
        <v>12414</v>
      </c>
    </row>
    <row r="3981" spans="1:8">
      <c r="A3981" t="s">
        <v>243</v>
      </c>
      <c r="B3981" t="s">
        <v>41</v>
      </c>
      <c r="C3981">
        <v>86</v>
      </c>
      <c r="D3981" t="s">
        <v>11678</v>
      </c>
      <c r="E3981" t="s">
        <v>12415</v>
      </c>
      <c r="F3981" t="s">
        <v>41</v>
      </c>
      <c r="H3981" t="s">
        <v>12416</v>
      </c>
    </row>
    <row r="3982" spans="1:8">
      <c r="A3982" t="s">
        <v>241</v>
      </c>
      <c r="B3982" t="s">
        <v>41</v>
      </c>
      <c r="C3982">
        <v>86</v>
      </c>
      <c r="D3982" t="s">
        <v>12417</v>
      </c>
      <c r="E3982" t="s">
        <v>12418</v>
      </c>
      <c r="F3982" t="s">
        <v>41</v>
      </c>
      <c r="G3982" t="s">
        <v>12419</v>
      </c>
      <c r="H3982" t="s">
        <v>12420</v>
      </c>
    </row>
    <row r="3983" spans="1:8">
      <c r="A3983" t="s">
        <v>242</v>
      </c>
      <c r="B3983" t="s">
        <v>41</v>
      </c>
      <c r="C3983">
        <v>86</v>
      </c>
      <c r="D3983" t="s">
        <v>12421</v>
      </c>
      <c r="E3983" t="s">
        <v>12422</v>
      </c>
      <c r="F3983" t="s">
        <v>41</v>
      </c>
      <c r="G3983" t="s">
        <v>12423</v>
      </c>
      <c r="H3983" t="s">
        <v>12424</v>
      </c>
    </row>
    <row r="3984" spans="1:8">
      <c r="A3984" t="s">
        <v>242</v>
      </c>
      <c r="B3984" t="s">
        <v>41</v>
      </c>
      <c r="C3984">
        <v>86</v>
      </c>
      <c r="D3984" t="s">
        <v>12425</v>
      </c>
      <c r="E3984" t="s">
        <v>12426</v>
      </c>
      <c r="F3984" t="s">
        <v>41</v>
      </c>
      <c r="G3984" t="s">
        <v>12427</v>
      </c>
      <c r="H3984" t="s">
        <v>12428</v>
      </c>
    </row>
    <row r="3985" spans="1:8">
      <c r="A3985" t="s">
        <v>250</v>
      </c>
      <c r="B3985" t="s">
        <v>41</v>
      </c>
      <c r="C3985">
        <v>86</v>
      </c>
      <c r="D3985" t="s">
        <v>12429</v>
      </c>
      <c r="E3985" t="s">
        <v>12430</v>
      </c>
      <c r="F3985" t="s">
        <v>12431</v>
      </c>
    </row>
    <row r="3986" spans="1:8">
      <c r="A3986" t="s">
        <v>250</v>
      </c>
      <c r="B3986" t="s">
        <v>41</v>
      </c>
      <c r="C3986">
        <v>86</v>
      </c>
      <c r="D3986" t="s">
        <v>12432</v>
      </c>
      <c r="E3986" t="s">
        <v>12380</v>
      </c>
      <c r="F3986" t="s">
        <v>12433</v>
      </c>
    </row>
    <row r="3987" spans="1:8">
      <c r="A3987" t="s">
        <v>250</v>
      </c>
      <c r="B3987" t="s">
        <v>41</v>
      </c>
      <c r="C3987">
        <v>86</v>
      </c>
      <c r="D3987" t="s">
        <v>12434</v>
      </c>
      <c r="E3987" t="s">
        <v>12435</v>
      </c>
      <c r="F3987" t="s">
        <v>41</v>
      </c>
      <c r="H3987" t="s">
        <v>12436</v>
      </c>
    </row>
    <row r="3988" spans="1:8">
      <c r="A3988" t="s">
        <v>250</v>
      </c>
      <c r="B3988" t="s">
        <v>41</v>
      </c>
      <c r="C3988">
        <v>86</v>
      </c>
      <c r="D3988" t="s">
        <v>12437</v>
      </c>
      <c r="E3988" t="s">
        <v>12380</v>
      </c>
      <c r="F3988" t="s">
        <v>41</v>
      </c>
      <c r="H3988" t="s">
        <v>12378</v>
      </c>
    </row>
    <row r="3989" spans="1:8">
      <c r="A3989" t="s">
        <v>250</v>
      </c>
      <c r="B3989" t="s">
        <v>41</v>
      </c>
      <c r="C3989">
        <v>86</v>
      </c>
      <c r="D3989" t="s">
        <v>12438</v>
      </c>
      <c r="E3989" t="s">
        <v>12430</v>
      </c>
      <c r="F3989" t="s">
        <v>12439</v>
      </c>
    </row>
    <row r="3990" spans="1:8">
      <c r="A3990" t="s">
        <v>250</v>
      </c>
      <c r="B3990" t="s">
        <v>41</v>
      </c>
      <c r="C3990">
        <v>86</v>
      </c>
      <c r="D3990" t="s">
        <v>12440</v>
      </c>
      <c r="E3990" t="s">
        <v>12380</v>
      </c>
      <c r="F3990" t="s">
        <v>41</v>
      </c>
      <c r="G3990" t="s">
        <v>12441</v>
      </c>
    </row>
    <row r="3991" spans="1:8">
      <c r="A3991" t="s">
        <v>250</v>
      </c>
      <c r="B3991" t="s">
        <v>41</v>
      </c>
      <c r="C3991">
        <v>86</v>
      </c>
      <c r="D3991" t="s">
        <v>12442</v>
      </c>
      <c r="E3991" t="s">
        <v>12380</v>
      </c>
      <c r="F3991" t="s">
        <v>12443</v>
      </c>
    </row>
    <row r="3992" spans="1:8">
      <c r="A3992" t="s">
        <v>250</v>
      </c>
      <c r="B3992" t="s">
        <v>41</v>
      </c>
      <c r="C3992">
        <v>86</v>
      </c>
      <c r="D3992" t="s">
        <v>12444</v>
      </c>
      <c r="E3992" t="s">
        <v>12445</v>
      </c>
      <c r="F3992" t="s">
        <v>41</v>
      </c>
      <c r="G3992" t="s">
        <v>12446</v>
      </c>
      <c r="H3992" t="s">
        <v>12447</v>
      </c>
    </row>
    <row r="3993" spans="1:8">
      <c r="A3993" t="s">
        <v>240</v>
      </c>
      <c r="B3993" t="s">
        <v>41</v>
      </c>
      <c r="C3993">
        <v>86</v>
      </c>
      <c r="D3993" t="s">
        <v>12448</v>
      </c>
      <c r="E3993" t="s">
        <v>12449</v>
      </c>
      <c r="F3993" t="s">
        <v>41</v>
      </c>
      <c r="H3993" t="s">
        <v>12450</v>
      </c>
    </row>
    <row r="3994" spans="1:8">
      <c r="A3994" t="s">
        <v>250</v>
      </c>
      <c r="B3994" t="s">
        <v>41</v>
      </c>
      <c r="C3994">
        <v>86</v>
      </c>
      <c r="D3994" t="s">
        <v>12451</v>
      </c>
      <c r="E3994" t="s">
        <v>12380</v>
      </c>
      <c r="F3994" t="s">
        <v>12452</v>
      </c>
      <c r="G3994" t="s">
        <v>12453</v>
      </c>
    </row>
    <row r="3995" spans="1:8">
      <c r="A3995" t="s">
        <v>250</v>
      </c>
      <c r="B3995" t="s">
        <v>41</v>
      </c>
      <c r="C3995">
        <v>86</v>
      </c>
      <c r="D3995" t="s">
        <v>12454</v>
      </c>
      <c r="E3995" t="s">
        <v>12388</v>
      </c>
      <c r="F3995" t="s">
        <v>12377</v>
      </c>
    </row>
    <row r="3996" spans="1:8">
      <c r="A3996" t="s">
        <v>250</v>
      </c>
      <c r="B3996" t="s">
        <v>41</v>
      </c>
      <c r="C3996">
        <v>86</v>
      </c>
      <c r="D3996" t="s">
        <v>12455</v>
      </c>
      <c r="E3996" t="s">
        <v>12380</v>
      </c>
      <c r="F3996" t="s">
        <v>12377</v>
      </c>
    </row>
    <row r="3997" spans="1:8">
      <c r="A3997" t="s">
        <v>250</v>
      </c>
      <c r="B3997" t="s">
        <v>41</v>
      </c>
      <c r="C3997">
        <v>86</v>
      </c>
      <c r="D3997" t="s">
        <v>12456</v>
      </c>
      <c r="E3997" t="s">
        <v>12457</v>
      </c>
      <c r="F3997" t="s">
        <v>12377</v>
      </c>
    </row>
    <row r="3998" spans="1:8">
      <c r="A3998" t="s">
        <v>250</v>
      </c>
      <c r="B3998" t="s">
        <v>41</v>
      </c>
      <c r="C3998">
        <v>86</v>
      </c>
      <c r="D3998" t="s">
        <v>12458</v>
      </c>
      <c r="E3998" t="s">
        <v>12380</v>
      </c>
      <c r="F3998" t="s">
        <v>12360</v>
      </c>
    </row>
    <row r="3999" spans="1:8">
      <c r="A3999" t="s">
        <v>250</v>
      </c>
      <c r="B3999" t="s">
        <v>41</v>
      </c>
      <c r="C3999">
        <v>86</v>
      </c>
      <c r="D3999" t="s">
        <v>12459</v>
      </c>
      <c r="E3999" t="s">
        <v>12380</v>
      </c>
      <c r="F3999" t="s">
        <v>12443</v>
      </c>
    </row>
    <row r="4000" spans="1:8">
      <c r="A4000" t="s">
        <v>250</v>
      </c>
      <c r="B4000" t="s">
        <v>41</v>
      </c>
      <c r="C4000">
        <v>86</v>
      </c>
      <c r="D4000" t="s">
        <v>12460</v>
      </c>
      <c r="E4000" t="s">
        <v>12388</v>
      </c>
      <c r="F4000" t="s">
        <v>12377</v>
      </c>
    </row>
    <row r="4001" spans="1:8">
      <c r="A4001" t="s">
        <v>250</v>
      </c>
      <c r="B4001" t="s">
        <v>41</v>
      </c>
      <c r="C4001">
        <v>86</v>
      </c>
      <c r="D4001" t="s">
        <v>12461</v>
      </c>
      <c r="E4001" t="s">
        <v>12380</v>
      </c>
      <c r="F4001" t="s">
        <v>12443</v>
      </c>
    </row>
    <row r="4002" spans="1:8">
      <c r="A4002" t="s">
        <v>250</v>
      </c>
      <c r="B4002" t="s">
        <v>41</v>
      </c>
      <c r="C4002">
        <v>86</v>
      </c>
      <c r="D4002" t="s">
        <v>12462</v>
      </c>
      <c r="E4002" t="s">
        <v>12388</v>
      </c>
      <c r="F4002" t="s">
        <v>12377</v>
      </c>
      <c r="G4002" t="s">
        <v>12463</v>
      </c>
    </row>
    <row r="4003" spans="1:8">
      <c r="A4003" t="s">
        <v>250</v>
      </c>
      <c r="B4003" t="s">
        <v>41</v>
      </c>
      <c r="C4003">
        <v>86</v>
      </c>
      <c r="D4003" t="s">
        <v>12464</v>
      </c>
      <c r="E4003" t="s">
        <v>12380</v>
      </c>
      <c r="F4003" t="s">
        <v>12443</v>
      </c>
      <c r="G4003" t="s">
        <v>12465</v>
      </c>
    </row>
    <row r="4004" spans="1:8">
      <c r="A4004" t="s">
        <v>250</v>
      </c>
      <c r="B4004" t="s">
        <v>41</v>
      </c>
      <c r="C4004">
        <v>86</v>
      </c>
      <c r="D4004" t="s">
        <v>12466</v>
      </c>
      <c r="E4004" t="s">
        <v>12388</v>
      </c>
      <c r="F4004" t="s">
        <v>12377</v>
      </c>
    </row>
    <row r="4005" spans="1:8">
      <c r="A4005" t="s">
        <v>250</v>
      </c>
      <c r="B4005" t="s">
        <v>41</v>
      </c>
      <c r="C4005">
        <v>86</v>
      </c>
      <c r="D4005" t="s">
        <v>12467</v>
      </c>
      <c r="E4005" t="s">
        <v>12430</v>
      </c>
      <c r="F4005" t="s">
        <v>12431</v>
      </c>
    </row>
    <row r="4006" spans="1:8">
      <c r="A4006" t="s">
        <v>250</v>
      </c>
      <c r="B4006" t="s">
        <v>41</v>
      </c>
      <c r="C4006">
        <v>86</v>
      </c>
      <c r="D4006" t="s">
        <v>12468</v>
      </c>
      <c r="E4006" t="s">
        <v>12380</v>
      </c>
      <c r="F4006" t="s">
        <v>12452</v>
      </c>
      <c r="G4006" t="s">
        <v>12469</v>
      </c>
    </row>
    <row r="4007" spans="1:8">
      <c r="A4007" t="s">
        <v>240</v>
      </c>
      <c r="B4007" t="s">
        <v>41</v>
      </c>
      <c r="C4007">
        <v>86</v>
      </c>
      <c r="D4007" t="s">
        <v>12470</v>
      </c>
      <c r="E4007" t="s">
        <v>12471</v>
      </c>
      <c r="F4007" t="s">
        <v>41</v>
      </c>
      <c r="G4007" t="s">
        <v>12472</v>
      </c>
      <c r="H4007" t="s">
        <v>12473</v>
      </c>
    </row>
    <row r="4008" spans="1:8">
      <c r="A4008" t="s">
        <v>239</v>
      </c>
      <c r="B4008" t="s">
        <v>41</v>
      </c>
      <c r="C4008">
        <v>86</v>
      </c>
      <c r="D4008" t="s">
        <v>12474</v>
      </c>
      <c r="E4008" t="s">
        <v>12475</v>
      </c>
      <c r="H4008" t="s">
        <v>12476</v>
      </c>
    </row>
    <row r="4009" spans="1:8">
      <c r="A4009" t="s">
        <v>240</v>
      </c>
      <c r="B4009" t="s">
        <v>41</v>
      </c>
      <c r="C4009">
        <v>86</v>
      </c>
      <c r="D4009" t="s">
        <v>12477</v>
      </c>
      <c r="E4009" t="s">
        <v>12478</v>
      </c>
      <c r="F4009" t="s">
        <v>41</v>
      </c>
      <c r="G4009" t="s">
        <v>12479</v>
      </c>
      <c r="H4009" t="s">
        <v>12480</v>
      </c>
    </row>
    <row r="4010" spans="1:8">
      <c r="A4010" t="s">
        <v>242</v>
      </c>
      <c r="B4010" t="s">
        <v>41</v>
      </c>
      <c r="C4010">
        <v>86</v>
      </c>
      <c r="D4010" t="s">
        <v>12481</v>
      </c>
      <c r="E4010" t="s">
        <v>12482</v>
      </c>
      <c r="F4010" t="s">
        <v>41</v>
      </c>
      <c r="G4010" t="s">
        <v>12483</v>
      </c>
      <c r="H4010" t="s">
        <v>12484</v>
      </c>
    </row>
    <row r="4011" spans="1:8">
      <c r="A4011" t="s">
        <v>240</v>
      </c>
      <c r="B4011" t="s">
        <v>41</v>
      </c>
      <c r="C4011">
        <v>86</v>
      </c>
      <c r="D4011" t="s">
        <v>12485</v>
      </c>
      <c r="E4011" t="s">
        <v>12486</v>
      </c>
      <c r="F4011" t="s">
        <v>41</v>
      </c>
      <c r="G4011" t="s">
        <v>12487</v>
      </c>
      <c r="H4011" t="s">
        <v>12488</v>
      </c>
    </row>
    <row r="4012" spans="1:8">
      <c r="A4012" t="s">
        <v>241</v>
      </c>
      <c r="B4012" t="s">
        <v>41</v>
      </c>
      <c r="C4012">
        <v>86</v>
      </c>
      <c r="D4012" t="s">
        <v>12489</v>
      </c>
      <c r="E4012" t="s">
        <v>12490</v>
      </c>
      <c r="H4012" t="s">
        <v>12491</v>
      </c>
    </row>
    <row r="4013" spans="1:8">
      <c r="A4013" t="s">
        <v>241</v>
      </c>
      <c r="B4013" t="s">
        <v>41</v>
      </c>
      <c r="C4013">
        <v>86</v>
      </c>
      <c r="D4013" t="s">
        <v>12492</v>
      </c>
      <c r="E4013" t="s">
        <v>12398</v>
      </c>
      <c r="F4013" t="s">
        <v>12493</v>
      </c>
      <c r="H4013" t="s">
        <v>12400</v>
      </c>
    </row>
    <row r="4014" spans="1:8">
      <c r="A4014" t="s">
        <v>241</v>
      </c>
      <c r="B4014" t="s">
        <v>41</v>
      </c>
      <c r="C4014">
        <v>86</v>
      </c>
      <c r="D4014" t="s">
        <v>12494</v>
      </c>
      <c r="E4014" t="s">
        <v>12495</v>
      </c>
      <c r="F4014" t="s">
        <v>12496</v>
      </c>
      <c r="G4014" t="s">
        <v>12497</v>
      </c>
      <c r="H4014" t="s">
        <v>12498</v>
      </c>
    </row>
    <row r="4015" spans="1:8">
      <c r="A4015" t="s">
        <v>239</v>
      </c>
      <c r="B4015" t="s">
        <v>41</v>
      </c>
      <c r="C4015">
        <v>86</v>
      </c>
      <c r="D4015" t="s">
        <v>12499</v>
      </c>
      <c r="E4015" t="s">
        <v>12500</v>
      </c>
      <c r="H4015" t="s">
        <v>12501</v>
      </c>
    </row>
    <row r="4016" spans="1:8">
      <c r="A4016" t="s">
        <v>240</v>
      </c>
      <c r="B4016" t="s">
        <v>41</v>
      </c>
      <c r="C4016">
        <v>86</v>
      </c>
      <c r="D4016" t="s">
        <v>12502</v>
      </c>
      <c r="E4016" t="s">
        <v>12503</v>
      </c>
      <c r="G4016" t="s">
        <v>12504</v>
      </c>
      <c r="H4016" t="s">
        <v>12505</v>
      </c>
    </row>
    <row r="4017" spans="1:8">
      <c r="A4017" t="s">
        <v>238</v>
      </c>
      <c r="B4017" t="s">
        <v>41</v>
      </c>
      <c r="C4017">
        <v>86</v>
      </c>
      <c r="D4017" t="s">
        <v>12506</v>
      </c>
      <c r="E4017" t="s">
        <v>12507</v>
      </c>
      <c r="G4017" t="s">
        <v>12508</v>
      </c>
      <c r="H4017" t="s">
        <v>12509</v>
      </c>
    </row>
    <row r="4018" spans="1:8">
      <c r="A4018" t="s">
        <v>241</v>
      </c>
      <c r="B4018" t="s">
        <v>41</v>
      </c>
      <c r="C4018">
        <v>86</v>
      </c>
      <c r="D4018" t="s">
        <v>12510</v>
      </c>
      <c r="E4018" t="s">
        <v>12511</v>
      </c>
      <c r="F4018" t="s">
        <v>41</v>
      </c>
      <c r="H4018" t="s">
        <v>12512</v>
      </c>
    </row>
    <row r="4019" spans="1:8">
      <c r="A4019" t="s">
        <v>243</v>
      </c>
      <c r="B4019" t="s">
        <v>41</v>
      </c>
      <c r="C4019">
        <v>86</v>
      </c>
      <c r="D4019" t="s">
        <v>12513</v>
      </c>
      <c r="E4019" t="s">
        <v>12514</v>
      </c>
      <c r="G4019" t="s">
        <v>12515</v>
      </c>
      <c r="H4019" t="s">
        <v>12516</v>
      </c>
    </row>
    <row r="4020" spans="1:8">
      <c r="A4020" t="s">
        <v>250</v>
      </c>
      <c r="B4020" t="s">
        <v>41</v>
      </c>
      <c r="C4020">
        <v>86</v>
      </c>
      <c r="D4020" t="s">
        <v>12517</v>
      </c>
      <c r="E4020" t="s">
        <v>12518</v>
      </c>
    </row>
    <row r="4021" spans="1:8">
      <c r="A4021" t="s">
        <v>239</v>
      </c>
      <c r="B4021" t="s">
        <v>41</v>
      </c>
      <c r="C4021">
        <v>86</v>
      </c>
      <c r="D4021" t="s">
        <v>12519</v>
      </c>
      <c r="E4021" t="s">
        <v>12520</v>
      </c>
      <c r="H4021" t="s">
        <v>12521</v>
      </c>
    </row>
    <row r="4022" spans="1:8">
      <c r="A4022" t="s">
        <v>250</v>
      </c>
      <c r="B4022" t="s">
        <v>41</v>
      </c>
      <c r="C4022">
        <v>86</v>
      </c>
      <c r="D4022" t="s">
        <v>12522</v>
      </c>
      <c r="E4022" t="s">
        <v>12523</v>
      </c>
      <c r="F4022" t="s">
        <v>12439</v>
      </c>
      <c r="G4022" t="s">
        <v>12524</v>
      </c>
      <c r="H4022" t="s">
        <v>12525</v>
      </c>
    </row>
    <row r="4023" spans="1:8">
      <c r="A4023" t="s">
        <v>242</v>
      </c>
      <c r="B4023" t="s">
        <v>41</v>
      </c>
      <c r="C4023">
        <v>86</v>
      </c>
      <c r="D4023" t="s">
        <v>12526</v>
      </c>
      <c r="E4023" t="s">
        <v>12527</v>
      </c>
      <c r="F4023" t="s">
        <v>12528</v>
      </c>
      <c r="G4023" t="s">
        <v>12529</v>
      </c>
      <c r="H4023" t="s">
        <v>12530</v>
      </c>
    </row>
    <row r="4024" spans="1:8">
      <c r="A4024" t="s">
        <v>241</v>
      </c>
      <c r="B4024" t="s">
        <v>41</v>
      </c>
      <c r="C4024">
        <v>86</v>
      </c>
      <c r="D4024" t="s">
        <v>12531</v>
      </c>
      <c r="E4024" t="s">
        <v>12532</v>
      </c>
      <c r="F4024" t="s">
        <v>12533</v>
      </c>
      <c r="G4024" t="s">
        <v>12534</v>
      </c>
      <c r="H4024" t="s">
        <v>12535</v>
      </c>
    </row>
    <row r="4025" spans="1:8">
      <c r="A4025" t="s">
        <v>241</v>
      </c>
      <c r="B4025" t="s">
        <v>41</v>
      </c>
      <c r="C4025">
        <v>86</v>
      </c>
      <c r="D4025" t="s">
        <v>12536</v>
      </c>
      <c r="E4025" t="s">
        <v>12537</v>
      </c>
      <c r="F4025" t="s">
        <v>41</v>
      </c>
      <c r="H4025" t="s">
        <v>12538</v>
      </c>
    </row>
    <row r="4026" spans="1:8">
      <c r="A4026" t="s">
        <v>250</v>
      </c>
      <c r="B4026" t="s">
        <v>41</v>
      </c>
      <c r="C4026">
        <v>86</v>
      </c>
      <c r="D4026" t="s">
        <v>12539</v>
      </c>
      <c r="E4026" t="s">
        <v>12540</v>
      </c>
      <c r="F4026" t="s">
        <v>41</v>
      </c>
    </row>
    <row r="4027" spans="1:8">
      <c r="A4027" t="s">
        <v>239</v>
      </c>
      <c r="B4027" t="s">
        <v>41</v>
      </c>
      <c r="C4027">
        <v>86</v>
      </c>
      <c r="D4027" t="s">
        <v>12541</v>
      </c>
      <c r="E4027" t="s">
        <v>12542</v>
      </c>
      <c r="H4027" t="s">
        <v>12543</v>
      </c>
    </row>
    <row r="4028" spans="1:8">
      <c r="A4028" t="s">
        <v>241</v>
      </c>
      <c r="B4028" t="s">
        <v>41</v>
      </c>
      <c r="C4028">
        <v>86</v>
      </c>
      <c r="D4028" t="s">
        <v>12544</v>
      </c>
      <c r="E4028" t="s">
        <v>12545</v>
      </c>
      <c r="H4028" t="s">
        <v>12546</v>
      </c>
    </row>
    <row r="4029" spans="1:8">
      <c r="A4029" t="s">
        <v>241</v>
      </c>
      <c r="B4029" t="s">
        <v>41</v>
      </c>
      <c r="C4029">
        <v>86</v>
      </c>
      <c r="D4029" t="s">
        <v>12547</v>
      </c>
      <c r="E4029" t="s">
        <v>12548</v>
      </c>
      <c r="F4029" t="s">
        <v>41</v>
      </c>
      <c r="H4029" t="s">
        <v>12549</v>
      </c>
    </row>
    <row r="4030" spans="1:8">
      <c r="A4030" t="s">
        <v>241</v>
      </c>
      <c r="B4030" t="s">
        <v>41</v>
      </c>
      <c r="C4030">
        <v>86</v>
      </c>
      <c r="D4030" t="s">
        <v>8452</v>
      </c>
      <c r="E4030" t="s">
        <v>12550</v>
      </c>
      <c r="F4030" t="s">
        <v>41</v>
      </c>
      <c r="H4030" t="s">
        <v>12551</v>
      </c>
    </row>
    <row r="4031" spans="1:8">
      <c r="A4031" t="s">
        <v>239</v>
      </c>
      <c r="B4031" t="s">
        <v>41</v>
      </c>
      <c r="C4031">
        <v>86</v>
      </c>
      <c r="D4031" t="s">
        <v>12552</v>
      </c>
      <c r="E4031" t="s">
        <v>12553</v>
      </c>
      <c r="H4031" t="s">
        <v>12554</v>
      </c>
    </row>
    <row r="4032" spans="1:8">
      <c r="A4032" t="s">
        <v>240</v>
      </c>
      <c r="B4032" t="s">
        <v>41</v>
      </c>
      <c r="C4032">
        <v>86</v>
      </c>
      <c r="D4032" t="s">
        <v>12555</v>
      </c>
      <c r="E4032" t="s">
        <v>12556</v>
      </c>
      <c r="F4032" t="s">
        <v>41</v>
      </c>
      <c r="G4032" t="s">
        <v>12557</v>
      </c>
      <c r="H4032" t="s">
        <v>12558</v>
      </c>
    </row>
    <row r="4033" spans="1:8">
      <c r="A4033" t="s">
        <v>240</v>
      </c>
      <c r="B4033" t="s">
        <v>41</v>
      </c>
      <c r="C4033">
        <v>86</v>
      </c>
      <c r="D4033" t="s">
        <v>12559</v>
      </c>
      <c r="E4033" t="s">
        <v>12560</v>
      </c>
      <c r="F4033" t="s">
        <v>41</v>
      </c>
      <c r="G4033" t="s">
        <v>12561</v>
      </c>
      <c r="H4033" t="s">
        <v>12562</v>
      </c>
    </row>
    <row r="4034" spans="1:8">
      <c r="A4034" t="s">
        <v>250</v>
      </c>
      <c r="B4034" t="s">
        <v>41</v>
      </c>
      <c r="C4034">
        <v>86</v>
      </c>
      <c r="D4034" t="s">
        <v>12563</v>
      </c>
      <c r="E4034" t="s">
        <v>12564</v>
      </c>
      <c r="F4034" t="s">
        <v>12565</v>
      </c>
      <c r="G4034" t="s">
        <v>12524</v>
      </c>
      <c r="H4034" t="s">
        <v>12525</v>
      </c>
    </row>
    <row r="4035" spans="1:8">
      <c r="A4035" t="s">
        <v>250</v>
      </c>
      <c r="B4035" t="s">
        <v>41</v>
      </c>
      <c r="C4035">
        <v>86</v>
      </c>
      <c r="D4035" t="s">
        <v>12566</v>
      </c>
      <c r="E4035" t="s">
        <v>12567</v>
      </c>
      <c r="F4035" t="s">
        <v>41</v>
      </c>
      <c r="H4035" t="s">
        <v>12568</v>
      </c>
    </row>
    <row r="4036" spans="1:8">
      <c r="A4036" t="s">
        <v>250</v>
      </c>
      <c r="B4036" t="s">
        <v>41</v>
      </c>
      <c r="C4036">
        <v>86</v>
      </c>
      <c r="D4036" t="s">
        <v>12569</v>
      </c>
      <c r="E4036" t="s">
        <v>12380</v>
      </c>
      <c r="F4036" t="s">
        <v>12377</v>
      </c>
    </row>
    <row r="4037" spans="1:8">
      <c r="A4037" t="s">
        <v>250</v>
      </c>
      <c r="B4037" t="s">
        <v>41</v>
      </c>
      <c r="C4037">
        <v>86</v>
      </c>
      <c r="D4037" t="s">
        <v>9538</v>
      </c>
      <c r="E4037" t="s">
        <v>12430</v>
      </c>
      <c r="F4037" t="s">
        <v>12431</v>
      </c>
    </row>
    <row r="4038" spans="1:8">
      <c r="A4038" t="s">
        <v>243</v>
      </c>
      <c r="B4038" t="s">
        <v>41</v>
      </c>
      <c r="C4038">
        <v>86</v>
      </c>
      <c r="D4038" t="s">
        <v>12570</v>
      </c>
      <c r="E4038" t="s">
        <v>12571</v>
      </c>
      <c r="F4038" t="s">
        <v>12572</v>
      </c>
      <c r="H4038" t="s">
        <v>12573</v>
      </c>
    </row>
    <row r="4039" spans="1:8">
      <c r="A4039" t="s">
        <v>241</v>
      </c>
      <c r="B4039" t="s">
        <v>41</v>
      </c>
      <c r="C4039">
        <v>86</v>
      </c>
      <c r="D4039" t="s">
        <v>6557</v>
      </c>
      <c r="E4039" t="s">
        <v>12574</v>
      </c>
      <c r="F4039" t="s">
        <v>41</v>
      </c>
      <c r="H4039" t="s">
        <v>12575</v>
      </c>
    </row>
    <row r="4040" spans="1:8">
      <c r="A4040" t="s">
        <v>241</v>
      </c>
      <c r="B4040" t="s">
        <v>41</v>
      </c>
      <c r="C4040">
        <v>86</v>
      </c>
      <c r="D4040" t="s">
        <v>12576</v>
      </c>
      <c r="E4040" t="s">
        <v>12577</v>
      </c>
      <c r="F4040" t="s">
        <v>41</v>
      </c>
      <c r="H4040" t="s">
        <v>12578</v>
      </c>
    </row>
    <row r="4041" spans="1:8">
      <c r="A4041" t="s">
        <v>241</v>
      </c>
      <c r="B4041" t="s">
        <v>41</v>
      </c>
      <c r="C4041">
        <v>86</v>
      </c>
      <c r="D4041" t="s">
        <v>12579</v>
      </c>
      <c r="E4041" t="s">
        <v>12580</v>
      </c>
      <c r="F4041" t="s">
        <v>41</v>
      </c>
      <c r="H4041" t="s">
        <v>12581</v>
      </c>
    </row>
    <row r="4042" spans="1:8">
      <c r="A4042" t="s">
        <v>241</v>
      </c>
      <c r="B4042" t="s">
        <v>41</v>
      </c>
      <c r="C4042">
        <v>86</v>
      </c>
      <c r="D4042" t="s">
        <v>12582</v>
      </c>
      <c r="E4042" t="s">
        <v>12583</v>
      </c>
      <c r="F4042" t="s">
        <v>41</v>
      </c>
      <c r="H4042" t="s">
        <v>12584</v>
      </c>
    </row>
    <row r="4043" spans="1:8">
      <c r="A4043" t="s">
        <v>241</v>
      </c>
      <c r="B4043" t="s">
        <v>41</v>
      </c>
      <c r="C4043">
        <v>86</v>
      </c>
      <c r="D4043" t="s">
        <v>1232</v>
      </c>
      <c r="E4043" t="s">
        <v>12585</v>
      </c>
      <c r="F4043" t="s">
        <v>12586</v>
      </c>
      <c r="H4043" t="s">
        <v>12587</v>
      </c>
    </row>
    <row r="4044" spans="1:8">
      <c r="A4044" t="s">
        <v>241</v>
      </c>
      <c r="B4044" t="s">
        <v>41</v>
      </c>
      <c r="C4044">
        <v>86</v>
      </c>
      <c r="D4044" t="s">
        <v>12588</v>
      </c>
      <c r="E4044" t="s">
        <v>12589</v>
      </c>
      <c r="F4044" t="s">
        <v>12333</v>
      </c>
    </row>
    <row r="4045" spans="1:8">
      <c r="A4045" t="s">
        <v>239</v>
      </c>
      <c r="B4045" t="s">
        <v>41</v>
      </c>
      <c r="C4045">
        <v>86</v>
      </c>
      <c r="D4045" t="s">
        <v>12590</v>
      </c>
      <c r="E4045" t="s">
        <v>12591</v>
      </c>
      <c r="F4045" t="s">
        <v>41</v>
      </c>
      <c r="H4045" t="s">
        <v>12592</v>
      </c>
    </row>
    <row r="4046" spans="1:8">
      <c r="A4046" t="s">
        <v>239</v>
      </c>
      <c r="B4046" t="s">
        <v>41</v>
      </c>
      <c r="C4046">
        <v>86</v>
      </c>
      <c r="D4046" t="s">
        <v>12593</v>
      </c>
      <c r="E4046" t="s">
        <v>12594</v>
      </c>
      <c r="F4046" t="s">
        <v>41</v>
      </c>
      <c r="H4046" t="s">
        <v>12592</v>
      </c>
    </row>
    <row r="4047" spans="1:8">
      <c r="A4047" t="s">
        <v>239</v>
      </c>
      <c r="B4047" t="s">
        <v>41</v>
      </c>
      <c r="C4047">
        <v>86</v>
      </c>
      <c r="D4047" t="s">
        <v>12595</v>
      </c>
      <c r="E4047" t="s">
        <v>12596</v>
      </c>
      <c r="F4047" t="s">
        <v>41</v>
      </c>
      <c r="H4047" t="s">
        <v>12597</v>
      </c>
    </row>
    <row r="4048" spans="1:8">
      <c r="A4048" t="s">
        <v>242</v>
      </c>
      <c r="B4048" t="s">
        <v>41</v>
      </c>
      <c r="C4048">
        <v>86</v>
      </c>
      <c r="D4048" t="s">
        <v>12598</v>
      </c>
      <c r="E4048" t="s">
        <v>12599</v>
      </c>
      <c r="F4048" t="s">
        <v>41</v>
      </c>
      <c r="H4048" t="s">
        <v>12600</v>
      </c>
    </row>
    <row r="4049" spans="1:8">
      <c r="A4049" t="s">
        <v>239</v>
      </c>
      <c r="B4049" t="s">
        <v>41</v>
      </c>
      <c r="C4049">
        <v>86</v>
      </c>
      <c r="D4049" t="s">
        <v>12601</v>
      </c>
      <c r="E4049" t="s">
        <v>12602</v>
      </c>
      <c r="F4049" t="s">
        <v>41</v>
      </c>
      <c r="H4049" t="s">
        <v>12603</v>
      </c>
    </row>
    <row r="4050" spans="1:8">
      <c r="A4050" t="s">
        <v>239</v>
      </c>
      <c r="B4050" t="s">
        <v>41</v>
      </c>
      <c r="C4050">
        <v>86</v>
      </c>
      <c r="D4050" t="s">
        <v>12604</v>
      </c>
      <c r="E4050" t="s">
        <v>12605</v>
      </c>
      <c r="F4050" t="s">
        <v>41</v>
      </c>
      <c r="H4050" t="s">
        <v>12606</v>
      </c>
    </row>
    <row r="4051" spans="1:8">
      <c r="A4051" t="s">
        <v>239</v>
      </c>
      <c r="B4051" t="s">
        <v>41</v>
      </c>
      <c r="C4051">
        <v>86</v>
      </c>
      <c r="D4051" t="s">
        <v>12607</v>
      </c>
      <c r="E4051" t="s">
        <v>12608</v>
      </c>
      <c r="F4051" t="s">
        <v>41</v>
      </c>
    </row>
    <row r="4052" spans="1:8">
      <c r="A4052" t="s">
        <v>239</v>
      </c>
      <c r="B4052" t="s">
        <v>41</v>
      </c>
      <c r="C4052">
        <v>86</v>
      </c>
      <c r="D4052" t="s">
        <v>12609</v>
      </c>
      <c r="E4052" t="s">
        <v>12610</v>
      </c>
      <c r="F4052" t="s">
        <v>41</v>
      </c>
      <c r="H4052" t="s">
        <v>12611</v>
      </c>
    </row>
    <row r="4053" spans="1:8">
      <c r="A4053" t="s">
        <v>239</v>
      </c>
      <c r="B4053" t="s">
        <v>41</v>
      </c>
      <c r="C4053">
        <v>86</v>
      </c>
      <c r="D4053" t="s">
        <v>12612</v>
      </c>
      <c r="E4053" t="s">
        <v>12613</v>
      </c>
      <c r="F4053" t="s">
        <v>41</v>
      </c>
    </row>
    <row r="4054" spans="1:8">
      <c r="A4054" t="s">
        <v>241</v>
      </c>
      <c r="B4054" t="s">
        <v>41</v>
      </c>
      <c r="C4054">
        <v>86</v>
      </c>
      <c r="D4054" t="s">
        <v>12614</v>
      </c>
      <c r="E4054" t="s">
        <v>12615</v>
      </c>
      <c r="F4054" t="s">
        <v>41</v>
      </c>
    </row>
    <row r="4055" spans="1:8">
      <c r="A4055" t="s">
        <v>239</v>
      </c>
      <c r="B4055" t="s">
        <v>41</v>
      </c>
      <c r="C4055">
        <v>86</v>
      </c>
      <c r="D4055" t="s">
        <v>12616</v>
      </c>
      <c r="E4055" t="s">
        <v>12617</v>
      </c>
      <c r="F4055" t="s">
        <v>41</v>
      </c>
      <c r="H4055" t="s">
        <v>12592</v>
      </c>
    </row>
    <row r="4056" spans="1:8">
      <c r="A4056" t="s">
        <v>250</v>
      </c>
      <c r="B4056" t="s">
        <v>41</v>
      </c>
      <c r="C4056">
        <v>86</v>
      </c>
      <c r="D4056" t="s">
        <v>12618</v>
      </c>
      <c r="H4056" t="s">
        <v>12619</v>
      </c>
    </row>
    <row r="4057" spans="1:8">
      <c r="A4057" t="s">
        <v>241</v>
      </c>
      <c r="B4057" t="s">
        <v>41</v>
      </c>
      <c r="C4057">
        <v>86</v>
      </c>
      <c r="D4057" t="s">
        <v>12620</v>
      </c>
      <c r="E4057" t="s">
        <v>12621</v>
      </c>
      <c r="F4057" t="s">
        <v>41</v>
      </c>
      <c r="H4057" t="s">
        <v>12622</v>
      </c>
    </row>
    <row r="4058" spans="1:8">
      <c r="A4058" t="s">
        <v>239</v>
      </c>
      <c r="B4058" t="s">
        <v>41</v>
      </c>
      <c r="C4058">
        <v>86</v>
      </c>
      <c r="D4058" t="s">
        <v>12623</v>
      </c>
      <c r="E4058" t="s">
        <v>12624</v>
      </c>
      <c r="H4058" t="s">
        <v>12592</v>
      </c>
    </row>
    <row r="4059" spans="1:8">
      <c r="A4059" t="s">
        <v>239</v>
      </c>
      <c r="B4059" t="s">
        <v>41</v>
      </c>
      <c r="C4059">
        <v>86</v>
      </c>
      <c r="D4059" t="s">
        <v>12625</v>
      </c>
      <c r="E4059" t="s">
        <v>12626</v>
      </c>
      <c r="F4059" t="s">
        <v>41</v>
      </c>
    </row>
    <row r="4060" spans="1:8">
      <c r="A4060" t="s">
        <v>239</v>
      </c>
      <c r="B4060" t="s">
        <v>41</v>
      </c>
      <c r="C4060">
        <v>86</v>
      </c>
      <c r="D4060" t="s">
        <v>12627</v>
      </c>
      <c r="E4060" t="s">
        <v>12628</v>
      </c>
      <c r="F4060" t="s">
        <v>41</v>
      </c>
      <c r="H4060" t="s">
        <v>12629</v>
      </c>
    </row>
    <row r="4061" spans="1:8">
      <c r="A4061" t="s">
        <v>239</v>
      </c>
      <c r="B4061" t="s">
        <v>41</v>
      </c>
      <c r="C4061">
        <v>86</v>
      </c>
      <c r="D4061" t="s">
        <v>12630</v>
      </c>
      <c r="E4061" t="s">
        <v>12631</v>
      </c>
      <c r="F4061" t="s">
        <v>41</v>
      </c>
      <c r="H4061" t="s">
        <v>12592</v>
      </c>
    </row>
    <row r="4062" spans="1:8">
      <c r="A4062" t="s">
        <v>240</v>
      </c>
      <c r="B4062" t="s">
        <v>41</v>
      </c>
      <c r="C4062">
        <v>86</v>
      </c>
      <c r="D4062" t="s">
        <v>12632</v>
      </c>
      <c r="E4062" t="s">
        <v>12633</v>
      </c>
      <c r="F4062" t="s">
        <v>41</v>
      </c>
      <c r="G4062" t="s">
        <v>12634</v>
      </c>
      <c r="H4062" t="s">
        <v>12635</v>
      </c>
    </row>
    <row r="4063" spans="1:8">
      <c r="A4063" t="s">
        <v>240</v>
      </c>
      <c r="B4063" t="s">
        <v>41</v>
      </c>
      <c r="C4063">
        <v>86</v>
      </c>
      <c r="D4063" t="s">
        <v>12636</v>
      </c>
      <c r="E4063" t="s">
        <v>12637</v>
      </c>
      <c r="F4063" t="s">
        <v>41</v>
      </c>
      <c r="G4063" t="s">
        <v>12638</v>
      </c>
      <c r="H4063" t="s">
        <v>12639</v>
      </c>
    </row>
    <row r="4064" spans="1:8">
      <c r="A4064" t="s">
        <v>240</v>
      </c>
      <c r="B4064" t="s">
        <v>41</v>
      </c>
      <c r="C4064">
        <v>86</v>
      </c>
      <c r="D4064" t="s">
        <v>12640</v>
      </c>
      <c r="E4064" t="s">
        <v>12641</v>
      </c>
      <c r="F4064" t="s">
        <v>41</v>
      </c>
      <c r="G4064" t="s">
        <v>12642</v>
      </c>
      <c r="H4064" t="s">
        <v>12643</v>
      </c>
    </row>
    <row r="4065" spans="1:8">
      <c r="A4065" t="s">
        <v>240</v>
      </c>
      <c r="B4065" t="s">
        <v>41</v>
      </c>
      <c r="C4065">
        <v>86</v>
      </c>
      <c r="D4065" t="s">
        <v>12644</v>
      </c>
      <c r="E4065" t="s">
        <v>12645</v>
      </c>
      <c r="F4065" t="s">
        <v>41</v>
      </c>
      <c r="G4065" t="s">
        <v>12646</v>
      </c>
      <c r="H4065" t="s">
        <v>12647</v>
      </c>
    </row>
    <row r="4066" spans="1:8">
      <c r="A4066" t="s">
        <v>240</v>
      </c>
      <c r="B4066" t="s">
        <v>41</v>
      </c>
      <c r="C4066">
        <v>86</v>
      </c>
      <c r="D4066" t="s">
        <v>12648</v>
      </c>
      <c r="E4066" t="s">
        <v>12649</v>
      </c>
      <c r="F4066" t="s">
        <v>41</v>
      </c>
      <c r="G4066" t="s">
        <v>12650</v>
      </c>
      <c r="H4066" t="s">
        <v>12651</v>
      </c>
    </row>
    <row r="4067" spans="1:8">
      <c r="A4067" t="s">
        <v>240</v>
      </c>
      <c r="B4067" t="s">
        <v>41</v>
      </c>
      <c r="C4067">
        <v>86</v>
      </c>
      <c r="D4067" t="s">
        <v>12652</v>
      </c>
      <c r="E4067" t="s">
        <v>12653</v>
      </c>
      <c r="F4067" t="s">
        <v>41</v>
      </c>
      <c r="G4067" t="s">
        <v>12654</v>
      </c>
      <c r="H4067" t="s">
        <v>12655</v>
      </c>
    </row>
    <row r="4068" spans="1:8">
      <c r="A4068" t="s">
        <v>240</v>
      </c>
      <c r="B4068" t="s">
        <v>41</v>
      </c>
      <c r="C4068">
        <v>86</v>
      </c>
      <c r="D4068" t="s">
        <v>12656</v>
      </c>
      <c r="E4068" t="s">
        <v>12657</v>
      </c>
      <c r="F4068" t="s">
        <v>41</v>
      </c>
      <c r="H4068" t="s">
        <v>12658</v>
      </c>
    </row>
    <row r="4069" spans="1:8">
      <c r="A4069" t="s">
        <v>240</v>
      </c>
      <c r="B4069" t="s">
        <v>41</v>
      </c>
      <c r="C4069">
        <v>86</v>
      </c>
      <c r="D4069" t="s">
        <v>7244</v>
      </c>
      <c r="E4069" t="s">
        <v>12659</v>
      </c>
      <c r="F4069" t="s">
        <v>41</v>
      </c>
      <c r="G4069" t="s">
        <v>12660</v>
      </c>
      <c r="H4069" t="s">
        <v>12661</v>
      </c>
    </row>
    <row r="4070" spans="1:8">
      <c r="A4070" t="s">
        <v>240</v>
      </c>
      <c r="B4070" t="s">
        <v>41</v>
      </c>
      <c r="C4070">
        <v>86</v>
      </c>
      <c r="D4070" t="s">
        <v>7391</v>
      </c>
      <c r="E4070" t="s">
        <v>12662</v>
      </c>
      <c r="F4070" t="s">
        <v>41</v>
      </c>
      <c r="G4070" t="s">
        <v>12663</v>
      </c>
      <c r="H4070" t="s">
        <v>12664</v>
      </c>
    </row>
    <row r="4071" spans="1:8">
      <c r="A4071" t="s">
        <v>240</v>
      </c>
      <c r="B4071" t="s">
        <v>41</v>
      </c>
      <c r="C4071">
        <v>86</v>
      </c>
      <c r="D4071" t="s">
        <v>12665</v>
      </c>
      <c r="E4071" t="s">
        <v>12666</v>
      </c>
      <c r="F4071" t="s">
        <v>41</v>
      </c>
      <c r="G4071" t="s">
        <v>12667</v>
      </c>
      <c r="H4071" t="s">
        <v>12668</v>
      </c>
    </row>
    <row r="4072" spans="1:8">
      <c r="A4072" t="s">
        <v>240</v>
      </c>
      <c r="B4072" t="s">
        <v>41</v>
      </c>
      <c r="C4072">
        <v>86</v>
      </c>
      <c r="D4072" t="s">
        <v>7829</v>
      </c>
      <c r="E4072" t="s">
        <v>12669</v>
      </c>
      <c r="F4072" t="s">
        <v>41</v>
      </c>
      <c r="G4072" t="s">
        <v>12670</v>
      </c>
      <c r="H4072" t="s">
        <v>12671</v>
      </c>
    </row>
    <row r="4073" spans="1:8">
      <c r="A4073" t="s">
        <v>240</v>
      </c>
      <c r="B4073" t="s">
        <v>41</v>
      </c>
      <c r="C4073">
        <v>86</v>
      </c>
      <c r="D4073" t="s">
        <v>12672</v>
      </c>
      <c r="E4073" t="s">
        <v>12673</v>
      </c>
      <c r="F4073" t="s">
        <v>41</v>
      </c>
      <c r="G4073" t="s">
        <v>12674</v>
      </c>
      <c r="H4073" t="s">
        <v>12675</v>
      </c>
    </row>
    <row r="4074" spans="1:8">
      <c r="A4074" t="s">
        <v>240</v>
      </c>
      <c r="B4074" t="s">
        <v>41</v>
      </c>
      <c r="C4074">
        <v>86</v>
      </c>
      <c r="D4074" t="s">
        <v>12676</v>
      </c>
      <c r="E4074" t="s">
        <v>12677</v>
      </c>
      <c r="F4074" t="s">
        <v>41</v>
      </c>
      <c r="G4074" t="s">
        <v>12678</v>
      </c>
      <c r="H4074" t="s">
        <v>12679</v>
      </c>
    </row>
    <row r="4075" spans="1:8">
      <c r="A4075" t="s">
        <v>240</v>
      </c>
      <c r="B4075" t="s">
        <v>41</v>
      </c>
      <c r="C4075">
        <v>86</v>
      </c>
      <c r="D4075" t="s">
        <v>12680</v>
      </c>
      <c r="E4075" t="s">
        <v>12681</v>
      </c>
      <c r="F4075" t="s">
        <v>41</v>
      </c>
      <c r="G4075" t="s">
        <v>12682</v>
      </c>
      <c r="H4075" t="s">
        <v>12683</v>
      </c>
    </row>
    <row r="4076" spans="1:8">
      <c r="A4076" t="s">
        <v>240</v>
      </c>
      <c r="B4076" t="s">
        <v>41</v>
      </c>
      <c r="C4076">
        <v>86</v>
      </c>
      <c r="D4076" t="s">
        <v>12684</v>
      </c>
      <c r="E4076" t="s">
        <v>12685</v>
      </c>
      <c r="F4076" t="s">
        <v>41</v>
      </c>
      <c r="G4076" t="s">
        <v>12686</v>
      </c>
      <c r="H4076" t="s">
        <v>12687</v>
      </c>
    </row>
    <row r="4077" spans="1:8">
      <c r="A4077" t="s">
        <v>250</v>
      </c>
      <c r="B4077" t="s">
        <v>41</v>
      </c>
      <c r="C4077">
        <v>86</v>
      </c>
      <c r="D4077" t="s">
        <v>12688</v>
      </c>
      <c r="E4077" t="s">
        <v>12327</v>
      </c>
      <c r="F4077" t="s">
        <v>41</v>
      </c>
    </row>
    <row r="4078" spans="1:8">
      <c r="A4078" t="s">
        <v>240</v>
      </c>
      <c r="B4078" t="s">
        <v>41</v>
      </c>
      <c r="C4078">
        <v>86</v>
      </c>
      <c r="D4078" t="s">
        <v>5440</v>
      </c>
      <c r="E4078" t="s">
        <v>12329</v>
      </c>
      <c r="F4078" t="s">
        <v>41</v>
      </c>
      <c r="G4078" t="s">
        <v>12689</v>
      </c>
      <c r="H4078" t="s">
        <v>12690</v>
      </c>
    </row>
    <row r="4079" spans="1:8">
      <c r="A4079" t="s">
        <v>240</v>
      </c>
      <c r="B4079" t="s">
        <v>41</v>
      </c>
      <c r="C4079">
        <v>86</v>
      </c>
      <c r="D4079" t="s">
        <v>12691</v>
      </c>
      <c r="E4079" t="s">
        <v>12692</v>
      </c>
      <c r="F4079" t="s">
        <v>41</v>
      </c>
      <c r="G4079" t="s">
        <v>12693</v>
      </c>
      <c r="H4079" t="s">
        <v>12694</v>
      </c>
    </row>
    <row r="4080" spans="1:8">
      <c r="A4080" t="s">
        <v>240</v>
      </c>
      <c r="B4080" t="s">
        <v>41</v>
      </c>
      <c r="C4080">
        <v>86</v>
      </c>
      <c r="D4080" t="s">
        <v>12695</v>
      </c>
      <c r="E4080" t="s">
        <v>12696</v>
      </c>
      <c r="F4080" t="s">
        <v>41</v>
      </c>
      <c r="G4080" t="s">
        <v>12697</v>
      </c>
      <c r="H4080" t="s">
        <v>12698</v>
      </c>
    </row>
    <row r="4081" spans="1:8">
      <c r="A4081" t="s">
        <v>240</v>
      </c>
      <c r="B4081" t="s">
        <v>41</v>
      </c>
      <c r="C4081">
        <v>86</v>
      </c>
      <c r="D4081" t="s">
        <v>12699</v>
      </c>
      <c r="E4081" t="s">
        <v>12700</v>
      </c>
      <c r="F4081" t="s">
        <v>41</v>
      </c>
      <c r="G4081" t="s">
        <v>12701</v>
      </c>
      <c r="H4081" t="s">
        <v>12702</v>
      </c>
    </row>
    <row r="4082" spans="1:8">
      <c r="A4082" t="s">
        <v>240</v>
      </c>
      <c r="B4082" t="s">
        <v>41</v>
      </c>
      <c r="C4082">
        <v>86</v>
      </c>
      <c r="D4082" t="s">
        <v>12703</v>
      </c>
      <c r="E4082" t="s">
        <v>12704</v>
      </c>
      <c r="F4082" t="s">
        <v>41</v>
      </c>
      <c r="G4082" t="s">
        <v>12705</v>
      </c>
      <c r="H4082" t="s">
        <v>12706</v>
      </c>
    </row>
    <row r="4083" spans="1:8">
      <c r="A4083" t="s">
        <v>240</v>
      </c>
      <c r="B4083" t="s">
        <v>41</v>
      </c>
      <c r="C4083">
        <v>86</v>
      </c>
      <c r="D4083" t="s">
        <v>3797</v>
      </c>
      <c r="E4083" t="s">
        <v>12707</v>
      </c>
      <c r="F4083" t="s">
        <v>41</v>
      </c>
      <c r="H4083" t="s">
        <v>12708</v>
      </c>
    </row>
    <row r="4084" spans="1:8">
      <c r="A4084" t="s">
        <v>240</v>
      </c>
      <c r="B4084" t="s">
        <v>41</v>
      </c>
      <c r="C4084">
        <v>86</v>
      </c>
      <c r="D4084" t="s">
        <v>12709</v>
      </c>
      <c r="E4084" t="s">
        <v>12710</v>
      </c>
      <c r="F4084" t="s">
        <v>41</v>
      </c>
      <c r="G4084" t="s">
        <v>12711</v>
      </c>
      <c r="H4084" t="s">
        <v>12712</v>
      </c>
    </row>
    <row r="4085" spans="1:8">
      <c r="A4085" t="s">
        <v>240</v>
      </c>
      <c r="B4085" t="s">
        <v>41</v>
      </c>
      <c r="C4085">
        <v>86</v>
      </c>
      <c r="D4085" t="s">
        <v>12713</v>
      </c>
      <c r="E4085" t="s">
        <v>12714</v>
      </c>
      <c r="F4085" t="s">
        <v>41</v>
      </c>
      <c r="G4085" t="s">
        <v>12715</v>
      </c>
      <c r="H4085" t="s">
        <v>12716</v>
      </c>
    </row>
    <row r="4086" spans="1:8">
      <c r="A4086" t="s">
        <v>240</v>
      </c>
      <c r="B4086" t="s">
        <v>41</v>
      </c>
      <c r="C4086">
        <v>86</v>
      </c>
      <c r="D4086" t="s">
        <v>3934</v>
      </c>
      <c r="E4086" t="s">
        <v>12717</v>
      </c>
      <c r="F4086" t="s">
        <v>41</v>
      </c>
      <c r="G4086" t="s">
        <v>12718</v>
      </c>
      <c r="H4086" t="s">
        <v>12719</v>
      </c>
    </row>
    <row r="4087" spans="1:8">
      <c r="A4087" t="s">
        <v>239</v>
      </c>
      <c r="B4087" t="s">
        <v>41</v>
      </c>
      <c r="C4087">
        <v>86</v>
      </c>
      <c r="D4087" t="s">
        <v>12720</v>
      </c>
      <c r="E4087" t="s">
        <v>12721</v>
      </c>
      <c r="F4087" t="s">
        <v>41</v>
      </c>
      <c r="H4087" t="s">
        <v>12592</v>
      </c>
    </row>
    <row r="4088" spans="1:8">
      <c r="A4088" t="s">
        <v>239</v>
      </c>
      <c r="B4088" t="s">
        <v>41</v>
      </c>
      <c r="C4088">
        <v>86</v>
      </c>
      <c r="D4088" t="s">
        <v>12722</v>
      </c>
      <c r="E4088" t="s">
        <v>12723</v>
      </c>
      <c r="F4088" t="s">
        <v>41</v>
      </c>
      <c r="H4088" t="s">
        <v>12724</v>
      </c>
    </row>
    <row r="4089" spans="1:8">
      <c r="A4089" t="s">
        <v>239</v>
      </c>
      <c r="B4089" t="s">
        <v>41</v>
      </c>
      <c r="C4089">
        <v>86</v>
      </c>
      <c r="D4089" t="s">
        <v>12725</v>
      </c>
      <c r="E4089" t="s">
        <v>12726</v>
      </c>
      <c r="F4089" t="s">
        <v>41</v>
      </c>
      <c r="H4089" t="s">
        <v>12592</v>
      </c>
    </row>
    <row r="4090" spans="1:8">
      <c r="A4090" t="s">
        <v>241</v>
      </c>
      <c r="B4090" t="s">
        <v>41</v>
      </c>
      <c r="C4090">
        <v>86</v>
      </c>
      <c r="D4090" t="s">
        <v>12727</v>
      </c>
      <c r="E4090" t="s">
        <v>12728</v>
      </c>
      <c r="H4090" t="s">
        <v>12729</v>
      </c>
    </row>
    <row r="4091" spans="1:8">
      <c r="A4091" t="s">
        <v>240</v>
      </c>
      <c r="B4091" t="s">
        <v>41</v>
      </c>
      <c r="C4091">
        <v>86</v>
      </c>
      <c r="D4091" t="s">
        <v>12730</v>
      </c>
      <c r="E4091" t="s">
        <v>12731</v>
      </c>
      <c r="F4091" t="s">
        <v>41</v>
      </c>
      <c r="H4091" t="s">
        <v>12732</v>
      </c>
    </row>
    <row r="4092" spans="1:8">
      <c r="A4092" t="s">
        <v>242</v>
      </c>
      <c r="B4092" t="s">
        <v>41</v>
      </c>
      <c r="C4092">
        <v>86</v>
      </c>
      <c r="D4092" t="s">
        <v>12733</v>
      </c>
      <c r="E4092" t="s">
        <v>12734</v>
      </c>
      <c r="F4092" t="s">
        <v>12735</v>
      </c>
      <c r="G4092" t="s">
        <v>12736</v>
      </c>
      <c r="H4092" t="s">
        <v>12737</v>
      </c>
    </row>
    <row r="4093" spans="1:8">
      <c r="A4093" t="s">
        <v>241</v>
      </c>
      <c r="B4093" t="s">
        <v>41</v>
      </c>
      <c r="C4093">
        <v>86</v>
      </c>
      <c r="D4093" t="s">
        <v>12738</v>
      </c>
      <c r="E4093" t="s">
        <v>12739</v>
      </c>
      <c r="H4093" t="s">
        <v>12740</v>
      </c>
    </row>
    <row r="4094" spans="1:8">
      <c r="A4094" t="s">
        <v>241</v>
      </c>
      <c r="B4094" t="s">
        <v>41</v>
      </c>
      <c r="C4094">
        <v>86</v>
      </c>
      <c r="D4094" t="s">
        <v>12741</v>
      </c>
      <c r="E4094" t="s">
        <v>12742</v>
      </c>
      <c r="H4094" t="s">
        <v>12743</v>
      </c>
    </row>
    <row r="4095" spans="1:8">
      <c r="A4095" t="s">
        <v>241</v>
      </c>
      <c r="B4095" t="s">
        <v>41</v>
      </c>
      <c r="C4095">
        <v>86</v>
      </c>
      <c r="D4095" t="s">
        <v>12744</v>
      </c>
      <c r="E4095" t="s">
        <v>12745</v>
      </c>
      <c r="H4095" t="s">
        <v>12746</v>
      </c>
    </row>
    <row r="4096" spans="1:8">
      <c r="A4096" t="s">
        <v>241</v>
      </c>
      <c r="B4096" t="s">
        <v>41</v>
      </c>
      <c r="C4096">
        <v>86</v>
      </c>
      <c r="D4096" t="s">
        <v>12747</v>
      </c>
      <c r="E4096" t="s">
        <v>12748</v>
      </c>
      <c r="F4096" t="s">
        <v>41</v>
      </c>
      <c r="G4096" t="s">
        <v>12749</v>
      </c>
      <c r="H4096" t="s">
        <v>12750</v>
      </c>
    </row>
    <row r="4097" spans="1:8">
      <c r="A4097" t="s">
        <v>238</v>
      </c>
      <c r="B4097" t="s">
        <v>41</v>
      </c>
      <c r="C4097">
        <v>86</v>
      </c>
      <c r="D4097" t="s">
        <v>12751</v>
      </c>
      <c r="E4097" t="s">
        <v>12752</v>
      </c>
      <c r="G4097" t="s">
        <v>12753</v>
      </c>
      <c r="H4097" t="s">
        <v>12754</v>
      </c>
    </row>
    <row r="4098" spans="1:8">
      <c r="A4098" t="s">
        <v>240</v>
      </c>
      <c r="B4098" t="s">
        <v>41</v>
      </c>
      <c r="C4098">
        <v>86</v>
      </c>
      <c r="D4098" t="s">
        <v>6269</v>
      </c>
      <c r="E4098" t="s">
        <v>12755</v>
      </c>
      <c r="F4098" t="s">
        <v>41</v>
      </c>
      <c r="G4098" t="s">
        <v>12756</v>
      </c>
      <c r="H4098" t="s">
        <v>12757</v>
      </c>
    </row>
    <row r="4099" spans="1:8">
      <c r="A4099" t="s">
        <v>241</v>
      </c>
      <c r="B4099" t="s">
        <v>41</v>
      </c>
      <c r="C4099">
        <v>86</v>
      </c>
      <c r="D4099" t="s">
        <v>12758</v>
      </c>
      <c r="E4099" t="s">
        <v>12759</v>
      </c>
      <c r="F4099" t="s">
        <v>12333</v>
      </c>
      <c r="H4099" t="s">
        <v>12760</v>
      </c>
    </row>
    <row r="4100" spans="1:8">
      <c r="A4100" t="s">
        <v>240</v>
      </c>
      <c r="B4100" t="s">
        <v>41</v>
      </c>
      <c r="C4100">
        <v>86</v>
      </c>
      <c r="D4100" t="s">
        <v>12761</v>
      </c>
      <c r="E4100" t="s">
        <v>12762</v>
      </c>
      <c r="F4100" t="s">
        <v>41</v>
      </c>
      <c r="G4100" t="s">
        <v>12763</v>
      </c>
      <c r="H4100" t="s">
        <v>12764</v>
      </c>
    </row>
    <row r="4101" spans="1:8">
      <c r="A4101" t="s">
        <v>241</v>
      </c>
      <c r="B4101" t="s">
        <v>41</v>
      </c>
      <c r="C4101">
        <v>86</v>
      </c>
      <c r="D4101" t="s">
        <v>12765</v>
      </c>
      <c r="E4101" t="s">
        <v>12766</v>
      </c>
      <c r="H4101" t="s">
        <v>12767</v>
      </c>
    </row>
    <row r="4102" spans="1:8">
      <c r="A4102" t="s">
        <v>241</v>
      </c>
      <c r="B4102" t="s">
        <v>41</v>
      </c>
      <c r="C4102">
        <v>86</v>
      </c>
      <c r="D4102" t="s">
        <v>12768</v>
      </c>
      <c r="E4102" t="s">
        <v>12769</v>
      </c>
      <c r="H4102" t="s">
        <v>12770</v>
      </c>
    </row>
    <row r="4103" spans="1:8">
      <c r="A4103" t="s">
        <v>242</v>
      </c>
      <c r="B4103" t="s">
        <v>41</v>
      </c>
      <c r="C4103">
        <v>86</v>
      </c>
      <c r="D4103" t="s">
        <v>12771</v>
      </c>
      <c r="E4103" t="s">
        <v>12772</v>
      </c>
      <c r="H4103" t="s">
        <v>12773</v>
      </c>
    </row>
    <row r="4104" spans="1:8">
      <c r="A4104" t="s">
        <v>241</v>
      </c>
      <c r="B4104" t="s">
        <v>41</v>
      </c>
      <c r="C4104">
        <v>86</v>
      </c>
      <c r="D4104" t="s">
        <v>12774</v>
      </c>
      <c r="E4104" t="s">
        <v>12775</v>
      </c>
      <c r="F4104" t="s">
        <v>41</v>
      </c>
      <c r="H4104" t="s">
        <v>12776</v>
      </c>
    </row>
    <row r="4105" spans="1:8">
      <c r="A4105" t="s">
        <v>239</v>
      </c>
      <c r="B4105" t="s">
        <v>41</v>
      </c>
      <c r="C4105">
        <v>86</v>
      </c>
      <c r="D4105" t="s">
        <v>12777</v>
      </c>
      <c r="E4105" t="s">
        <v>12778</v>
      </c>
      <c r="G4105" t="s">
        <v>12779</v>
      </c>
      <c r="H4105" t="s">
        <v>12780</v>
      </c>
    </row>
    <row r="4106" spans="1:8">
      <c r="A4106" t="s">
        <v>241</v>
      </c>
      <c r="B4106" t="s">
        <v>41</v>
      </c>
      <c r="C4106">
        <v>86</v>
      </c>
      <c r="D4106" t="s">
        <v>12781</v>
      </c>
      <c r="E4106" t="s">
        <v>12782</v>
      </c>
      <c r="H4106" t="s">
        <v>12783</v>
      </c>
    </row>
    <row r="4107" spans="1:8">
      <c r="A4107" t="s">
        <v>241</v>
      </c>
      <c r="B4107" t="s">
        <v>41</v>
      </c>
      <c r="C4107">
        <v>86</v>
      </c>
      <c r="D4107" t="s">
        <v>12784</v>
      </c>
      <c r="E4107" t="s">
        <v>12785</v>
      </c>
      <c r="H4107" t="s">
        <v>12786</v>
      </c>
    </row>
    <row r="4108" spans="1:8">
      <c r="A4108" t="s">
        <v>241</v>
      </c>
      <c r="B4108" t="s">
        <v>41</v>
      </c>
      <c r="C4108">
        <v>86</v>
      </c>
      <c r="D4108" t="s">
        <v>12787</v>
      </c>
      <c r="E4108" t="s">
        <v>12788</v>
      </c>
      <c r="H4108" t="s">
        <v>12789</v>
      </c>
    </row>
    <row r="4109" spans="1:8">
      <c r="A4109" t="s">
        <v>240</v>
      </c>
      <c r="B4109" t="s">
        <v>41</v>
      </c>
      <c r="C4109">
        <v>86</v>
      </c>
      <c r="D4109" t="s">
        <v>12790</v>
      </c>
      <c r="E4109" t="s">
        <v>12791</v>
      </c>
      <c r="G4109" t="s">
        <v>12792</v>
      </c>
      <c r="H4109" t="s">
        <v>12793</v>
      </c>
    </row>
    <row r="4110" spans="1:8">
      <c r="A4110" t="s">
        <v>241</v>
      </c>
      <c r="B4110" t="s">
        <v>41</v>
      </c>
      <c r="C4110">
        <v>86</v>
      </c>
      <c r="D4110" t="s">
        <v>12794</v>
      </c>
      <c r="E4110" t="s">
        <v>12795</v>
      </c>
      <c r="H4110" t="s">
        <v>12796</v>
      </c>
    </row>
    <row r="4111" spans="1:8">
      <c r="A4111" t="s">
        <v>243</v>
      </c>
      <c r="B4111" t="s">
        <v>41</v>
      </c>
      <c r="C4111">
        <v>86</v>
      </c>
      <c r="D4111" t="s">
        <v>12797</v>
      </c>
      <c r="E4111" t="s">
        <v>12798</v>
      </c>
      <c r="H4111" t="s">
        <v>12799</v>
      </c>
    </row>
    <row r="4112" spans="1:8">
      <c r="A4112" t="s">
        <v>240</v>
      </c>
      <c r="B4112" t="s">
        <v>41</v>
      </c>
      <c r="C4112">
        <v>86</v>
      </c>
      <c r="D4112" t="s">
        <v>12800</v>
      </c>
      <c r="E4112" t="s">
        <v>12801</v>
      </c>
      <c r="F4112" t="s">
        <v>41</v>
      </c>
      <c r="G4112" t="s">
        <v>12802</v>
      </c>
      <c r="H4112" t="s">
        <v>12803</v>
      </c>
    </row>
    <row r="4113" spans="1:8">
      <c r="A4113" t="s">
        <v>240</v>
      </c>
      <c r="B4113" t="s">
        <v>41</v>
      </c>
      <c r="C4113">
        <v>86</v>
      </c>
      <c r="D4113" t="s">
        <v>12804</v>
      </c>
      <c r="E4113" t="s">
        <v>12805</v>
      </c>
      <c r="G4113" t="s">
        <v>12806</v>
      </c>
      <c r="H4113" t="s">
        <v>12807</v>
      </c>
    </row>
    <row r="4114" spans="1:8">
      <c r="A4114" t="s">
        <v>241</v>
      </c>
      <c r="B4114" t="s">
        <v>41</v>
      </c>
      <c r="C4114">
        <v>86</v>
      </c>
      <c r="D4114" t="s">
        <v>12808</v>
      </c>
      <c r="E4114" t="s">
        <v>12809</v>
      </c>
      <c r="F4114" t="s">
        <v>12810</v>
      </c>
      <c r="H4114" t="s">
        <v>12811</v>
      </c>
    </row>
    <row r="4115" spans="1:8">
      <c r="A4115" t="s">
        <v>240</v>
      </c>
      <c r="B4115" t="s">
        <v>41</v>
      </c>
      <c r="C4115">
        <v>86</v>
      </c>
      <c r="D4115" t="s">
        <v>12812</v>
      </c>
      <c r="E4115" t="s">
        <v>12813</v>
      </c>
      <c r="H4115" t="s">
        <v>12814</v>
      </c>
    </row>
    <row r="4116" spans="1:8">
      <c r="A4116" t="s">
        <v>239</v>
      </c>
      <c r="B4116" t="s">
        <v>41</v>
      </c>
      <c r="C4116">
        <v>86</v>
      </c>
      <c r="D4116" t="s">
        <v>12815</v>
      </c>
      <c r="E4116" t="s">
        <v>12816</v>
      </c>
      <c r="F4116" t="s">
        <v>41</v>
      </c>
      <c r="H4116" t="s">
        <v>12592</v>
      </c>
    </row>
    <row r="4117" spans="1:8">
      <c r="A4117" t="s">
        <v>241</v>
      </c>
      <c r="B4117" t="s">
        <v>41</v>
      </c>
      <c r="C4117">
        <v>86</v>
      </c>
      <c r="D4117" t="s">
        <v>12817</v>
      </c>
      <c r="E4117" t="s">
        <v>12818</v>
      </c>
      <c r="F4117" t="s">
        <v>41</v>
      </c>
      <c r="H4117" t="s">
        <v>12819</v>
      </c>
    </row>
    <row r="4118" spans="1:8">
      <c r="A4118" t="s">
        <v>239</v>
      </c>
      <c r="B4118" t="s">
        <v>41</v>
      </c>
      <c r="C4118">
        <v>86</v>
      </c>
      <c r="D4118" t="s">
        <v>12820</v>
      </c>
      <c r="E4118" t="s">
        <v>12821</v>
      </c>
      <c r="F4118" t="s">
        <v>41</v>
      </c>
      <c r="H4118" t="s">
        <v>12822</v>
      </c>
    </row>
    <row r="4119" spans="1:8">
      <c r="A4119" t="s">
        <v>239</v>
      </c>
      <c r="B4119" t="s">
        <v>41</v>
      </c>
      <c r="C4119">
        <v>86</v>
      </c>
      <c r="D4119" t="s">
        <v>12823</v>
      </c>
      <c r="E4119" t="s">
        <v>12824</v>
      </c>
      <c r="F4119" t="s">
        <v>41</v>
      </c>
      <c r="H4119" t="s">
        <v>12592</v>
      </c>
    </row>
    <row r="4120" spans="1:8">
      <c r="A4120" t="s">
        <v>239</v>
      </c>
      <c r="B4120" t="s">
        <v>41</v>
      </c>
      <c r="C4120">
        <v>86</v>
      </c>
      <c r="D4120" t="s">
        <v>12825</v>
      </c>
      <c r="E4120" t="s">
        <v>12826</v>
      </c>
      <c r="F4120" t="s">
        <v>41</v>
      </c>
      <c r="H4120" t="s">
        <v>12827</v>
      </c>
    </row>
    <row r="4121" spans="1:8">
      <c r="A4121" t="s">
        <v>239</v>
      </c>
      <c r="B4121" t="s">
        <v>41</v>
      </c>
      <c r="C4121">
        <v>86</v>
      </c>
      <c r="D4121" t="s">
        <v>12828</v>
      </c>
      <c r="E4121" t="s">
        <v>12829</v>
      </c>
      <c r="F4121" t="s">
        <v>41</v>
      </c>
    </row>
    <row r="4122" spans="1:8">
      <c r="A4122" t="s">
        <v>239</v>
      </c>
      <c r="B4122" t="s">
        <v>41</v>
      </c>
      <c r="C4122">
        <v>86</v>
      </c>
      <c r="D4122" t="s">
        <v>12830</v>
      </c>
      <c r="E4122" t="s">
        <v>12831</v>
      </c>
      <c r="F4122" t="s">
        <v>41</v>
      </c>
      <c r="H4122" t="s">
        <v>12592</v>
      </c>
    </row>
    <row r="4123" spans="1:8">
      <c r="A4123" t="s">
        <v>239</v>
      </c>
      <c r="B4123" t="s">
        <v>41</v>
      </c>
      <c r="C4123">
        <v>86</v>
      </c>
      <c r="D4123" t="s">
        <v>12832</v>
      </c>
      <c r="E4123" t="s">
        <v>12833</v>
      </c>
      <c r="F4123" t="s">
        <v>41</v>
      </c>
      <c r="H4123" t="s">
        <v>12724</v>
      </c>
    </row>
    <row r="4124" spans="1:8">
      <c r="A4124" t="s">
        <v>239</v>
      </c>
      <c r="B4124" t="s">
        <v>41</v>
      </c>
      <c r="C4124">
        <v>86</v>
      </c>
      <c r="D4124" t="s">
        <v>12834</v>
      </c>
      <c r="E4124" t="s">
        <v>12835</v>
      </c>
      <c r="F4124" t="s">
        <v>12836</v>
      </c>
      <c r="H4124" t="s">
        <v>12724</v>
      </c>
    </row>
    <row r="4125" spans="1:8">
      <c r="A4125" t="s">
        <v>241</v>
      </c>
      <c r="B4125" t="s">
        <v>41</v>
      </c>
      <c r="C4125">
        <v>86</v>
      </c>
      <c r="D4125" t="s">
        <v>12837</v>
      </c>
      <c r="E4125" t="s">
        <v>12838</v>
      </c>
      <c r="F4125" t="s">
        <v>41</v>
      </c>
      <c r="H4125" t="s">
        <v>12839</v>
      </c>
    </row>
    <row r="4126" spans="1:8">
      <c r="A4126" t="s">
        <v>240</v>
      </c>
      <c r="B4126" t="s">
        <v>41</v>
      </c>
      <c r="C4126">
        <v>86</v>
      </c>
      <c r="D4126" t="s">
        <v>12840</v>
      </c>
      <c r="E4126" t="s">
        <v>12841</v>
      </c>
      <c r="F4126" t="s">
        <v>41</v>
      </c>
      <c r="G4126" t="s">
        <v>12701</v>
      </c>
      <c r="H4126" t="s">
        <v>12338</v>
      </c>
    </row>
    <row r="4127" spans="1:8">
      <c r="A4127" t="s">
        <v>240</v>
      </c>
      <c r="B4127" t="s">
        <v>41</v>
      </c>
      <c r="C4127">
        <v>86</v>
      </c>
      <c r="D4127" t="s">
        <v>7859</v>
      </c>
      <c r="E4127" t="s">
        <v>12842</v>
      </c>
      <c r="F4127" t="s">
        <v>41</v>
      </c>
      <c r="G4127" t="s">
        <v>12843</v>
      </c>
      <c r="H4127" t="s">
        <v>12844</v>
      </c>
    </row>
    <row r="4128" spans="1:8">
      <c r="A4128" t="s">
        <v>241</v>
      </c>
      <c r="B4128" t="s">
        <v>41</v>
      </c>
      <c r="C4128">
        <v>86</v>
      </c>
      <c r="D4128" t="s">
        <v>12845</v>
      </c>
      <c r="E4128" t="s">
        <v>12846</v>
      </c>
      <c r="F4128" t="s">
        <v>41</v>
      </c>
      <c r="H4128" t="s">
        <v>12847</v>
      </c>
    </row>
    <row r="4129" spans="1:8">
      <c r="A4129" t="s">
        <v>239</v>
      </c>
      <c r="B4129" t="s">
        <v>41</v>
      </c>
      <c r="C4129">
        <v>86</v>
      </c>
      <c r="D4129" t="s">
        <v>12848</v>
      </c>
      <c r="E4129" t="s">
        <v>12849</v>
      </c>
      <c r="F4129" t="s">
        <v>41</v>
      </c>
      <c r="H4129" t="s">
        <v>12850</v>
      </c>
    </row>
    <row r="4130" spans="1:8">
      <c r="A4130" t="s">
        <v>239</v>
      </c>
      <c r="B4130" t="s">
        <v>41</v>
      </c>
      <c r="C4130">
        <v>86</v>
      </c>
      <c r="D4130" t="s">
        <v>12851</v>
      </c>
      <c r="E4130" t="s">
        <v>12852</v>
      </c>
      <c r="F4130" t="s">
        <v>41</v>
      </c>
      <c r="H4130" t="s">
        <v>12853</v>
      </c>
    </row>
    <row r="4131" spans="1:8">
      <c r="A4131" t="s">
        <v>239</v>
      </c>
      <c r="B4131" t="s">
        <v>41</v>
      </c>
      <c r="C4131">
        <v>86</v>
      </c>
      <c r="D4131" t="s">
        <v>12854</v>
      </c>
      <c r="E4131" t="s">
        <v>12855</v>
      </c>
      <c r="F4131" t="s">
        <v>41</v>
      </c>
      <c r="H4131" t="s">
        <v>12853</v>
      </c>
    </row>
    <row r="4132" spans="1:8">
      <c r="A4132" t="s">
        <v>239</v>
      </c>
      <c r="B4132" t="s">
        <v>41</v>
      </c>
      <c r="C4132">
        <v>86</v>
      </c>
      <c r="D4132" t="s">
        <v>12856</v>
      </c>
      <c r="E4132" t="s">
        <v>12857</v>
      </c>
      <c r="F4132" t="s">
        <v>41</v>
      </c>
      <c r="H4132" t="s">
        <v>12592</v>
      </c>
    </row>
    <row r="4133" spans="1:8">
      <c r="A4133" t="s">
        <v>239</v>
      </c>
      <c r="B4133" t="s">
        <v>41</v>
      </c>
      <c r="C4133">
        <v>86</v>
      </c>
      <c r="D4133" t="s">
        <v>12858</v>
      </c>
      <c r="E4133" t="s">
        <v>12859</v>
      </c>
      <c r="F4133" t="s">
        <v>41</v>
      </c>
      <c r="H4133" t="s">
        <v>12592</v>
      </c>
    </row>
    <row r="4134" spans="1:8">
      <c r="A4134" t="s">
        <v>239</v>
      </c>
      <c r="B4134" t="s">
        <v>41</v>
      </c>
      <c r="C4134">
        <v>86</v>
      </c>
      <c r="D4134" t="s">
        <v>12860</v>
      </c>
      <c r="E4134" t="s">
        <v>12857</v>
      </c>
      <c r="F4134" t="s">
        <v>41</v>
      </c>
      <c r="H4134" t="s">
        <v>12592</v>
      </c>
    </row>
    <row r="4135" spans="1:8">
      <c r="A4135" t="s">
        <v>239</v>
      </c>
      <c r="B4135" t="s">
        <v>41</v>
      </c>
      <c r="C4135">
        <v>86</v>
      </c>
      <c r="D4135" t="s">
        <v>12861</v>
      </c>
      <c r="E4135" t="s">
        <v>12862</v>
      </c>
      <c r="F4135" t="s">
        <v>41</v>
      </c>
      <c r="H4135" t="s">
        <v>12863</v>
      </c>
    </row>
    <row r="4136" spans="1:8">
      <c r="A4136" t="s">
        <v>241</v>
      </c>
      <c r="B4136" t="s">
        <v>41</v>
      </c>
      <c r="C4136">
        <v>86</v>
      </c>
      <c r="D4136" t="s">
        <v>12864</v>
      </c>
      <c r="E4136" t="s">
        <v>12865</v>
      </c>
      <c r="F4136" t="s">
        <v>12866</v>
      </c>
      <c r="H4136" t="s">
        <v>12867</v>
      </c>
    </row>
    <row r="4137" spans="1:8">
      <c r="A4137" t="s">
        <v>240</v>
      </c>
      <c r="B4137" t="s">
        <v>41</v>
      </c>
      <c r="C4137">
        <v>86</v>
      </c>
      <c r="D4137" t="s">
        <v>12868</v>
      </c>
      <c r="E4137" t="s">
        <v>12869</v>
      </c>
      <c r="F4137" t="s">
        <v>41</v>
      </c>
      <c r="G4137" t="s">
        <v>12870</v>
      </c>
      <c r="H4137" t="s">
        <v>12871</v>
      </c>
    </row>
    <row r="4138" spans="1:8">
      <c r="A4138" t="s">
        <v>240</v>
      </c>
      <c r="B4138" t="s">
        <v>41</v>
      </c>
      <c r="C4138">
        <v>86</v>
      </c>
      <c r="D4138" t="s">
        <v>12872</v>
      </c>
    </row>
    <row r="4139" spans="1:8">
      <c r="A4139" t="s">
        <v>240</v>
      </c>
      <c r="B4139" t="s">
        <v>41</v>
      </c>
      <c r="C4139">
        <v>86</v>
      </c>
      <c r="D4139" t="s">
        <v>12873</v>
      </c>
      <c r="E4139" t="s">
        <v>12874</v>
      </c>
      <c r="F4139" t="s">
        <v>41</v>
      </c>
      <c r="G4139" t="s">
        <v>12686</v>
      </c>
      <c r="H4139" t="s">
        <v>12875</v>
      </c>
    </row>
    <row r="4140" spans="1:8">
      <c r="A4140" t="s">
        <v>240</v>
      </c>
      <c r="B4140" t="s">
        <v>41</v>
      </c>
      <c r="C4140">
        <v>86</v>
      </c>
      <c r="D4140" t="s">
        <v>12876</v>
      </c>
      <c r="E4140" t="s">
        <v>12877</v>
      </c>
      <c r="F4140" t="s">
        <v>41</v>
      </c>
      <c r="G4140" t="s">
        <v>12878</v>
      </c>
      <c r="H4140" t="s">
        <v>12879</v>
      </c>
    </row>
    <row r="4141" spans="1:8">
      <c r="A4141" t="s">
        <v>240</v>
      </c>
      <c r="B4141" t="s">
        <v>41</v>
      </c>
      <c r="C4141">
        <v>86</v>
      </c>
      <c r="D4141" t="s">
        <v>12880</v>
      </c>
      <c r="E4141" t="s">
        <v>12881</v>
      </c>
      <c r="F4141" t="s">
        <v>41</v>
      </c>
      <c r="G4141" t="s">
        <v>12882</v>
      </c>
      <c r="H4141" t="s">
        <v>12883</v>
      </c>
    </row>
    <row r="4142" spans="1:8">
      <c r="A4142" t="s">
        <v>246</v>
      </c>
      <c r="B4142" t="s">
        <v>41</v>
      </c>
      <c r="C4142">
        <v>86</v>
      </c>
      <c r="D4142" t="s">
        <v>12884</v>
      </c>
      <c r="E4142" t="s">
        <v>12885</v>
      </c>
      <c r="F4142" t="s">
        <v>41</v>
      </c>
      <c r="G4142" t="s">
        <v>12886</v>
      </c>
      <c r="H4142" t="s">
        <v>12887</v>
      </c>
    </row>
    <row r="4143" spans="1:8">
      <c r="A4143" t="s">
        <v>250</v>
      </c>
      <c r="B4143" t="s">
        <v>41</v>
      </c>
      <c r="C4143">
        <v>86</v>
      </c>
      <c r="D4143" t="s">
        <v>12888</v>
      </c>
      <c r="E4143" t="s">
        <v>12889</v>
      </c>
      <c r="F4143" t="s">
        <v>41</v>
      </c>
    </row>
    <row r="4144" spans="1:8">
      <c r="A4144" t="s">
        <v>250</v>
      </c>
      <c r="B4144" t="s">
        <v>41</v>
      </c>
      <c r="C4144">
        <v>86</v>
      </c>
      <c r="D4144" t="s">
        <v>12890</v>
      </c>
      <c r="E4144" t="s">
        <v>12889</v>
      </c>
      <c r="F4144" t="s">
        <v>41</v>
      </c>
    </row>
    <row r="4145" spans="1:8">
      <c r="A4145" t="s">
        <v>250</v>
      </c>
      <c r="B4145" t="s">
        <v>41</v>
      </c>
      <c r="C4145">
        <v>86</v>
      </c>
      <c r="D4145" t="s">
        <v>12891</v>
      </c>
      <c r="E4145" t="s">
        <v>12388</v>
      </c>
      <c r="F4145" t="s">
        <v>12377</v>
      </c>
    </row>
    <row r="4146" spans="1:8">
      <c r="A4146" t="s">
        <v>240</v>
      </c>
      <c r="B4146" t="s">
        <v>41</v>
      </c>
      <c r="C4146">
        <v>86</v>
      </c>
      <c r="D4146" t="s">
        <v>12892</v>
      </c>
      <c r="E4146" t="s">
        <v>12893</v>
      </c>
      <c r="F4146" t="s">
        <v>41</v>
      </c>
      <c r="G4146" t="s">
        <v>12894</v>
      </c>
      <c r="H4146" t="s">
        <v>12895</v>
      </c>
    </row>
    <row r="4147" spans="1:8">
      <c r="A4147" t="s">
        <v>241</v>
      </c>
      <c r="B4147" t="s">
        <v>41</v>
      </c>
      <c r="C4147">
        <v>86</v>
      </c>
      <c r="D4147" t="s">
        <v>12896</v>
      </c>
      <c r="E4147" t="s">
        <v>12897</v>
      </c>
      <c r="F4147" t="s">
        <v>41</v>
      </c>
      <c r="H4147" t="s">
        <v>12898</v>
      </c>
    </row>
    <row r="4148" spans="1:8">
      <c r="A4148" t="s">
        <v>243</v>
      </c>
      <c r="B4148" t="s">
        <v>41</v>
      </c>
      <c r="C4148">
        <v>86</v>
      </c>
      <c r="D4148" t="s">
        <v>12899</v>
      </c>
      <c r="E4148" t="s">
        <v>12900</v>
      </c>
      <c r="F4148" t="s">
        <v>41</v>
      </c>
      <c r="G4148" t="s">
        <v>12901</v>
      </c>
      <c r="H4148" t="s">
        <v>12902</v>
      </c>
    </row>
    <row r="4149" spans="1:8">
      <c r="A4149" t="s">
        <v>250</v>
      </c>
      <c r="B4149" t="s">
        <v>41</v>
      </c>
      <c r="C4149">
        <v>86</v>
      </c>
      <c r="D4149" t="s">
        <v>12903</v>
      </c>
      <c r="E4149" t="s">
        <v>12430</v>
      </c>
      <c r="F4149" t="s">
        <v>41</v>
      </c>
    </row>
    <row r="4150" spans="1:8">
      <c r="A4150" t="s">
        <v>243</v>
      </c>
      <c r="B4150" t="s">
        <v>41</v>
      </c>
      <c r="C4150">
        <v>86</v>
      </c>
      <c r="D4150" t="s">
        <v>12904</v>
      </c>
      <c r="E4150" t="s">
        <v>12905</v>
      </c>
      <c r="F4150" t="s">
        <v>12906</v>
      </c>
      <c r="H4150" t="s">
        <v>12573</v>
      </c>
    </row>
    <row r="4151" spans="1:8">
      <c r="A4151" t="s">
        <v>241</v>
      </c>
      <c r="B4151" t="s">
        <v>41</v>
      </c>
      <c r="C4151">
        <v>86</v>
      </c>
      <c r="D4151" t="s">
        <v>12907</v>
      </c>
      <c r="E4151" t="s">
        <v>12908</v>
      </c>
      <c r="F4151" t="s">
        <v>41</v>
      </c>
    </row>
    <row r="4152" spans="1:8">
      <c r="A4152" t="s">
        <v>250</v>
      </c>
      <c r="B4152" t="s">
        <v>41</v>
      </c>
      <c r="C4152">
        <v>86</v>
      </c>
      <c r="D4152" t="s">
        <v>12909</v>
      </c>
      <c r="E4152" t="s">
        <v>12380</v>
      </c>
      <c r="F4152" t="s">
        <v>41</v>
      </c>
    </row>
    <row r="4153" spans="1:8">
      <c r="A4153" t="s">
        <v>250</v>
      </c>
      <c r="B4153" t="s">
        <v>41</v>
      </c>
      <c r="C4153">
        <v>86</v>
      </c>
      <c r="D4153" t="s">
        <v>12910</v>
      </c>
      <c r="E4153" t="s">
        <v>12911</v>
      </c>
      <c r="F4153" t="s">
        <v>41</v>
      </c>
    </row>
    <row r="4154" spans="1:8">
      <c r="A4154" t="s">
        <v>250</v>
      </c>
      <c r="B4154" t="s">
        <v>41</v>
      </c>
      <c r="C4154">
        <v>86</v>
      </c>
      <c r="D4154" t="s">
        <v>12912</v>
      </c>
      <c r="E4154" t="s">
        <v>12913</v>
      </c>
      <c r="F4154" t="s">
        <v>41</v>
      </c>
    </row>
    <row r="4155" spans="1:8">
      <c r="A4155" t="s">
        <v>250</v>
      </c>
      <c r="B4155" t="s">
        <v>41</v>
      </c>
      <c r="C4155">
        <v>86</v>
      </c>
      <c r="D4155" t="s">
        <v>12914</v>
      </c>
      <c r="E4155" t="s">
        <v>12380</v>
      </c>
      <c r="F4155" t="s">
        <v>12377</v>
      </c>
    </row>
    <row r="4156" spans="1:8">
      <c r="A4156" t="s">
        <v>242</v>
      </c>
      <c r="B4156" t="s">
        <v>41</v>
      </c>
      <c r="C4156">
        <v>86</v>
      </c>
      <c r="D4156" t="s">
        <v>12915</v>
      </c>
      <c r="E4156" t="s">
        <v>12916</v>
      </c>
      <c r="F4156" t="s">
        <v>41</v>
      </c>
      <c r="G4156" t="s">
        <v>12917</v>
      </c>
      <c r="H4156" t="s">
        <v>12918</v>
      </c>
    </row>
    <row r="4157" spans="1:8">
      <c r="A4157" t="s">
        <v>242</v>
      </c>
      <c r="B4157" t="s">
        <v>41</v>
      </c>
      <c r="C4157">
        <v>86</v>
      </c>
      <c r="D4157" t="s">
        <v>12919</v>
      </c>
      <c r="E4157" t="s">
        <v>12920</v>
      </c>
      <c r="F4157" t="s">
        <v>41</v>
      </c>
      <c r="G4157" t="s">
        <v>12921</v>
      </c>
      <c r="H4157" t="s">
        <v>12922</v>
      </c>
    </row>
    <row r="4158" spans="1:8">
      <c r="A4158" t="s">
        <v>242</v>
      </c>
      <c r="B4158" t="s">
        <v>41</v>
      </c>
      <c r="C4158">
        <v>86</v>
      </c>
      <c r="D4158" t="s">
        <v>12923</v>
      </c>
      <c r="E4158" t="s">
        <v>12924</v>
      </c>
      <c r="F4158" t="s">
        <v>41</v>
      </c>
      <c r="G4158" t="s">
        <v>12925</v>
      </c>
      <c r="H4158" t="s">
        <v>12926</v>
      </c>
    </row>
    <row r="4159" spans="1:8">
      <c r="A4159" t="s">
        <v>240</v>
      </c>
      <c r="B4159" t="s">
        <v>41</v>
      </c>
      <c r="C4159">
        <v>86</v>
      </c>
      <c r="D4159" t="s">
        <v>12927</v>
      </c>
      <c r="E4159" t="s">
        <v>12928</v>
      </c>
      <c r="F4159" t="s">
        <v>41</v>
      </c>
      <c r="H4159" t="s">
        <v>12929</v>
      </c>
    </row>
    <row r="4160" spans="1:8">
      <c r="A4160" t="s">
        <v>246</v>
      </c>
      <c r="B4160" t="s">
        <v>41</v>
      </c>
      <c r="C4160">
        <v>86</v>
      </c>
      <c r="D4160" t="s">
        <v>12930</v>
      </c>
      <c r="E4160" t="s">
        <v>12931</v>
      </c>
      <c r="F4160" t="s">
        <v>41</v>
      </c>
      <c r="G4160" t="s">
        <v>12932</v>
      </c>
      <c r="H4160" t="s">
        <v>12933</v>
      </c>
    </row>
    <row r="4161" spans="1:8">
      <c r="A4161" t="s">
        <v>240</v>
      </c>
      <c r="B4161" t="s">
        <v>41</v>
      </c>
      <c r="C4161">
        <v>86</v>
      </c>
      <c r="D4161" t="s">
        <v>12934</v>
      </c>
      <c r="E4161" t="s">
        <v>12935</v>
      </c>
      <c r="F4161" t="s">
        <v>41</v>
      </c>
      <c r="G4161" t="s">
        <v>12936</v>
      </c>
      <c r="H4161" t="s">
        <v>12937</v>
      </c>
    </row>
    <row r="4162" spans="1:8">
      <c r="A4162" t="s">
        <v>240</v>
      </c>
      <c r="B4162" t="s">
        <v>41</v>
      </c>
      <c r="C4162">
        <v>86</v>
      </c>
      <c r="D4162" t="s">
        <v>12938</v>
      </c>
      <c r="E4162" t="s">
        <v>12939</v>
      </c>
      <c r="F4162" t="s">
        <v>41</v>
      </c>
      <c r="G4162" t="s">
        <v>12940</v>
      </c>
      <c r="H4162" t="s">
        <v>12941</v>
      </c>
    </row>
    <row r="4163" spans="1:8">
      <c r="A4163" t="s">
        <v>240</v>
      </c>
      <c r="B4163" t="s">
        <v>41</v>
      </c>
      <c r="C4163">
        <v>86</v>
      </c>
      <c r="D4163" t="s">
        <v>12942</v>
      </c>
      <c r="E4163" t="s">
        <v>12943</v>
      </c>
      <c r="F4163" t="s">
        <v>41</v>
      </c>
      <c r="G4163" t="s">
        <v>12944</v>
      </c>
      <c r="H4163" t="s">
        <v>12945</v>
      </c>
    </row>
    <row r="4164" spans="1:8">
      <c r="A4164" t="s">
        <v>243</v>
      </c>
      <c r="B4164" t="s">
        <v>41</v>
      </c>
      <c r="C4164">
        <v>86</v>
      </c>
      <c r="D4164" t="s">
        <v>9973</v>
      </c>
      <c r="E4164" t="s">
        <v>12946</v>
      </c>
      <c r="F4164" t="s">
        <v>41</v>
      </c>
      <c r="H4164" t="s">
        <v>12947</v>
      </c>
    </row>
    <row r="4165" spans="1:8">
      <c r="A4165" t="s">
        <v>250</v>
      </c>
      <c r="B4165" t="s">
        <v>41</v>
      </c>
      <c r="C4165">
        <v>86</v>
      </c>
      <c r="D4165" t="s">
        <v>12948</v>
      </c>
      <c r="E4165" t="s">
        <v>12430</v>
      </c>
      <c r="F4165" t="s">
        <v>41</v>
      </c>
      <c r="H4165" t="s">
        <v>12949</v>
      </c>
    </row>
    <row r="4166" spans="1:8">
      <c r="A4166" t="s">
        <v>240</v>
      </c>
      <c r="B4166" t="s">
        <v>41</v>
      </c>
      <c r="C4166">
        <v>86</v>
      </c>
      <c r="D4166" t="s">
        <v>12950</v>
      </c>
      <c r="E4166" t="s">
        <v>12951</v>
      </c>
      <c r="F4166" t="s">
        <v>41</v>
      </c>
      <c r="G4166" t="s">
        <v>12952</v>
      </c>
      <c r="H4166" t="s">
        <v>12953</v>
      </c>
    </row>
    <row r="4167" spans="1:8">
      <c r="A4167" t="s">
        <v>249</v>
      </c>
      <c r="B4167" t="s">
        <v>41</v>
      </c>
      <c r="C4167">
        <v>86</v>
      </c>
      <c r="D4167" t="s">
        <v>5432</v>
      </c>
      <c r="E4167" t="s">
        <v>12954</v>
      </c>
      <c r="F4167" t="s">
        <v>41</v>
      </c>
      <c r="G4167" t="s">
        <v>12955</v>
      </c>
      <c r="H4167" t="s">
        <v>12619</v>
      </c>
    </row>
    <row r="4168" spans="1:8">
      <c r="A4168" t="s">
        <v>249</v>
      </c>
      <c r="B4168" t="s">
        <v>41</v>
      </c>
      <c r="C4168">
        <v>86</v>
      </c>
      <c r="D4168" t="s">
        <v>3349</v>
      </c>
      <c r="E4168" t="s">
        <v>12956</v>
      </c>
      <c r="F4168" t="s">
        <v>41</v>
      </c>
      <c r="G4168" t="s">
        <v>12957</v>
      </c>
      <c r="H4168" t="s">
        <v>12958</v>
      </c>
    </row>
    <row r="4169" spans="1:8">
      <c r="A4169" t="s">
        <v>249</v>
      </c>
      <c r="B4169" t="s">
        <v>41</v>
      </c>
      <c r="C4169">
        <v>86</v>
      </c>
      <c r="D4169" t="s">
        <v>12959</v>
      </c>
      <c r="E4169" t="s">
        <v>12960</v>
      </c>
      <c r="F4169" t="s">
        <v>41</v>
      </c>
      <c r="G4169" t="s">
        <v>12961</v>
      </c>
      <c r="H4169" t="s">
        <v>12962</v>
      </c>
    </row>
    <row r="4170" spans="1:8">
      <c r="A4170" t="s">
        <v>249</v>
      </c>
      <c r="B4170" t="s">
        <v>41</v>
      </c>
      <c r="C4170">
        <v>86</v>
      </c>
      <c r="D4170" t="s">
        <v>3108</v>
      </c>
      <c r="E4170" t="s">
        <v>12963</v>
      </c>
      <c r="F4170" t="s">
        <v>41</v>
      </c>
      <c r="G4170" t="s">
        <v>12964</v>
      </c>
      <c r="H4170" t="s">
        <v>12965</v>
      </c>
    </row>
    <row r="4171" spans="1:8">
      <c r="A4171" t="s">
        <v>243</v>
      </c>
      <c r="B4171" t="s">
        <v>41</v>
      </c>
      <c r="C4171">
        <v>86</v>
      </c>
      <c r="D4171" t="s">
        <v>12966</v>
      </c>
      <c r="E4171" t="s">
        <v>12967</v>
      </c>
      <c r="F4171" t="s">
        <v>41</v>
      </c>
    </row>
    <row r="4172" spans="1:8">
      <c r="A4172" t="s">
        <v>240</v>
      </c>
      <c r="B4172" t="s">
        <v>20</v>
      </c>
      <c r="C4172">
        <v>87</v>
      </c>
      <c r="D4172" t="s">
        <v>7602</v>
      </c>
      <c r="E4172" t="s">
        <v>7603</v>
      </c>
      <c r="G4172" t="s">
        <v>7604</v>
      </c>
      <c r="H4172" t="s">
        <v>7605</v>
      </c>
    </row>
    <row r="4173" spans="1:8">
      <c r="A4173" t="s">
        <v>241</v>
      </c>
      <c r="B4173" t="s">
        <v>20</v>
      </c>
      <c r="C4173">
        <v>87</v>
      </c>
      <c r="D4173" t="s">
        <v>7606</v>
      </c>
      <c r="E4173" t="s">
        <v>7607</v>
      </c>
      <c r="F4173" t="s">
        <v>20</v>
      </c>
      <c r="H4173" t="s">
        <v>7608</v>
      </c>
    </row>
    <row r="4174" spans="1:8">
      <c r="A4174" t="s">
        <v>239</v>
      </c>
      <c r="B4174" t="s">
        <v>20</v>
      </c>
      <c r="C4174">
        <v>87</v>
      </c>
      <c r="D4174" t="s">
        <v>7609</v>
      </c>
      <c r="E4174" t="s">
        <v>7610</v>
      </c>
      <c r="F4174" t="s">
        <v>20</v>
      </c>
      <c r="H4174" t="s">
        <v>7611</v>
      </c>
    </row>
    <row r="4175" spans="1:8">
      <c r="A4175" t="s">
        <v>239</v>
      </c>
      <c r="B4175" t="s">
        <v>20</v>
      </c>
      <c r="C4175">
        <v>87</v>
      </c>
      <c r="D4175" t="s">
        <v>7612</v>
      </c>
      <c r="E4175" t="s">
        <v>7613</v>
      </c>
      <c r="F4175" t="s">
        <v>20</v>
      </c>
      <c r="H4175" t="s">
        <v>7614</v>
      </c>
    </row>
    <row r="4176" spans="1:8">
      <c r="A4176" t="s">
        <v>239</v>
      </c>
      <c r="B4176" t="s">
        <v>20</v>
      </c>
      <c r="C4176">
        <v>87</v>
      </c>
      <c r="D4176" t="s">
        <v>7615</v>
      </c>
      <c r="E4176" t="s">
        <v>7616</v>
      </c>
      <c r="F4176" t="s">
        <v>20</v>
      </c>
      <c r="H4176" t="s">
        <v>7617</v>
      </c>
    </row>
    <row r="4177" spans="1:8">
      <c r="A4177" t="s">
        <v>239</v>
      </c>
      <c r="B4177" t="s">
        <v>20</v>
      </c>
      <c r="C4177">
        <v>87</v>
      </c>
      <c r="D4177" t="s">
        <v>7618</v>
      </c>
      <c r="E4177" t="s">
        <v>7619</v>
      </c>
      <c r="F4177" t="s">
        <v>20</v>
      </c>
      <c r="H4177" t="s">
        <v>7620</v>
      </c>
    </row>
    <row r="4178" spans="1:8">
      <c r="A4178" t="s">
        <v>243</v>
      </c>
      <c r="B4178" t="s">
        <v>20</v>
      </c>
      <c r="C4178">
        <v>87</v>
      </c>
      <c r="D4178" t="s">
        <v>7621</v>
      </c>
      <c r="E4178" t="s">
        <v>7622</v>
      </c>
      <c r="F4178" t="s">
        <v>20</v>
      </c>
      <c r="H4178" t="s">
        <v>7416</v>
      </c>
    </row>
    <row r="4179" spans="1:8">
      <c r="A4179" t="s">
        <v>239</v>
      </c>
      <c r="B4179" t="s">
        <v>20</v>
      </c>
      <c r="C4179">
        <v>87</v>
      </c>
      <c r="D4179" t="s">
        <v>7623</v>
      </c>
      <c r="E4179" t="s">
        <v>7624</v>
      </c>
      <c r="F4179" t="s">
        <v>20</v>
      </c>
    </row>
    <row r="4180" spans="1:8">
      <c r="A4180" t="s">
        <v>241</v>
      </c>
      <c r="B4180" t="s">
        <v>20</v>
      </c>
      <c r="C4180">
        <v>87</v>
      </c>
      <c r="D4180" t="s">
        <v>7625</v>
      </c>
      <c r="E4180" t="s">
        <v>7626</v>
      </c>
      <c r="G4180" t="s">
        <v>7627</v>
      </c>
      <c r="H4180" t="s">
        <v>7628</v>
      </c>
    </row>
    <row r="4181" spans="1:8">
      <c r="A4181" t="s">
        <v>243</v>
      </c>
      <c r="B4181" t="s">
        <v>20</v>
      </c>
      <c r="C4181">
        <v>87</v>
      </c>
      <c r="D4181" t="s">
        <v>7629</v>
      </c>
      <c r="E4181" t="s">
        <v>7630</v>
      </c>
      <c r="F4181" t="s">
        <v>20</v>
      </c>
      <c r="H4181" t="s">
        <v>7631</v>
      </c>
    </row>
    <row r="4182" spans="1:8">
      <c r="A4182" t="s">
        <v>241</v>
      </c>
      <c r="B4182" t="s">
        <v>20</v>
      </c>
      <c r="C4182">
        <v>87</v>
      </c>
      <c r="D4182" t="s">
        <v>7632</v>
      </c>
      <c r="E4182" t="s">
        <v>7633</v>
      </c>
      <c r="H4182" t="s">
        <v>7634</v>
      </c>
    </row>
    <row r="4183" spans="1:8">
      <c r="A4183" t="s">
        <v>239</v>
      </c>
      <c r="B4183" t="s">
        <v>20</v>
      </c>
      <c r="C4183">
        <v>87</v>
      </c>
      <c r="D4183" t="s">
        <v>7635</v>
      </c>
      <c r="E4183" t="s">
        <v>7624</v>
      </c>
      <c r="F4183" t="s">
        <v>20</v>
      </c>
    </row>
    <row r="4184" spans="1:8">
      <c r="A4184" t="s">
        <v>241</v>
      </c>
      <c r="B4184" t="s">
        <v>20</v>
      </c>
      <c r="C4184">
        <v>87</v>
      </c>
      <c r="D4184" t="s">
        <v>5767</v>
      </c>
      <c r="E4184" t="s">
        <v>7636</v>
      </c>
      <c r="F4184" t="s">
        <v>20</v>
      </c>
      <c r="H4184" t="s">
        <v>7637</v>
      </c>
    </row>
    <row r="4185" spans="1:8">
      <c r="A4185" t="s">
        <v>241</v>
      </c>
      <c r="B4185" t="s">
        <v>20</v>
      </c>
      <c r="C4185">
        <v>87</v>
      </c>
      <c r="D4185" t="s">
        <v>7638</v>
      </c>
      <c r="E4185" t="s">
        <v>7639</v>
      </c>
      <c r="F4185" t="s">
        <v>20</v>
      </c>
      <c r="H4185" t="s">
        <v>7640</v>
      </c>
    </row>
    <row r="4186" spans="1:8">
      <c r="A4186" t="s">
        <v>241</v>
      </c>
      <c r="B4186" t="s">
        <v>20</v>
      </c>
      <c r="C4186">
        <v>87</v>
      </c>
      <c r="D4186" t="s">
        <v>7641</v>
      </c>
      <c r="E4186" t="s">
        <v>7642</v>
      </c>
      <c r="F4186" t="s">
        <v>7643</v>
      </c>
      <c r="H4186" t="s">
        <v>7644</v>
      </c>
    </row>
    <row r="4187" spans="1:8">
      <c r="A4187" t="s">
        <v>239</v>
      </c>
      <c r="B4187" t="s">
        <v>20</v>
      </c>
      <c r="C4187">
        <v>87</v>
      </c>
      <c r="D4187" t="s">
        <v>7645</v>
      </c>
      <c r="E4187" t="s">
        <v>7646</v>
      </c>
      <c r="H4187" t="s">
        <v>7647</v>
      </c>
    </row>
    <row r="4188" spans="1:8">
      <c r="A4188" t="s">
        <v>239</v>
      </c>
      <c r="B4188" t="s">
        <v>20</v>
      </c>
      <c r="C4188">
        <v>87</v>
      </c>
      <c r="D4188" t="s">
        <v>7648</v>
      </c>
      <c r="E4188" t="s">
        <v>7649</v>
      </c>
      <c r="H4188" t="s">
        <v>7650</v>
      </c>
    </row>
    <row r="4189" spans="1:8">
      <c r="A4189" t="s">
        <v>243</v>
      </c>
      <c r="B4189" t="s">
        <v>20</v>
      </c>
      <c r="C4189">
        <v>87</v>
      </c>
      <c r="D4189" t="s">
        <v>7651</v>
      </c>
      <c r="E4189" t="s">
        <v>7652</v>
      </c>
      <c r="G4189" t="s">
        <v>7653</v>
      </c>
      <c r="H4189" t="s">
        <v>7654</v>
      </c>
    </row>
    <row r="4190" spans="1:8">
      <c r="A4190" t="s">
        <v>243</v>
      </c>
      <c r="B4190" t="s">
        <v>20</v>
      </c>
      <c r="C4190">
        <v>87</v>
      </c>
      <c r="D4190" t="s">
        <v>7655</v>
      </c>
      <c r="E4190" t="s">
        <v>7656</v>
      </c>
      <c r="F4190" t="s">
        <v>20</v>
      </c>
      <c r="H4190" t="s">
        <v>7657</v>
      </c>
    </row>
    <row r="4191" spans="1:8">
      <c r="A4191" t="s">
        <v>241</v>
      </c>
      <c r="B4191" t="s">
        <v>20</v>
      </c>
      <c r="C4191">
        <v>87</v>
      </c>
      <c r="D4191" t="s">
        <v>7658</v>
      </c>
      <c r="E4191" t="s">
        <v>7659</v>
      </c>
      <c r="G4191" t="s">
        <v>7660</v>
      </c>
      <c r="H4191" t="s">
        <v>7661</v>
      </c>
    </row>
    <row r="4192" spans="1:8">
      <c r="A4192" t="s">
        <v>241</v>
      </c>
      <c r="B4192" t="s">
        <v>20</v>
      </c>
      <c r="C4192">
        <v>87</v>
      </c>
      <c r="D4192" t="s">
        <v>7662</v>
      </c>
      <c r="E4192" t="s">
        <v>7663</v>
      </c>
      <c r="F4192" t="s">
        <v>20</v>
      </c>
      <c r="H4192" t="s">
        <v>7664</v>
      </c>
    </row>
    <row r="4193" spans="1:8">
      <c r="A4193" t="s">
        <v>241</v>
      </c>
      <c r="B4193" t="s">
        <v>20</v>
      </c>
      <c r="C4193">
        <v>87</v>
      </c>
      <c r="D4193" t="s">
        <v>7665</v>
      </c>
      <c r="E4193" t="s">
        <v>7666</v>
      </c>
      <c r="F4193" t="s">
        <v>20</v>
      </c>
      <c r="G4193" t="s">
        <v>7667</v>
      </c>
      <c r="H4193" t="s">
        <v>7668</v>
      </c>
    </row>
    <row r="4194" spans="1:8">
      <c r="A4194" t="s">
        <v>241</v>
      </c>
      <c r="B4194" t="s">
        <v>20</v>
      </c>
      <c r="C4194">
        <v>87</v>
      </c>
      <c r="D4194" t="s">
        <v>7669</v>
      </c>
      <c r="E4194" t="s">
        <v>7670</v>
      </c>
      <c r="F4194" t="s">
        <v>20</v>
      </c>
      <c r="H4194" t="s">
        <v>7671</v>
      </c>
    </row>
    <row r="4195" spans="1:8">
      <c r="A4195" t="s">
        <v>241</v>
      </c>
      <c r="B4195" t="s">
        <v>20</v>
      </c>
      <c r="C4195">
        <v>87</v>
      </c>
      <c r="D4195" t="s">
        <v>7672</v>
      </c>
      <c r="E4195" t="s">
        <v>7673</v>
      </c>
      <c r="F4195" t="s">
        <v>20</v>
      </c>
      <c r="H4195" t="s">
        <v>7674</v>
      </c>
    </row>
    <row r="4196" spans="1:8">
      <c r="A4196" t="s">
        <v>243</v>
      </c>
      <c r="B4196" t="s">
        <v>20</v>
      </c>
      <c r="C4196">
        <v>87</v>
      </c>
      <c r="D4196" t="s">
        <v>7675</v>
      </c>
      <c r="E4196" t="s">
        <v>7676</v>
      </c>
      <c r="F4196" t="s">
        <v>20</v>
      </c>
      <c r="G4196" t="s">
        <v>7677</v>
      </c>
      <c r="H4196" t="s">
        <v>7678</v>
      </c>
    </row>
    <row r="4197" spans="1:8">
      <c r="A4197" t="s">
        <v>243</v>
      </c>
      <c r="B4197" t="s">
        <v>20</v>
      </c>
      <c r="C4197">
        <v>87</v>
      </c>
      <c r="D4197" t="s">
        <v>7679</v>
      </c>
      <c r="E4197" t="s">
        <v>7680</v>
      </c>
      <c r="F4197" t="s">
        <v>20</v>
      </c>
      <c r="G4197" t="s">
        <v>7681</v>
      </c>
      <c r="H4197" t="s">
        <v>7682</v>
      </c>
    </row>
    <row r="4198" spans="1:8">
      <c r="A4198" t="s">
        <v>244</v>
      </c>
      <c r="B4198" t="s">
        <v>20</v>
      </c>
      <c r="C4198">
        <v>87</v>
      </c>
      <c r="D4198" t="s">
        <v>1342</v>
      </c>
      <c r="F4198" t="s">
        <v>20</v>
      </c>
      <c r="G4198" t="s">
        <v>7683</v>
      </c>
      <c r="H4198" t="s">
        <v>7684</v>
      </c>
    </row>
    <row r="4199" spans="1:8">
      <c r="A4199" t="s">
        <v>241</v>
      </c>
      <c r="B4199" t="s">
        <v>20</v>
      </c>
      <c r="C4199">
        <v>87</v>
      </c>
      <c r="D4199" t="s">
        <v>7685</v>
      </c>
      <c r="E4199" t="s">
        <v>7686</v>
      </c>
      <c r="F4199" t="s">
        <v>20</v>
      </c>
      <c r="G4199" t="s">
        <v>7687</v>
      </c>
      <c r="H4199" t="s">
        <v>7688</v>
      </c>
    </row>
    <row r="4200" spans="1:8">
      <c r="A4200" t="s">
        <v>241</v>
      </c>
      <c r="B4200" t="s">
        <v>178</v>
      </c>
      <c r="C4200">
        <v>87</v>
      </c>
      <c r="D4200" t="s">
        <v>7689</v>
      </c>
      <c r="E4200" t="s">
        <v>7690</v>
      </c>
      <c r="F4200" t="s">
        <v>178</v>
      </c>
      <c r="G4200" t="s">
        <v>7691</v>
      </c>
      <c r="H4200" t="s">
        <v>7692</v>
      </c>
    </row>
    <row r="4201" spans="1:8">
      <c r="A4201" t="s">
        <v>250</v>
      </c>
      <c r="B4201" t="s">
        <v>178</v>
      </c>
      <c r="C4201">
        <v>87</v>
      </c>
      <c r="D4201" t="s">
        <v>7693</v>
      </c>
      <c r="E4201" t="s">
        <v>7694</v>
      </c>
    </row>
    <row r="4202" spans="1:8">
      <c r="A4202" t="s">
        <v>250</v>
      </c>
      <c r="B4202" t="s">
        <v>178</v>
      </c>
      <c r="C4202">
        <v>87</v>
      </c>
      <c r="D4202" t="s">
        <v>7695</v>
      </c>
      <c r="E4202" t="s">
        <v>7696</v>
      </c>
    </row>
    <row r="4203" spans="1:8">
      <c r="A4203" t="s">
        <v>250</v>
      </c>
      <c r="B4203" t="s">
        <v>178</v>
      </c>
      <c r="C4203">
        <v>87</v>
      </c>
      <c r="D4203" t="s">
        <v>7697</v>
      </c>
      <c r="E4203" t="s">
        <v>7698</v>
      </c>
      <c r="F4203" t="s">
        <v>178</v>
      </c>
    </row>
    <row r="4204" spans="1:8">
      <c r="A4204" t="s">
        <v>250</v>
      </c>
      <c r="B4204" t="s">
        <v>178</v>
      </c>
      <c r="C4204">
        <v>87</v>
      </c>
      <c r="D4204" t="s">
        <v>7699</v>
      </c>
    </row>
    <row r="4205" spans="1:8">
      <c r="A4205" t="s">
        <v>250</v>
      </c>
      <c r="B4205" t="s">
        <v>178</v>
      </c>
      <c r="C4205">
        <v>87</v>
      </c>
      <c r="D4205" t="s">
        <v>5946</v>
      </c>
      <c r="E4205" t="s">
        <v>7700</v>
      </c>
      <c r="G4205" t="s">
        <v>7701</v>
      </c>
      <c r="H4205" t="s">
        <v>858</v>
      </c>
    </row>
    <row r="4206" spans="1:8">
      <c r="A4206" t="s">
        <v>250</v>
      </c>
      <c r="B4206" t="s">
        <v>178</v>
      </c>
      <c r="C4206">
        <v>87</v>
      </c>
      <c r="D4206" t="s">
        <v>7702</v>
      </c>
      <c r="E4206" t="s">
        <v>7703</v>
      </c>
      <c r="F4206" t="s">
        <v>7704</v>
      </c>
      <c r="G4206" t="s">
        <v>7705</v>
      </c>
      <c r="H4206" t="s">
        <v>7706</v>
      </c>
    </row>
    <row r="4207" spans="1:8">
      <c r="A4207" t="s">
        <v>250</v>
      </c>
      <c r="B4207" t="s">
        <v>178</v>
      </c>
      <c r="C4207">
        <v>87</v>
      </c>
      <c r="D4207" t="s">
        <v>7707</v>
      </c>
      <c r="E4207" t="s">
        <v>7694</v>
      </c>
      <c r="G4207" t="s">
        <v>7708</v>
      </c>
    </row>
    <row r="4208" spans="1:8">
      <c r="A4208" t="s">
        <v>250</v>
      </c>
      <c r="B4208" t="s">
        <v>178</v>
      </c>
      <c r="C4208">
        <v>87</v>
      </c>
      <c r="D4208" t="s">
        <v>7709</v>
      </c>
      <c r="E4208" t="s">
        <v>7694</v>
      </c>
    </row>
    <row r="4209" spans="1:8">
      <c r="A4209" t="s">
        <v>241</v>
      </c>
      <c r="B4209" t="s">
        <v>178</v>
      </c>
      <c r="C4209">
        <v>87</v>
      </c>
      <c r="D4209" t="s">
        <v>7710</v>
      </c>
      <c r="E4209" t="s">
        <v>7711</v>
      </c>
      <c r="F4209" t="s">
        <v>178</v>
      </c>
    </row>
    <row r="4210" spans="1:8">
      <c r="A4210" t="s">
        <v>250</v>
      </c>
      <c r="B4210" t="s">
        <v>178</v>
      </c>
      <c r="C4210">
        <v>87</v>
      </c>
      <c r="D4210" t="s">
        <v>7712</v>
      </c>
      <c r="E4210" t="s">
        <v>7694</v>
      </c>
    </row>
    <row r="4211" spans="1:8">
      <c r="A4211" t="s">
        <v>241</v>
      </c>
      <c r="B4211" t="s">
        <v>178</v>
      </c>
      <c r="C4211">
        <v>87</v>
      </c>
      <c r="D4211" t="s">
        <v>7713</v>
      </c>
      <c r="E4211" t="s">
        <v>7714</v>
      </c>
      <c r="H4211" t="s">
        <v>7715</v>
      </c>
    </row>
    <row r="4212" spans="1:8">
      <c r="A4212" t="s">
        <v>250</v>
      </c>
      <c r="B4212" t="s">
        <v>178</v>
      </c>
      <c r="C4212">
        <v>87</v>
      </c>
      <c r="D4212" t="s">
        <v>7716</v>
      </c>
      <c r="E4212" t="s">
        <v>7717</v>
      </c>
      <c r="F4212" t="s">
        <v>178</v>
      </c>
    </row>
    <row r="4213" spans="1:8">
      <c r="A4213" t="s">
        <v>241</v>
      </c>
      <c r="B4213" t="s">
        <v>178</v>
      </c>
      <c r="C4213">
        <v>87</v>
      </c>
      <c r="D4213" t="s">
        <v>7718</v>
      </c>
      <c r="E4213" t="s">
        <v>7719</v>
      </c>
      <c r="G4213" t="s">
        <v>7720</v>
      </c>
      <c r="H4213" t="s">
        <v>7721</v>
      </c>
    </row>
    <row r="4214" spans="1:8">
      <c r="A4214" t="s">
        <v>241</v>
      </c>
      <c r="B4214" t="s">
        <v>178</v>
      </c>
      <c r="C4214">
        <v>87</v>
      </c>
      <c r="D4214" t="s">
        <v>7722</v>
      </c>
      <c r="E4214" t="s">
        <v>7723</v>
      </c>
      <c r="F4214" t="s">
        <v>178</v>
      </c>
      <c r="H4214" t="s">
        <v>7724</v>
      </c>
    </row>
    <row r="4215" spans="1:8">
      <c r="A4215" t="s">
        <v>250</v>
      </c>
      <c r="B4215" t="s">
        <v>178</v>
      </c>
      <c r="C4215">
        <v>87</v>
      </c>
      <c r="D4215" t="s">
        <v>7725</v>
      </c>
    </row>
    <row r="4216" spans="1:8">
      <c r="A4216" t="s">
        <v>250</v>
      </c>
      <c r="B4216" t="s">
        <v>178</v>
      </c>
      <c r="C4216">
        <v>87</v>
      </c>
      <c r="D4216" t="s">
        <v>7726</v>
      </c>
      <c r="E4216" t="s">
        <v>7727</v>
      </c>
      <c r="G4216" t="s">
        <v>7728</v>
      </c>
      <c r="H4216" t="s">
        <v>7729</v>
      </c>
    </row>
    <row r="4217" spans="1:8">
      <c r="A4217" t="s">
        <v>250</v>
      </c>
      <c r="B4217" t="s">
        <v>178</v>
      </c>
      <c r="C4217">
        <v>87</v>
      </c>
      <c r="D4217" t="s">
        <v>7730</v>
      </c>
      <c r="E4217" t="s">
        <v>7731</v>
      </c>
    </row>
    <row r="4218" spans="1:8">
      <c r="A4218" t="s">
        <v>250</v>
      </c>
      <c r="B4218" t="s">
        <v>178</v>
      </c>
      <c r="C4218">
        <v>87</v>
      </c>
      <c r="D4218" t="s">
        <v>7732</v>
      </c>
      <c r="G4218" t="s">
        <v>7733</v>
      </c>
      <c r="H4218" t="s">
        <v>7734</v>
      </c>
    </row>
    <row r="4219" spans="1:8">
      <c r="A4219" t="s">
        <v>241</v>
      </c>
      <c r="B4219" t="s">
        <v>178</v>
      </c>
      <c r="C4219">
        <v>87</v>
      </c>
      <c r="D4219" t="s">
        <v>7735</v>
      </c>
      <c r="E4219" t="s">
        <v>7736</v>
      </c>
      <c r="H4219" t="s">
        <v>7737</v>
      </c>
    </row>
    <row r="4220" spans="1:8">
      <c r="A4220" t="s">
        <v>240</v>
      </c>
      <c r="B4220" t="s">
        <v>178</v>
      </c>
      <c r="C4220">
        <v>87</v>
      </c>
      <c r="D4220" t="s">
        <v>7738</v>
      </c>
      <c r="E4220" t="s">
        <v>7739</v>
      </c>
      <c r="F4220" t="s">
        <v>178</v>
      </c>
      <c r="G4220" t="s">
        <v>7740</v>
      </c>
      <c r="H4220" t="s">
        <v>7741</v>
      </c>
    </row>
    <row r="4221" spans="1:8">
      <c r="A4221" t="s">
        <v>240</v>
      </c>
      <c r="B4221" t="s">
        <v>178</v>
      </c>
      <c r="C4221">
        <v>87</v>
      </c>
      <c r="D4221" t="s">
        <v>7742</v>
      </c>
      <c r="E4221" t="s">
        <v>7743</v>
      </c>
      <c r="F4221" t="s">
        <v>178</v>
      </c>
      <c r="G4221" t="s">
        <v>7744</v>
      </c>
      <c r="H4221" t="s">
        <v>7745</v>
      </c>
    </row>
    <row r="4222" spans="1:8">
      <c r="A4222" t="s">
        <v>240</v>
      </c>
      <c r="B4222" t="s">
        <v>178</v>
      </c>
      <c r="C4222">
        <v>87</v>
      </c>
      <c r="D4222" t="s">
        <v>7746</v>
      </c>
      <c r="E4222" t="s">
        <v>7747</v>
      </c>
      <c r="G4222" t="s">
        <v>7748</v>
      </c>
      <c r="H4222" t="s">
        <v>7745</v>
      </c>
    </row>
    <row r="4223" spans="1:8">
      <c r="A4223" t="s">
        <v>251</v>
      </c>
      <c r="B4223" t="s">
        <v>178</v>
      </c>
      <c r="C4223">
        <v>87</v>
      </c>
      <c r="D4223" t="s">
        <v>7749</v>
      </c>
      <c r="F4223" t="s">
        <v>178</v>
      </c>
      <c r="H4223" t="s">
        <v>7750</v>
      </c>
    </row>
    <row r="4224" spans="1:8">
      <c r="A4224" t="s">
        <v>250</v>
      </c>
      <c r="B4224" t="s">
        <v>178</v>
      </c>
      <c r="C4224">
        <v>87</v>
      </c>
      <c r="D4224" t="s">
        <v>7716</v>
      </c>
    </row>
    <row r="4225" spans="1:8">
      <c r="A4225" t="s">
        <v>250</v>
      </c>
      <c r="B4225" t="s">
        <v>178</v>
      </c>
      <c r="C4225">
        <v>87</v>
      </c>
      <c r="D4225" t="s">
        <v>7751</v>
      </c>
      <c r="E4225" t="s">
        <v>7752</v>
      </c>
    </row>
    <row r="4226" spans="1:8">
      <c r="A4226" t="s">
        <v>250</v>
      </c>
      <c r="B4226" t="s">
        <v>178</v>
      </c>
      <c r="C4226">
        <v>87</v>
      </c>
      <c r="D4226" t="s">
        <v>7753</v>
      </c>
      <c r="E4226" t="s">
        <v>7754</v>
      </c>
    </row>
    <row r="4227" spans="1:8">
      <c r="A4227" t="s">
        <v>250</v>
      </c>
      <c r="B4227" t="s">
        <v>178</v>
      </c>
      <c r="C4227">
        <v>87</v>
      </c>
      <c r="D4227" t="s">
        <v>7755</v>
      </c>
      <c r="E4227" t="s">
        <v>7756</v>
      </c>
      <c r="H4227" t="s">
        <v>7757</v>
      </c>
    </row>
    <row r="4228" spans="1:8">
      <c r="A4228" t="s">
        <v>250</v>
      </c>
      <c r="B4228" t="s">
        <v>178</v>
      </c>
      <c r="C4228">
        <v>87</v>
      </c>
      <c r="D4228" t="s">
        <v>7758</v>
      </c>
      <c r="E4228" t="s">
        <v>7759</v>
      </c>
    </row>
    <row r="4229" spans="1:8">
      <c r="A4229" t="s">
        <v>250</v>
      </c>
      <c r="B4229" t="s">
        <v>178</v>
      </c>
      <c r="C4229">
        <v>87</v>
      </c>
      <c r="D4229" t="s">
        <v>7760</v>
      </c>
      <c r="E4229" t="s">
        <v>7731</v>
      </c>
      <c r="H4229" t="s">
        <v>7761</v>
      </c>
    </row>
    <row r="4230" spans="1:8">
      <c r="A4230" t="s">
        <v>250</v>
      </c>
      <c r="B4230" t="s">
        <v>178</v>
      </c>
      <c r="C4230">
        <v>87</v>
      </c>
      <c r="D4230" t="s">
        <v>7762</v>
      </c>
      <c r="E4230" t="s">
        <v>7763</v>
      </c>
      <c r="G4230" t="s">
        <v>7764</v>
      </c>
    </row>
    <row r="4231" spans="1:8">
      <c r="A4231" t="s">
        <v>250</v>
      </c>
      <c r="B4231" t="s">
        <v>178</v>
      </c>
      <c r="C4231">
        <v>87</v>
      </c>
      <c r="D4231" t="s">
        <v>7765</v>
      </c>
      <c r="E4231" t="s">
        <v>7694</v>
      </c>
      <c r="F4231" t="s">
        <v>178</v>
      </c>
    </row>
    <row r="4232" spans="1:8">
      <c r="A4232" t="s">
        <v>250</v>
      </c>
      <c r="B4232" t="s">
        <v>178</v>
      </c>
      <c r="C4232">
        <v>87</v>
      </c>
      <c r="D4232" t="s">
        <v>7766</v>
      </c>
      <c r="E4232" t="s">
        <v>7767</v>
      </c>
    </row>
    <row r="4233" spans="1:8">
      <c r="A4233" t="s">
        <v>250</v>
      </c>
      <c r="B4233" t="s">
        <v>178</v>
      </c>
      <c r="C4233">
        <v>87</v>
      </c>
      <c r="D4233" t="s">
        <v>7768</v>
      </c>
      <c r="E4233" t="s">
        <v>7769</v>
      </c>
      <c r="G4233" t="s">
        <v>7770</v>
      </c>
      <c r="H4233" t="s">
        <v>7771</v>
      </c>
    </row>
    <row r="4234" spans="1:8">
      <c r="A4234" t="s">
        <v>250</v>
      </c>
      <c r="B4234" t="s">
        <v>178</v>
      </c>
      <c r="C4234">
        <v>87</v>
      </c>
      <c r="D4234" t="s">
        <v>7772</v>
      </c>
      <c r="E4234" t="s">
        <v>7694</v>
      </c>
    </row>
    <row r="4235" spans="1:8">
      <c r="A4235" t="s">
        <v>250</v>
      </c>
      <c r="B4235" t="s">
        <v>178</v>
      </c>
      <c r="C4235">
        <v>87</v>
      </c>
      <c r="D4235" t="s">
        <v>7773</v>
      </c>
      <c r="E4235" t="s">
        <v>7774</v>
      </c>
      <c r="F4235" t="s">
        <v>178</v>
      </c>
      <c r="G4235" t="s">
        <v>7775</v>
      </c>
      <c r="H4235" t="s">
        <v>7776</v>
      </c>
    </row>
    <row r="4236" spans="1:8">
      <c r="A4236" t="s">
        <v>250</v>
      </c>
      <c r="B4236" t="s">
        <v>178</v>
      </c>
      <c r="C4236">
        <v>87</v>
      </c>
      <c r="D4236" t="s">
        <v>7777</v>
      </c>
      <c r="E4236" t="s">
        <v>7778</v>
      </c>
      <c r="G4236" t="s">
        <v>7779</v>
      </c>
    </row>
    <row r="4237" spans="1:8">
      <c r="A4237" t="s">
        <v>250</v>
      </c>
      <c r="B4237" t="s">
        <v>178</v>
      </c>
      <c r="C4237">
        <v>87</v>
      </c>
      <c r="D4237" t="s">
        <v>7780</v>
      </c>
      <c r="E4237" t="s">
        <v>5079</v>
      </c>
    </row>
    <row r="4238" spans="1:8">
      <c r="A4238" t="s">
        <v>250</v>
      </c>
      <c r="B4238" t="s">
        <v>178</v>
      </c>
      <c r="C4238">
        <v>87</v>
      </c>
      <c r="D4238" t="s">
        <v>7781</v>
      </c>
      <c r="G4238" t="s">
        <v>7782</v>
      </c>
    </row>
    <row r="4239" spans="1:8">
      <c r="A4239" t="s">
        <v>250</v>
      </c>
      <c r="B4239" t="s">
        <v>178</v>
      </c>
      <c r="C4239">
        <v>87</v>
      </c>
      <c r="D4239" t="s">
        <v>7783</v>
      </c>
    </row>
    <row r="4240" spans="1:8">
      <c r="A4240" t="s">
        <v>250</v>
      </c>
      <c r="B4240" t="s">
        <v>178</v>
      </c>
      <c r="C4240">
        <v>87</v>
      </c>
      <c r="D4240" t="s">
        <v>7784</v>
      </c>
      <c r="E4240" t="s">
        <v>7785</v>
      </c>
      <c r="F4240" t="s">
        <v>41</v>
      </c>
    </row>
    <row r="4241" spans="1:8">
      <c r="A4241" t="s">
        <v>250</v>
      </c>
      <c r="B4241" t="s">
        <v>178</v>
      </c>
      <c r="C4241">
        <v>87</v>
      </c>
      <c r="D4241" t="s">
        <v>7786</v>
      </c>
      <c r="E4241" t="s">
        <v>7787</v>
      </c>
    </row>
    <row r="4242" spans="1:8">
      <c r="A4242" t="s">
        <v>250</v>
      </c>
      <c r="B4242" t="s">
        <v>178</v>
      </c>
      <c r="C4242">
        <v>87</v>
      </c>
      <c r="D4242" t="s">
        <v>7788</v>
      </c>
      <c r="E4242" t="s">
        <v>7789</v>
      </c>
      <c r="G4242" t="s">
        <v>7790</v>
      </c>
    </row>
    <row r="4243" spans="1:8">
      <c r="A4243" t="s">
        <v>250</v>
      </c>
      <c r="B4243" t="s">
        <v>178</v>
      </c>
      <c r="C4243">
        <v>87</v>
      </c>
      <c r="D4243" t="s">
        <v>7791</v>
      </c>
      <c r="E4243" t="s">
        <v>7792</v>
      </c>
      <c r="F4243" t="s">
        <v>193</v>
      </c>
    </row>
    <row r="4244" spans="1:8">
      <c r="A4244" t="s">
        <v>250</v>
      </c>
      <c r="B4244" t="s">
        <v>178</v>
      </c>
      <c r="C4244">
        <v>87</v>
      </c>
      <c r="D4244" t="s">
        <v>7793</v>
      </c>
      <c r="E4244" t="s">
        <v>7694</v>
      </c>
    </row>
    <row r="4245" spans="1:8">
      <c r="A4245" t="s">
        <v>250</v>
      </c>
      <c r="B4245" t="s">
        <v>178</v>
      </c>
      <c r="C4245">
        <v>87</v>
      </c>
      <c r="D4245" t="s">
        <v>7794</v>
      </c>
      <c r="E4245" t="s">
        <v>7795</v>
      </c>
    </row>
    <row r="4246" spans="1:8">
      <c r="A4246" t="s">
        <v>250</v>
      </c>
      <c r="B4246" t="s">
        <v>178</v>
      </c>
      <c r="C4246">
        <v>87</v>
      </c>
      <c r="D4246" t="s">
        <v>7796</v>
      </c>
      <c r="E4246" t="s">
        <v>7797</v>
      </c>
      <c r="F4246" t="s">
        <v>178</v>
      </c>
    </row>
    <row r="4247" spans="1:8">
      <c r="A4247" t="s">
        <v>250</v>
      </c>
      <c r="B4247" t="s">
        <v>178</v>
      </c>
      <c r="C4247">
        <v>87</v>
      </c>
      <c r="D4247" t="s">
        <v>4602</v>
      </c>
      <c r="E4247" t="s">
        <v>7798</v>
      </c>
    </row>
    <row r="4248" spans="1:8">
      <c r="A4248" t="s">
        <v>250</v>
      </c>
      <c r="B4248" t="s">
        <v>178</v>
      </c>
      <c r="C4248">
        <v>87</v>
      </c>
      <c r="D4248" t="s">
        <v>7799</v>
      </c>
      <c r="E4248" t="s">
        <v>7800</v>
      </c>
    </row>
    <row r="4249" spans="1:8">
      <c r="A4249" t="s">
        <v>250</v>
      </c>
      <c r="B4249" t="s">
        <v>178</v>
      </c>
      <c r="C4249">
        <v>87</v>
      </c>
      <c r="D4249" t="s">
        <v>7801</v>
      </c>
      <c r="E4249" t="s">
        <v>7694</v>
      </c>
    </row>
    <row r="4250" spans="1:8">
      <c r="A4250" t="s">
        <v>250</v>
      </c>
      <c r="B4250" t="s">
        <v>178</v>
      </c>
      <c r="C4250">
        <v>87</v>
      </c>
      <c r="D4250" t="s">
        <v>7802</v>
      </c>
      <c r="E4250" t="s">
        <v>7694</v>
      </c>
      <c r="F4250" t="s">
        <v>193</v>
      </c>
      <c r="H4250" t="s">
        <v>7803</v>
      </c>
    </row>
    <row r="4251" spans="1:8">
      <c r="A4251" t="s">
        <v>250</v>
      </c>
      <c r="B4251" t="s">
        <v>178</v>
      </c>
      <c r="C4251">
        <v>87</v>
      </c>
      <c r="D4251" t="s">
        <v>7804</v>
      </c>
      <c r="E4251" t="s">
        <v>7785</v>
      </c>
    </row>
    <row r="4252" spans="1:8">
      <c r="A4252" t="s">
        <v>250</v>
      </c>
      <c r="B4252" t="s">
        <v>178</v>
      </c>
      <c r="C4252">
        <v>87</v>
      </c>
      <c r="D4252" t="s">
        <v>7805</v>
      </c>
      <c r="E4252" t="s">
        <v>7694</v>
      </c>
      <c r="G4252" t="s">
        <v>7806</v>
      </c>
      <c r="H4252" t="s">
        <v>7807</v>
      </c>
    </row>
    <row r="4253" spans="1:8">
      <c r="A4253" t="s">
        <v>250</v>
      </c>
      <c r="B4253" t="s">
        <v>178</v>
      </c>
      <c r="C4253">
        <v>87</v>
      </c>
      <c r="D4253" t="s">
        <v>7808</v>
      </c>
      <c r="E4253" t="s">
        <v>7763</v>
      </c>
      <c r="G4253" t="s">
        <v>7809</v>
      </c>
    </row>
    <row r="4254" spans="1:8">
      <c r="A4254" t="s">
        <v>250</v>
      </c>
      <c r="B4254" t="s">
        <v>178</v>
      </c>
      <c r="C4254">
        <v>87</v>
      </c>
      <c r="D4254" t="s">
        <v>7810</v>
      </c>
    </row>
    <row r="4255" spans="1:8">
      <c r="A4255" t="s">
        <v>250</v>
      </c>
      <c r="B4255" t="s">
        <v>178</v>
      </c>
      <c r="C4255">
        <v>87</v>
      </c>
      <c r="D4255" t="s">
        <v>7811</v>
      </c>
      <c r="E4255" t="s">
        <v>7754</v>
      </c>
    </row>
    <row r="4256" spans="1:8">
      <c r="A4256" t="s">
        <v>250</v>
      </c>
      <c r="B4256" t="s">
        <v>178</v>
      </c>
      <c r="C4256">
        <v>87</v>
      </c>
      <c r="D4256" t="s">
        <v>7812</v>
      </c>
      <c r="G4256" t="s">
        <v>7813</v>
      </c>
    </row>
    <row r="4257" spans="1:8">
      <c r="A4257" t="s">
        <v>250</v>
      </c>
      <c r="B4257" t="s">
        <v>178</v>
      </c>
      <c r="C4257">
        <v>87</v>
      </c>
      <c r="D4257" t="s">
        <v>7814</v>
      </c>
      <c r="E4257" t="s">
        <v>7815</v>
      </c>
      <c r="G4257" t="s">
        <v>7816</v>
      </c>
      <c r="H4257" t="s">
        <v>7817</v>
      </c>
    </row>
    <row r="4258" spans="1:8">
      <c r="A4258" t="s">
        <v>250</v>
      </c>
      <c r="B4258" t="s">
        <v>178</v>
      </c>
      <c r="C4258">
        <v>87</v>
      </c>
      <c r="D4258" t="s">
        <v>5490</v>
      </c>
      <c r="E4258" t="s">
        <v>7731</v>
      </c>
    </row>
    <row r="4259" spans="1:8">
      <c r="A4259" t="s">
        <v>250</v>
      </c>
      <c r="B4259" t="s">
        <v>178</v>
      </c>
      <c r="C4259">
        <v>87</v>
      </c>
      <c r="D4259" t="s">
        <v>7818</v>
      </c>
      <c r="E4259" t="s">
        <v>7694</v>
      </c>
    </row>
    <row r="4260" spans="1:8">
      <c r="A4260" t="s">
        <v>250</v>
      </c>
      <c r="B4260" t="s">
        <v>178</v>
      </c>
      <c r="C4260">
        <v>87</v>
      </c>
      <c r="D4260" t="s">
        <v>7819</v>
      </c>
      <c r="E4260" t="s">
        <v>7694</v>
      </c>
    </row>
    <row r="4261" spans="1:8">
      <c r="A4261" t="s">
        <v>250</v>
      </c>
      <c r="B4261" t="s">
        <v>178</v>
      </c>
      <c r="C4261">
        <v>87</v>
      </c>
      <c r="D4261" t="s">
        <v>7820</v>
      </c>
      <c r="E4261" t="s">
        <v>7694</v>
      </c>
      <c r="F4261" t="s">
        <v>193</v>
      </c>
      <c r="G4261" t="s">
        <v>7821</v>
      </c>
      <c r="H4261" t="s">
        <v>7822</v>
      </c>
    </row>
    <row r="4262" spans="1:8">
      <c r="A4262" t="s">
        <v>240</v>
      </c>
      <c r="B4262" t="s">
        <v>178</v>
      </c>
      <c r="C4262">
        <v>87</v>
      </c>
      <c r="D4262" t="s">
        <v>7823</v>
      </c>
      <c r="E4262" t="s">
        <v>7824</v>
      </c>
      <c r="F4262" t="s">
        <v>178</v>
      </c>
      <c r="H4262" t="s">
        <v>7825</v>
      </c>
    </row>
    <row r="4263" spans="1:8">
      <c r="A4263" t="s">
        <v>240</v>
      </c>
      <c r="B4263" t="s">
        <v>178</v>
      </c>
      <c r="C4263">
        <v>87</v>
      </c>
      <c r="D4263" t="s">
        <v>6265</v>
      </c>
      <c r="E4263" t="s">
        <v>7826</v>
      </c>
      <c r="F4263" t="s">
        <v>178</v>
      </c>
      <c r="G4263" t="s">
        <v>7827</v>
      </c>
      <c r="H4263" t="s">
        <v>7828</v>
      </c>
    </row>
    <row r="4264" spans="1:8">
      <c r="A4264" t="s">
        <v>240</v>
      </c>
      <c r="B4264" t="s">
        <v>178</v>
      </c>
      <c r="C4264">
        <v>87</v>
      </c>
      <c r="D4264" t="s">
        <v>7829</v>
      </c>
      <c r="E4264" t="s">
        <v>7830</v>
      </c>
      <c r="F4264" t="s">
        <v>178</v>
      </c>
      <c r="G4264" t="s">
        <v>7831</v>
      </c>
      <c r="H4264" t="s">
        <v>7832</v>
      </c>
    </row>
    <row r="4265" spans="1:8">
      <c r="A4265" t="s">
        <v>240</v>
      </c>
      <c r="B4265" t="s">
        <v>178</v>
      </c>
      <c r="C4265">
        <v>87</v>
      </c>
      <c r="D4265" t="s">
        <v>2749</v>
      </c>
      <c r="E4265" t="s">
        <v>7833</v>
      </c>
      <c r="F4265" t="s">
        <v>178</v>
      </c>
      <c r="G4265" t="s">
        <v>7834</v>
      </c>
      <c r="H4265" t="s">
        <v>7835</v>
      </c>
    </row>
    <row r="4266" spans="1:8">
      <c r="A4266" t="s">
        <v>240</v>
      </c>
      <c r="B4266" t="s">
        <v>178</v>
      </c>
      <c r="C4266">
        <v>87</v>
      </c>
      <c r="D4266" t="s">
        <v>7836</v>
      </c>
      <c r="E4266" t="s">
        <v>7837</v>
      </c>
      <c r="F4266" t="s">
        <v>178</v>
      </c>
      <c r="G4266" t="s">
        <v>7838</v>
      </c>
      <c r="H4266" t="s">
        <v>7839</v>
      </c>
    </row>
    <row r="4267" spans="1:8">
      <c r="A4267" t="s">
        <v>240</v>
      </c>
      <c r="B4267" t="s">
        <v>178</v>
      </c>
      <c r="C4267">
        <v>87</v>
      </c>
      <c r="D4267" t="s">
        <v>7840</v>
      </c>
      <c r="E4267" t="s">
        <v>7841</v>
      </c>
      <c r="F4267" t="s">
        <v>178</v>
      </c>
      <c r="G4267" t="s">
        <v>7842</v>
      </c>
      <c r="H4267" t="s">
        <v>7843</v>
      </c>
    </row>
    <row r="4268" spans="1:8">
      <c r="A4268" t="s">
        <v>240</v>
      </c>
      <c r="B4268" t="s">
        <v>178</v>
      </c>
      <c r="C4268">
        <v>87</v>
      </c>
      <c r="D4268" t="s">
        <v>7844</v>
      </c>
      <c r="E4268" t="s">
        <v>7845</v>
      </c>
      <c r="F4268" t="s">
        <v>178</v>
      </c>
      <c r="G4268" t="s">
        <v>7846</v>
      </c>
      <c r="H4268" t="s">
        <v>7816</v>
      </c>
    </row>
    <row r="4269" spans="1:8">
      <c r="A4269" t="s">
        <v>240</v>
      </c>
      <c r="B4269" t="s">
        <v>178</v>
      </c>
      <c r="C4269">
        <v>87</v>
      </c>
      <c r="D4269" t="s">
        <v>7847</v>
      </c>
      <c r="E4269" t="s">
        <v>7848</v>
      </c>
      <c r="F4269" t="s">
        <v>178</v>
      </c>
      <c r="G4269" t="s">
        <v>7849</v>
      </c>
      <c r="H4269" t="s">
        <v>7850</v>
      </c>
    </row>
    <row r="4270" spans="1:8">
      <c r="A4270" t="s">
        <v>240</v>
      </c>
      <c r="B4270" t="s">
        <v>178</v>
      </c>
      <c r="C4270">
        <v>87</v>
      </c>
      <c r="D4270" t="s">
        <v>7851</v>
      </c>
      <c r="E4270" t="s">
        <v>7852</v>
      </c>
      <c r="F4270" t="s">
        <v>178</v>
      </c>
      <c r="G4270" t="s">
        <v>7853</v>
      </c>
      <c r="H4270" t="s">
        <v>7854</v>
      </c>
    </row>
    <row r="4271" spans="1:8">
      <c r="A4271" t="s">
        <v>248</v>
      </c>
      <c r="B4271" t="s">
        <v>178</v>
      </c>
      <c r="C4271">
        <v>87</v>
      </c>
      <c r="D4271" t="s">
        <v>7855</v>
      </c>
      <c r="E4271" t="s">
        <v>7856</v>
      </c>
      <c r="F4271" t="s">
        <v>178</v>
      </c>
      <c r="G4271" t="s">
        <v>7857</v>
      </c>
      <c r="H4271" t="s">
        <v>7858</v>
      </c>
    </row>
    <row r="4272" spans="1:8">
      <c r="A4272" t="s">
        <v>240</v>
      </c>
      <c r="B4272" t="s">
        <v>178</v>
      </c>
      <c r="C4272">
        <v>87</v>
      </c>
      <c r="D4272" t="s">
        <v>7859</v>
      </c>
      <c r="E4272" t="s">
        <v>7860</v>
      </c>
      <c r="F4272" t="s">
        <v>178</v>
      </c>
      <c r="G4272" t="s">
        <v>7861</v>
      </c>
      <c r="H4272" t="s">
        <v>7862</v>
      </c>
    </row>
    <row r="4273" spans="1:8">
      <c r="A4273" t="s">
        <v>240</v>
      </c>
      <c r="B4273" t="s">
        <v>178</v>
      </c>
      <c r="C4273">
        <v>87</v>
      </c>
      <c r="D4273" t="s">
        <v>7863</v>
      </c>
      <c r="E4273" t="s">
        <v>7864</v>
      </c>
      <c r="F4273" t="s">
        <v>178</v>
      </c>
      <c r="G4273" t="s">
        <v>7865</v>
      </c>
      <c r="H4273" t="s">
        <v>7866</v>
      </c>
    </row>
    <row r="4274" spans="1:8">
      <c r="A4274" t="s">
        <v>248</v>
      </c>
      <c r="B4274" t="s">
        <v>178</v>
      </c>
      <c r="C4274">
        <v>87</v>
      </c>
      <c r="D4274" t="s">
        <v>7867</v>
      </c>
      <c r="E4274" t="s">
        <v>7868</v>
      </c>
      <c r="F4274" t="s">
        <v>178</v>
      </c>
      <c r="G4274" t="s">
        <v>7733</v>
      </c>
      <c r="H4274" t="s">
        <v>7734</v>
      </c>
    </row>
    <row r="4275" spans="1:8">
      <c r="A4275" t="s">
        <v>248</v>
      </c>
      <c r="B4275" t="s">
        <v>178</v>
      </c>
      <c r="C4275">
        <v>87</v>
      </c>
      <c r="D4275" t="s">
        <v>7869</v>
      </c>
      <c r="E4275" t="s">
        <v>7870</v>
      </c>
      <c r="F4275" t="s">
        <v>178</v>
      </c>
      <c r="G4275" t="s">
        <v>7871</v>
      </c>
      <c r="H4275" t="s">
        <v>7872</v>
      </c>
    </row>
    <row r="4276" spans="1:8">
      <c r="A4276" t="s">
        <v>241</v>
      </c>
      <c r="B4276" t="s">
        <v>178</v>
      </c>
      <c r="C4276">
        <v>87</v>
      </c>
      <c r="D4276" t="s">
        <v>7873</v>
      </c>
      <c r="E4276" t="s">
        <v>7874</v>
      </c>
      <c r="F4276" t="s">
        <v>178</v>
      </c>
      <c r="H4276" t="s">
        <v>7875</v>
      </c>
    </row>
    <row r="4277" spans="1:8">
      <c r="A4277" t="s">
        <v>244</v>
      </c>
      <c r="B4277" t="s">
        <v>178</v>
      </c>
      <c r="C4277">
        <v>87</v>
      </c>
      <c r="D4277" t="s">
        <v>1282</v>
      </c>
      <c r="F4277" t="s">
        <v>178</v>
      </c>
      <c r="H4277" t="s">
        <v>7876</v>
      </c>
    </row>
    <row r="4278" spans="1:8">
      <c r="A4278" t="s">
        <v>250</v>
      </c>
      <c r="B4278" t="s">
        <v>178</v>
      </c>
      <c r="C4278">
        <v>87</v>
      </c>
      <c r="D4278" t="s">
        <v>7877</v>
      </c>
      <c r="E4278" t="s">
        <v>7878</v>
      </c>
    </row>
    <row r="4279" spans="1:8">
      <c r="A4279" t="s">
        <v>241</v>
      </c>
      <c r="B4279" t="s">
        <v>178</v>
      </c>
      <c r="C4279">
        <v>87</v>
      </c>
      <c r="D4279" t="s">
        <v>7879</v>
      </c>
      <c r="E4279" t="s">
        <v>7880</v>
      </c>
      <c r="F4279" t="s">
        <v>178</v>
      </c>
      <c r="G4279" t="s">
        <v>7881</v>
      </c>
      <c r="H4279" t="s">
        <v>7882</v>
      </c>
    </row>
    <row r="4280" spans="1:8">
      <c r="A4280" t="s">
        <v>241</v>
      </c>
      <c r="B4280" t="s">
        <v>178</v>
      </c>
      <c r="C4280">
        <v>87</v>
      </c>
      <c r="D4280" t="s">
        <v>716</v>
      </c>
      <c r="E4280" t="s">
        <v>7883</v>
      </c>
      <c r="F4280" t="s">
        <v>178</v>
      </c>
      <c r="G4280" t="s">
        <v>7884</v>
      </c>
      <c r="H4280" t="s">
        <v>7885</v>
      </c>
    </row>
    <row r="4281" spans="1:8">
      <c r="A4281" t="s">
        <v>241</v>
      </c>
      <c r="B4281" t="s">
        <v>178</v>
      </c>
      <c r="C4281">
        <v>87</v>
      </c>
      <c r="D4281" t="s">
        <v>7886</v>
      </c>
      <c r="E4281" t="s">
        <v>7887</v>
      </c>
      <c r="F4281" t="s">
        <v>178</v>
      </c>
      <c r="G4281" t="s">
        <v>7888</v>
      </c>
      <c r="H4281" t="s">
        <v>7889</v>
      </c>
    </row>
    <row r="4282" spans="1:8">
      <c r="A4282" t="s">
        <v>241</v>
      </c>
      <c r="B4282" t="s">
        <v>178</v>
      </c>
      <c r="C4282">
        <v>87</v>
      </c>
      <c r="D4282" t="s">
        <v>7890</v>
      </c>
      <c r="E4282" t="s">
        <v>7891</v>
      </c>
      <c r="F4282" t="s">
        <v>178</v>
      </c>
      <c r="G4282" t="s">
        <v>7892</v>
      </c>
      <c r="H4282" t="s">
        <v>7893</v>
      </c>
    </row>
    <row r="4283" spans="1:8">
      <c r="A4283" t="s">
        <v>240</v>
      </c>
      <c r="B4283" t="s">
        <v>178</v>
      </c>
      <c r="C4283">
        <v>87</v>
      </c>
      <c r="D4283" t="s">
        <v>3108</v>
      </c>
      <c r="E4283" t="s">
        <v>7894</v>
      </c>
      <c r="F4283" t="s">
        <v>178</v>
      </c>
      <c r="G4283" t="s">
        <v>7861</v>
      </c>
      <c r="H4283" t="s">
        <v>7895</v>
      </c>
    </row>
    <row r="4284" spans="1:8">
      <c r="A4284" t="s">
        <v>241</v>
      </c>
      <c r="B4284" t="s">
        <v>178</v>
      </c>
      <c r="C4284">
        <v>87</v>
      </c>
      <c r="D4284" t="s">
        <v>7896</v>
      </c>
      <c r="E4284" t="s">
        <v>7897</v>
      </c>
      <c r="F4284" t="s">
        <v>178</v>
      </c>
      <c r="G4284" t="s">
        <v>7898</v>
      </c>
      <c r="H4284" t="s">
        <v>7899</v>
      </c>
    </row>
    <row r="4285" spans="1:8">
      <c r="A4285" t="s">
        <v>240</v>
      </c>
      <c r="B4285" t="s">
        <v>178</v>
      </c>
      <c r="C4285">
        <v>87</v>
      </c>
      <c r="D4285" t="s">
        <v>7900</v>
      </c>
      <c r="E4285" t="s">
        <v>7901</v>
      </c>
      <c r="F4285" t="s">
        <v>178</v>
      </c>
      <c r="H4285" t="s">
        <v>7902</v>
      </c>
    </row>
    <row r="4286" spans="1:8">
      <c r="A4286" t="s">
        <v>240</v>
      </c>
      <c r="B4286" t="s">
        <v>178</v>
      </c>
      <c r="C4286">
        <v>87</v>
      </c>
      <c r="D4286" t="s">
        <v>7903</v>
      </c>
      <c r="E4286" t="s">
        <v>7904</v>
      </c>
      <c r="F4286" t="s">
        <v>178</v>
      </c>
      <c r="G4286" t="s">
        <v>7905</v>
      </c>
      <c r="H4286" t="s">
        <v>7906</v>
      </c>
    </row>
    <row r="4287" spans="1:8">
      <c r="A4287" t="s">
        <v>250</v>
      </c>
      <c r="B4287" t="s">
        <v>178</v>
      </c>
      <c r="C4287">
        <v>87</v>
      </c>
      <c r="D4287" t="s">
        <v>7907</v>
      </c>
      <c r="E4287" t="s">
        <v>7694</v>
      </c>
    </row>
    <row r="4288" spans="1:8">
      <c r="A4288" t="s">
        <v>250</v>
      </c>
      <c r="B4288" t="s">
        <v>178</v>
      </c>
      <c r="C4288">
        <v>87</v>
      </c>
      <c r="D4288" t="s">
        <v>7908</v>
      </c>
      <c r="E4288" t="s">
        <v>7694</v>
      </c>
    </row>
    <row r="4289" spans="1:8">
      <c r="A4289" t="s">
        <v>250</v>
      </c>
      <c r="B4289" t="s">
        <v>178</v>
      </c>
      <c r="C4289">
        <v>87</v>
      </c>
      <c r="D4289" t="s">
        <v>7909</v>
      </c>
      <c r="E4289" t="s">
        <v>7694</v>
      </c>
      <c r="F4289" t="s">
        <v>178</v>
      </c>
    </row>
    <row r="4290" spans="1:8">
      <c r="A4290" t="s">
        <v>250</v>
      </c>
      <c r="B4290" t="s">
        <v>178</v>
      </c>
      <c r="C4290">
        <v>87</v>
      </c>
      <c r="D4290" t="s">
        <v>1184</v>
      </c>
      <c r="E4290" t="s">
        <v>7910</v>
      </c>
      <c r="G4290" t="s">
        <v>7911</v>
      </c>
      <c r="H4290" t="s">
        <v>7912</v>
      </c>
    </row>
    <row r="4291" spans="1:8">
      <c r="A4291" t="s">
        <v>250</v>
      </c>
      <c r="B4291" t="s">
        <v>178</v>
      </c>
      <c r="C4291">
        <v>87</v>
      </c>
      <c r="D4291" t="s">
        <v>7913</v>
      </c>
      <c r="E4291" t="s">
        <v>7914</v>
      </c>
    </row>
    <row r="4292" spans="1:8">
      <c r="A4292" t="s">
        <v>250</v>
      </c>
      <c r="B4292" t="s">
        <v>178</v>
      </c>
      <c r="C4292">
        <v>87</v>
      </c>
      <c r="D4292" t="s">
        <v>7915</v>
      </c>
      <c r="E4292" t="s">
        <v>7916</v>
      </c>
    </row>
    <row r="4293" spans="1:8">
      <c r="A4293" t="s">
        <v>250</v>
      </c>
      <c r="B4293" t="s">
        <v>178</v>
      </c>
      <c r="C4293">
        <v>87</v>
      </c>
      <c r="D4293" t="s">
        <v>7917</v>
      </c>
      <c r="E4293" t="s">
        <v>7795</v>
      </c>
    </row>
    <row r="4294" spans="1:8">
      <c r="A4294" t="s">
        <v>241</v>
      </c>
      <c r="B4294" t="s">
        <v>178</v>
      </c>
      <c r="C4294">
        <v>87</v>
      </c>
      <c r="D4294" t="s">
        <v>7918</v>
      </c>
      <c r="E4294" t="s">
        <v>7919</v>
      </c>
      <c r="F4294" t="s">
        <v>178</v>
      </c>
      <c r="H4294" t="s">
        <v>7920</v>
      </c>
    </row>
    <row r="4295" spans="1:8">
      <c r="A4295" t="s">
        <v>241</v>
      </c>
      <c r="B4295" t="s">
        <v>178</v>
      </c>
      <c r="C4295">
        <v>87</v>
      </c>
      <c r="D4295" t="s">
        <v>7921</v>
      </c>
      <c r="E4295" t="s">
        <v>7922</v>
      </c>
      <c r="F4295" t="s">
        <v>178</v>
      </c>
      <c r="H4295" t="s">
        <v>7923</v>
      </c>
    </row>
    <row r="4296" spans="1:8">
      <c r="A4296" t="s">
        <v>243</v>
      </c>
      <c r="B4296" t="s">
        <v>178</v>
      </c>
      <c r="C4296">
        <v>87</v>
      </c>
      <c r="D4296" t="s">
        <v>7924</v>
      </c>
      <c r="E4296" t="s">
        <v>7925</v>
      </c>
      <c r="F4296" t="s">
        <v>178</v>
      </c>
      <c r="G4296" t="s">
        <v>7926</v>
      </c>
      <c r="H4296" t="s">
        <v>7927</v>
      </c>
    </row>
    <row r="4297" spans="1:8">
      <c r="A4297" t="s">
        <v>248</v>
      </c>
      <c r="B4297" t="s">
        <v>178</v>
      </c>
      <c r="C4297">
        <v>87</v>
      </c>
      <c r="D4297" t="s">
        <v>7928</v>
      </c>
      <c r="E4297" t="s">
        <v>7929</v>
      </c>
      <c r="F4297" t="s">
        <v>178</v>
      </c>
      <c r="G4297" t="s">
        <v>7930</v>
      </c>
      <c r="H4297" t="s">
        <v>7931</v>
      </c>
    </row>
    <row r="4298" spans="1:8">
      <c r="A4298" t="s">
        <v>241</v>
      </c>
      <c r="B4298" t="s">
        <v>178</v>
      </c>
      <c r="C4298">
        <v>87</v>
      </c>
      <c r="D4298" t="s">
        <v>7932</v>
      </c>
      <c r="E4298" t="s">
        <v>7933</v>
      </c>
      <c r="F4298" t="s">
        <v>178</v>
      </c>
      <c r="H4298" t="s">
        <v>7934</v>
      </c>
    </row>
    <row r="4299" spans="1:8">
      <c r="A4299" t="s">
        <v>241</v>
      </c>
      <c r="B4299" t="s">
        <v>178</v>
      </c>
      <c r="C4299">
        <v>87</v>
      </c>
      <c r="D4299" t="s">
        <v>7935</v>
      </c>
      <c r="E4299" t="s">
        <v>7936</v>
      </c>
      <c r="F4299" t="s">
        <v>178</v>
      </c>
      <c r="H4299" t="s">
        <v>7937</v>
      </c>
    </row>
    <row r="4300" spans="1:8">
      <c r="A4300" t="s">
        <v>241</v>
      </c>
      <c r="B4300" t="s">
        <v>178</v>
      </c>
      <c r="C4300">
        <v>87</v>
      </c>
      <c r="D4300" t="s">
        <v>7938</v>
      </c>
      <c r="E4300" t="s">
        <v>7939</v>
      </c>
      <c r="F4300" t="s">
        <v>178</v>
      </c>
      <c r="H4300" t="s">
        <v>7940</v>
      </c>
    </row>
    <row r="4301" spans="1:8">
      <c r="A4301" t="s">
        <v>241</v>
      </c>
      <c r="B4301" t="s">
        <v>178</v>
      </c>
      <c r="C4301">
        <v>87</v>
      </c>
      <c r="D4301" t="s">
        <v>7941</v>
      </c>
      <c r="E4301" t="s">
        <v>7942</v>
      </c>
      <c r="F4301" t="s">
        <v>178</v>
      </c>
      <c r="H4301" t="s">
        <v>7943</v>
      </c>
    </row>
    <row r="4302" spans="1:8">
      <c r="A4302" t="s">
        <v>243</v>
      </c>
      <c r="B4302" t="s">
        <v>178</v>
      </c>
      <c r="C4302">
        <v>87</v>
      </c>
      <c r="D4302" t="s">
        <v>7944</v>
      </c>
      <c r="E4302" t="s">
        <v>7945</v>
      </c>
      <c r="F4302" t="s">
        <v>178</v>
      </c>
    </row>
    <row r="4303" spans="1:8">
      <c r="A4303" t="s">
        <v>242</v>
      </c>
      <c r="B4303" t="s">
        <v>178</v>
      </c>
      <c r="C4303">
        <v>87</v>
      </c>
      <c r="D4303" t="s">
        <v>7946</v>
      </c>
      <c r="E4303" t="s">
        <v>7947</v>
      </c>
      <c r="F4303" t="s">
        <v>178</v>
      </c>
      <c r="H4303" t="s">
        <v>7948</v>
      </c>
    </row>
    <row r="4304" spans="1:8">
      <c r="A4304" t="s">
        <v>249</v>
      </c>
      <c r="B4304" t="s">
        <v>178</v>
      </c>
      <c r="C4304">
        <v>87</v>
      </c>
      <c r="D4304" t="s">
        <v>7907</v>
      </c>
      <c r="E4304" t="s">
        <v>7949</v>
      </c>
      <c r="F4304" t="s">
        <v>178</v>
      </c>
      <c r="G4304" t="s">
        <v>7950</v>
      </c>
      <c r="H4304" t="s">
        <v>7951</v>
      </c>
    </row>
    <row r="4305" spans="1:8">
      <c r="A4305" t="s">
        <v>243</v>
      </c>
      <c r="B4305" t="s">
        <v>178</v>
      </c>
      <c r="C4305">
        <v>87</v>
      </c>
      <c r="D4305" t="s">
        <v>7952</v>
      </c>
      <c r="E4305" t="s">
        <v>7953</v>
      </c>
      <c r="F4305" t="s">
        <v>178</v>
      </c>
      <c r="H4305" t="s">
        <v>7954</v>
      </c>
    </row>
    <row r="4306" spans="1:8">
      <c r="A4306" t="s">
        <v>240</v>
      </c>
      <c r="B4306" t="s">
        <v>178</v>
      </c>
      <c r="C4306">
        <v>87</v>
      </c>
      <c r="D4306" t="s">
        <v>7955</v>
      </c>
      <c r="E4306" t="s">
        <v>2083</v>
      </c>
      <c r="F4306" t="s">
        <v>178</v>
      </c>
      <c r="G4306" t="s">
        <v>7956</v>
      </c>
      <c r="H4306" t="s">
        <v>7957</v>
      </c>
    </row>
    <row r="4307" spans="1:8">
      <c r="A4307" t="s">
        <v>240</v>
      </c>
      <c r="B4307" t="s">
        <v>178</v>
      </c>
      <c r="C4307">
        <v>87</v>
      </c>
      <c r="D4307" t="s">
        <v>7958</v>
      </c>
      <c r="E4307" t="s">
        <v>7959</v>
      </c>
      <c r="F4307" t="s">
        <v>178</v>
      </c>
      <c r="G4307" t="s">
        <v>7956</v>
      </c>
      <c r="H4307" t="s">
        <v>7957</v>
      </c>
    </row>
    <row r="4308" spans="1:8">
      <c r="A4308" t="s">
        <v>240</v>
      </c>
      <c r="B4308" t="s">
        <v>178</v>
      </c>
      <c r="C4308">
        <v>87</v>
      </c>
      <c r="D4308" t="s">
        <v>7960</v>
      </c>
      <c r="E4308" t="s">
        <v>7961</v>
      </c>
      <c r="F4308" t="s">
        <v>178</v>
      </c>
      <c r="G4308" t="s">
        <v>7962</v>
      </c>
      <c r="H4308" t="s">
        <v>7963</v>
      </c>
    </row>
    <row r="4309" spans="1:8">
      <c r="A4309" t="s">
        <v>243</v>
      </c>
      <c r="B4309" t="s">
        <v>178</v>
      </c>
      <c r="C4309">
        <v>87</v>
      </c>
      <c r="D4309" t="s">
        <v>7964</v>
      </c>
      <c r="E4309" t="s">
        <v>7965</v>
      </c>
      <c r="F4309" t="s">
        <v>178</v>
      </c>
      <c r="H4309" t="s">
        <v>7966</v>
      </c>
    </row>
    <row r="4310" spans="1:8">
      <c r="A4310" t="s">
        <v>241</v>
      </c>
      <c r="B4310" t="s">
        <v>178</v>
      </c>
      <c r="C4310">
        <v>87</v>
      </c>
      <c r="D4310" t="s">
        <v>7967</v>
      </c>
      <c r="E4310" t="s">
        <v>7968</v>
      </c>
      <c r="H4310" t="s">
        <v>7969</v>
      </c>
    </row>
    <row r="4311" spans="1:8">
      <c r="A4311" t="s">
        <v>243</v>
      </c>
      <c r="B4311" t="s">
        <v>178</v>
      </c>
      <c r="C4311">
        <v>87</v>
      </c>
      <c r="D4311" t="s">
        <v>7970</v>
      </c>
      <c r="E4311" t="s">
        <v>7971</v>
      </c>
      <c r="F4311" t="s">
        <v>178</v>
      </c>
      <c r="G4311" t="s">
        <v>7972</v>
      </c>
      <c r="H4311" t="s">
        <v>7973</v>
      </c>
    </row>
    <row r="4312" spans="1:8">
      <c r="A4312" t="s">
        <v>241</v>
      </c>
      <c r="B4312" t="s">
        <v>178</v>
      </c>
      <c r="C4312">
        <v>87</v>
      </c>
      <c r="D4312" t="s">
        <v>7974</v>
      </c>
      <c r="E4312" t="s">
        <v>7975</v>
      </c>
      <c r="H4312" t="s">
        <v>7976</v>
      </c>
    </row>
    <row r="4313" spans="1:8">
      <c r="A4313" t="s">
        <v>250</v>
      </c>
      <c r="B4313" t="s">
        <v>178</v>
      </c>
      <c r="C4313">
        <v>87</v>
      </c>
      <c r="D4313" t="s">
        <v>7977</v>
      </c>
      <c r="E4313" t="s">
        <v>7978</v>
      </c>
    </row>
    <row r="4314" spans="1:8">
      <c r="A4314" t="s">
        <v>241</v>
      </c>
      <c r="B4314" t="s">
        <v>178</v>
      </c>
      <c r="C4314">
        <v>87</v>
      </c>
      <c r="D4314" t="s">
        <v>7979</v>
      </c>
      <c r="E4314" t="s">
        <v>7980</v>
      </c>
      <c r="H4314" t="s">
        <v>7839</v>
      </c>
    </row>
    <row r="4315" spans="1:8">
      <c r="A4315" t="s">
        <v>241</v>
      </c>
      <c r="B4315" t="s">
        <v>178</v>
      </c>
      <c r="C4315">
        <v>87</v>
      </c>
      <c r="D4315" t="s">
        <v>7981</v>
      </c>
      <c r="E4315" t="s">
        <v>7982</v>
      </c>
      <c r="G4315" t="s">
        <v>7983</v>
      </c>
      <c r="H4315" t="s">
        <v>7984</v>
      </c>
    </row>
    <row r="4316" spans="1:8">
      <c r="A4316" t="s">
        <v>241</v>
      </c>
      <c r="B4316" t="s">
        <v>178</v>
      </c>
      <c r="C4316">
        <v>87</v>
      </c>
      <c r="D4316" t="s">
        <v>7985</v>
      </c>
      <c r="E4316" t="s">
        <v>7986</v>
      </c>
      <c r="F4316" t="s">
        <v>178</v>
      </c>
      <c r="G4316" t="s">
        <v>7987</v>
      </c>
      <c r="H4316" t="s">
        <v>7988</v>
      </c>
    </row>
    <row r="4317" spans="1:8">
      <c r="A4317" t="s">
        <v>241</v>
      </c>
      <c r="B4317" t="s">
        <v>178</v>
      </c>
      <c r="C4317">
        <v>87</v>
      </c>
      <c r="D4317" t="s">
        <v>7989</v>
      </c>
      <c r="E4317" t="s">
        <v>7990</v>
      </c>
      <c r="H4317" t="s">
        <v>7991</v>
      </c>
    </row>
    <row r="4318" spans="1:8">
      <c r="A4318" t="s">
        <v>241</v>
      </c>
      <c r="B4318" t="s">
        <v>178</v>
      </c>
      <c r="C4318">
        <v>87</v>
      </c>
      <c r="D4318" t="s">
        <v>7992</v>
      </c>
      <c r="E4318" t="s">
        <v>7993</v>
      </c>
      <c r="H4318" t="s">
        <v>7994</v>
      </c>
    </row>
    <row r="4319" spans="1:8">
      <c r="A4319" t="s">
        <v>243</v>
      </c>
      <c r="B4319" t="s">
        <v>178</v>
      </c>
      <c r="C4319">
        <v>87</v>
      </c>
      <c r="D4319" t="s">
        <v>7995</v>
      </c>
      <c r="E4319" t="s">
        <v>7996</v>
      </c>
      <c r="G4319" t="s">
        <v>7997</v>
      </c>
      <c r="H4319" t="s">
        <v>7998</v>
      </c>
    </row>
    <row r="4320" spans="1:8">
      <c r="A4320" t="s">
        <v>243</v>
      </c>
      <c r="B4320" t="s">
        <v>178</v>
      </c>
      <c r="C4320">
        <v>87</v>
      </c>
      <c r="D4320" t="s">
        <v>7999</v>
      </c>
      <c r="E4320" t="s">
        <v>8000</v>
      </c>
      <c r="G4320" t="s">
        <v>8001</v>
      </c>
      <c r="H4320" t="s">
        <v>8002</v>
      </c>
    </row>
    <row r="4321" spans="1:8">
      <c r="A4321" t="s">
        <v>239</v>
      </c>
      <c r="B4321" t="s">
        <v>178</v>
      </c>
      <c r="C4321">
        <v>87</v>
      </c>
      <c r="D4321" t="s">
        <v>8003</v>
      </c>
      <c r="E4321" t="s">
        <v>8004</v>
      </c>
      <c r="H4321" t="s">
        <v>8005</v>
      </c>
    </row>
    <row r="4322" spans="1:8">
      <c r="A4322" t="s">
        <v>241</v>
      </c>
      <c r="B4322" t="s">
        <v>178</v>
      </c>
      <c r="C4322">
        <v>87</v>
      </c>
      <c r="D4322" t="s">
        <v>8006</v>
      </c>
      <c r="E4322" t="s">
        <v>8007</v>
      </c>
      <c r="H4322" t="s">
        <v>8008</v>
      </c>
    </row>
    <row r="4323" spans="1:8">
      <c r="A4323" t="s">
        <v>239</v>
      </c>
      <c r="B4323" t="s">
        <v>178</v>
      </c>
      <c r="C4323">
        <v>87</v>
      </c>
      <c r="D4323" t="s">
        <v>8009</v>
      </c>
      <c r="E4323" t="s">
        <v>8010</v>
      </c>
      <c r="H4323" t="s">
        <v>8011</v>
      </c>
    </row>
    <row r="4324" spans="1:8">
      <c r="A4324" t="s">
        <v>240</v>
      </c>
      <c r="B4324" t="s">
        <v>178</v>
      </c>
      <c r="C4324">
        <v>87</v>
      </c>
      <c r="D4324" t="s">
        <v>8012</v>
      </c>
      <c r="E4324" t="s">
        <v>8013</v>
      </c>
      <c r="F4324" t="s">
        <v>178</v>
      </c>
      <c r="G4324" t="s">
        <v>7822</v>
      </c>
      <c r="H4324" t="s">
        <v>8014</v>
      </c>
    </row>
    <row r="4325" spans="1:8">
      <c r="A4325" t="s">
        <v>241</v>
      </c>
      <c r="B4325" t="s">
        <v>178</v>
      </c>
      <c r="C4325">
        <v>87</v>
      </c>
      <c r="D4325" t="s">
        <v>8015</v>
      </c>
      <c r="E4325" t="s">
        <v>8016</v>
      </c>
      <c r="H4325" t="s">
        <v>8017</v>
      </c>
    </row>
    <row r="4326" spans="1:8">
      <c r="A4326" t="s">
        <v>241</v>
      </c>
      <c r="B4326" t="s">
        <v>178</v>
      </c>
      <c r="C4326">
        <v>87</v>
      </c>
      <c r="D4326" t="s">
        <v>8018</v>
      </c>
      <c r="E4326" t="s">
        <v>8016</v>
      </c>
      <c r="H4326" t="s">
        <v>8017</v>
      </c>
    </row>
    <row r="4327" spans="1:8">
      <c r="A4327" t="s">
        <v>250</v>
      </c>
      <c r="B4327" t="s">
        <v>178</v>
      </c>
      <c r="C4327">
        <v>87</v>
      </c>
      <c r="D4327" t="s">
        <v>8019</v>
      </c>
      <c r="E4327" t="s">
        <v>8020</v>
      </c>
      <c r="H4327" t="s">
        <v>8021</v>
      </c>
    </row>
    <row r="4328" spans="1:8">
      <c r="A4328" t="s">
        <v>241</v>
      </c>
      <c r="B4328" t="s">
        <v>178</v>
      </c>
      <c r="C4328">
        <v>87</v>
      </c>
      <c r="D4328" t="s">
        <v>8022</v>
      </c>
      <c r="E4328" t="s">
        <v>8023</v>
      </c>
      <c r="G4328" t="s">
        <v>8024</v>
      </c>
      <c r="H4328" t="s">
        <v>8025</v>
      </c>
    </row>
    <row r="4329" spans="1:8">
      <c r="A4329" t="s">
        <v>243</v>
      </c>
      <c r="B4329" t="s">
        <v>178</v>
      </c>
      <c r="C4329">
        <v>87</v>
      </c>
      <c r="D4329" t="s">
        <v>8026</v>
      </c>
      <c r="E4329" t="s">
        <v>8027</v>
      </c>
      <c r="F4329" t="s">
        <v>178</v>
      </c>
      <c r="H4329" t="s">
        <v>7940</v>
      </c>
    </row>
    <row r="4330" spans="1:8">
      <c r="A4330" t="s">
        <v>238</v>
      </c>
      <c r="B4330" t="s">
        <v>178</v>
      </c>
      <c r="C4330">
        <v>87</v>
      </c>
      <c r="D4330" t="s">
        <v>8028</v>
      </c>
      <c r="E4330" t="s">
        <v>8029</v>
      </c>
      <c r="F4330" t="s">
        <v>178</v>
      </c>
      <c r="G4330" t="s">
        <v>8030</v>
      </c>
      <c r="H4330" t="s">
        <v>8031</v>
      </c>
    </row>
    <row r="4331" spans="1:8">
      <c r="A4331" t="s">
        <v>241</v>
      </c>
      <c r="B4331" t="s">
        <v>178</v>
      </c>
      <c r="C4331">
        <v>87</v>
      </c>
      <c r="D4331" t="s">
        <v>8032</v>
      </c>
      <c r="E4331" t="s">
        <v>8033</v>
      </c>
      <c r="H4331" t="s">
        <v>8034</v>
      </c>
    </row>
    <row r="4332" spans="1:8">
      <c r="A4332" t="s">
        <v>248</v>
      </c>
      <c r="B4332" t="s">
        <v>178</v>
      </c>
      <c r="C4332">
        <v>87</v>
      </c>
      <c r="D4332" t="s">
        <v>8035</v>
      </c>
      <c r="E4332" t="s">
        <v>8036</v>
      </c>
      <c r="F4332" t="s">
        <v>178</v>
      </c>
      <c r="G4332" t="s">
        <v>8037</v>
      </c>
      <c r="H4332" t="s">
        <v>8038</v>
      </c>
    </row>
    <row r="4333" spans="1:8">
      <c r="A4333" t="s">
        <v>241</v>
      </c>
      <c r="B4333" t="s">
        <v>178</v>
      </c>
      <c r="C4333">
        <v>87</v>
      </c>
      <c r="D4333" t="s">
        <v>8039</v>
      </c>
      <c r="E4333" t="s">
        <v>8040</v>
      </c>
      <c r="F4333" t="s">
        <v>178</v>
      </c>
      <c r="G4333" t="s">
        <v>7888</v>
      </c>
      <c r="H4333" t="s">
        <v>7889</v>
      </c>
    </row>
    <row r="4334" spans="1:8">
      <c r="A4334" t="s">
        <v>248</v>
      </c>
      <c r="B4334" t="s">
        <v>178</v>
      </c>
      <c r="C4334">
        <v>87</v>
      </c>
      <c r="D4334" t="s">
        <v>8041</v>
      </c>
      <c r="E4334" t="s">
        <v>8042</v>
      </c>
      <c r="F4334" t="s">
        <v>178</v>
      </c>
      <c r="G4334" t="s">
        <v>8043</v>
      </c>
      <c r="H4334" t="s">
        <v>8044</v>
      </c>
    </row>
    <row r="4335" spans="1:8">
      <c r="A4335" t="s">
        <v>243</v>
      </c>
      <c r="B4335" t="s">
        <v>178</v>
      </c>
      <c r="C4335">
        <v>87</v>
      </c>
      <c r="D4335" t="s">
        <v>8045</v>
      </c>
      <c r="E4335" t="s">
        <v>8046</v>
      </c>
      <c r="F4335" t="s">
        <v>178</v>
      </c>
      <c r="G4335" t="s">
        <v>8047</v>
      </c>
      <c r="H4335" t="s">
        <v>8048</v>
      </c>
    </row>
    <row r="4336" spans="1:8">
      <c r="A4336" t="s">
        <v>241</v>
      </c>
      <c r="B4336" t="s">
        <v>178</v>
      </c>
      <c r="C4336">
        <v>87</v>
      </c>
      <c r="D4336" t="s">
        <v>8049</v>
      </c>
      <c r="E4336" t="s">
        <v>8050</v>
      </c>
      <c r="F4336" t="s">
        <v>178</v>
      </c>
      <c r="G4336" t="s">
        <v>8051</v>
      </c>
      <c r="H4336" t="s">
        <v>8052</v>
      </c>
    </row>
    <row r="4337" spans="1:8">
      <c r="A4337" t="s">
        <v>241</v>
      </c>
      <c r="B4337" t="s">
        <v>178</v>
      </c>
      <c r="C4337">
        <v>87</v>
      </c>
      <c r="D4337" t="s">
        <v>8053</v>
      </c>
      <c r="E4337" t="s">
        <v>8050</v>
      </c>
      <c r="F4337" t="s">
        <v>178</v>
      </c>
      <c r="G4337" t="s">
        <v>8054</v>
      </c>
      <c r="H4337" t="s">
        <v>8055</v>
      </c>
    </row>
    <row r="4338" spans="1:8">
      <c r="A4338" t="s">
        <v>241</v>
      </c>
      <c r="B4338" t="s">
        <v>178</v>
      </c>
      <c r="C4338">
        <v>87</v>
      </c>
      <c r="D4338" t="s">
        <v>8056</v>
      </c>
      <c r="E4338" t="s">
        <v>8057</v>
      </c>
      <c r="H4338" t="s">
        <v>8058</v>
      </c>
    </row>
    <row r="4339" spans="1:8">
      <c r="A4339" t="s">
        <v>241</v>
      </c>
      <c r="B4339" t="s">
        <v>178</v>
      </c>
      <c r="C4339">
        <v>87</v>
      </c>
      <c r="D4339" t="s">
        <v>8059</v>
      </c>
      <c r="E4339" t="s">
        <v>8060</v>
      </c>
      <c r="G4339" t="s">
        <v>8061</v>
      </c>
      <c r="H4339" t="s">
        <v>8062</v>
      </c>
    </row>
    <row r="4340" spans="1:8">
      <c r="A4340" t="s">
        <v>241</v>
      </c>
      <c r="B4340" t="s">
        <v>178</v>
      </c>
      <c r="C4340">
        <v>87</v>
      </c>
      <c r="D4340" t="s">
        <v>8063</v>
      </c>
      <c r="E4340" t="s">
        <v>8064</v>
      </c>
      <c r="F4340" t="s">
        <v>8065</v>
      </c>
      <c r="G4340" t="s">
        <v>8066</v>
      </c>
      <c r="H4340" t="s">
        <v>8067</v>
      </c>
    </row>
    <row r="4341" spans="1:8">
      <c r="A4341" t="s">
        <v>246</v>
      </c>
      <c r="B4341" t="s">
        <v>178</v>
      </c>
      <c r="C4341">
        <v>87</v>
      </c>
      <c r="D4341" t="s">
        <v>8068</v>
      </c>
      <c r="E4341" t="s">
        <v>8069</v>
      </c>
      <c r="F4341" t="s">
        <v>178</v>
      </c>
      <c r="G4341" t="s">
        <v>8070</v>
      </c>
      <c r="H4341" t="s">
        <v>8071</v>
      </c>
    </row>
    <row r="4342" spans="1:8">
      <c r="A4342" t="s">
        <v>241</v>
      </c>
      <c r="B4342" t="s">
        <v>179</v>
      </c>
      <c r="C4342">
        <v>87</v>
      </c>
      <c r="D4342" t="s">
        <v>8904</v>
      </c>
      <c r="E4342" t="s">
        <v>8905</v>
      </c>
      <c r="F4342" t="s">
        <v>179</v>
      </c>
      <c r="G4342" t="s">
        <v>8906</v>
      </c>
      <c r="H4342" t="s">
        <v>8907</v>
      </c>
    </row>
    <row r="4343" spans="1:8">
      <c r="A4343" t="s">
        <v>240</v>
      </c>
      <c r="B4343" t="s">
        <v>179</v>
      </c>
      <c r="C4343">
        <v>87</v>
      </c>
      <c r="D4343" t="s">
        <v>8908</v>
      </c>
      <c r="E4343" t="s">
        <v>8909</v>
      </c>
      <c r="F4343" t="s">
        <v>179</v>
      </c>
      <c r="H4343" t="s">
        <v>8910</v>
      </c>
    </row>
    <row r="4344" spans="1:8">
      <c r="A4344" t="s">
        <v>250</v>
      </c>
      <c r="B4344" t="s">
        <v>89</v>
      </c>
      <c r="C4344">
        <v>87</v>
      </c>
      <c r="D4344" t="s">
        <v>11087</v>
      </c>
      <c r="E4344" t="s">
        <v>11088</v>
      </c>
      <c r="G4344" t="s">
        <v>11089</v>
      </c>
      <c r="H4344" t="s">
        <v>11090</v>
      </c>
    </row>
    <row r="4345" spans="1:8">
      <c r="A4345" t="s">
        <v>250</v>
      </c>
      <c r="B4345" t="s">
        <v>89</v>
      </c>
      <c r="C4345">
        <v>87</v>
      </c>
      <c r="D4345" t="s">
        <v>11091</v>
      </c>
      <c r="E4345" t="s">
        <v>11092</v>
      </c>
      <c r="F4345" t="s">
        <v>89</v>
      </c>
      <c r="H4345" t="s">
        <v>11093</v>
      </c>
    </row>
    <row r="4346" spans="1:8">
      <c r="A4346" t="s">
        <v>243</v>
      </c>
      <c r="B4346" t="s">
        <v>89</v>
      </c>
      <c r="C4346">
        <v>87</v>
      </c>
      <c r="D4346" t="s">
        <v>11094</v>
      </c>
      <c r="E4346" t="s">
        <v>11095</v>
      </c>
      <c r="F4346" t="s">
        <v>89</v>
      </c>
      <c r="G4346" t="s">
        <v>11096</v>
      </c>
      <c r="H4346" t="s">
        <v>11097</v>
      </c>
    </row>
    <row r="4347" spans="1:8">
      <c r="A4347" t="s">
        <v>243</v>
      </c>
      <c r="B4347" t="s">
        <v>89</v>
      </c>
      <c r="C4347">
        <v>87</v>
      </c>
      <c r="D4347" t="s">
        <v>11098</v>
      </c>
      <c r="E4347" t="s">
        <v>11099</v>
      </c>
      <c r="F4347" t="s">
        <v>89</v>
      </c>
      <c r="H4347" t="s">
        <v>11100</v>
      </c>
    </row>
    <row r="4348" spans="1:8">
      <c r="A4348" t="s">
        <v>243</v>
      </c>
      <c r="B4348" t="s">
        <v>89</v>
      </c>
      <c r="C4348">
        <v>87</v>
      </c>
      <c r="D4348" t="s">
        <v>11101</v>
      </c>
      <c r="E4348" t="s">
        <v>11102</v>
      </c>
      <c r="F4348" t="s">
        <v>89</v>
      </c>
      <c r="G4348" t="s">
        <v>11103</v>
      </c>
      <c r="H4348" t="s">
        <v>11104</v>
      </c>
    </row>
    <row r="4349" spans="1:8">
      <c r="A4349" t="s">
        <v>243</v>
      </c>
      <c r="B4349" t="s">
        <v>89</v>
      </c>
      <c r="C4349">
        <v>87</v>
      </c>
      <c r="D4349" t="s">
        <v>11105</v>
      </c>
      <c r="E4349" t="s">
        <v>11106</v>
      </c>
      <c r="F4349" t="s">
        <v>89</v>
      </c>
      <c r="G4349" t="s">
        <v>11107</v>
      </c>
      <c r="H4349" t="s">
        <v>11108</v>
      </c>
    </row>
    <row r="4350" spans="1:8">
      <c r="A4350" t="s">
        <v>241</v>
      </c>
      <c r="B4350" t="s">
        <v>89</v>
      </c>
      <c r="C4350">
        <v>87</v>
      </c>
      <c r="D4350" t="s">
        <v>11109</v>
      </c>
      <c r="E4350" t="s">
        <v>11110</v>
      </c>
      <c r="F4350" t="s">
        <v>11111</v>
      </c>
      <c r="G4350" t="s">
        <v>11112</v>
      </c>
      <c r="H4350" t="s">
        <v>11113</v>
      </c>
    </row>
    <row r="4351" spans="1:8">
      <c r="A4351" t="s">
        <v>250</v>
      </c>
      <c r="B4351" t="s">
        <v>89</v>
      </c>
      <c r="C4351">
        <v>87</v>
      </c>
      <c r="D4351" t="s">
        <v>11114</v>
      </c>
      <c r="E4351" t="s">
        <v>11115</v>
      </c>
      <c r="F4351" t="s">
        <v>89</v>
      </c>
    </row>
    <row r="4352" spans="1:8">
      <c r="A4352" t="s">
        <v>243</v>
      </c>
      <c r="B4352" t="s">
        <v>89</v>
      </c>
      <c r="C4352">
        <v>87</v>
      </c>
      <c r="D4352" t="s">
        <v>11116</v>
      </c>
      <c r="E4352" t="s">
        <v>11117</v>
      </c>
      <c r="F4352" t="s">
        <v>89</v>
      </c>
      <c r="H4352" t="s">
        <v>11118</v>
      </c>
    </row>
    <row r="4353" spans="1:8">
      <c r="A4353" t="s">
        <v>243</v>
      </c>
      <c r="B4353" t="s">
        <v>89</v>
      </c>
      <c r="C4353">
        <v>87</v>
      </c>
      <c r="D4353" t="s">
        <v>11119</v>
      </c>
      <c r="E4353" t="s">
        <v>11120</v>
      </c>
      <c r="F4353" t="s">
        <v>89</v>
      </c>
    </row>
    <row r="4354" spans="1:8">
      <c r="A4354" t="s">
        <v>243</v>
      </c>
      <c r="B4354" t="s">
        <v>89</v>
      </c>
      <c r="C4354">
        <v>87</v>
      </c>
      <c r="D4354" t="s">
        <v>11121</v>
      </c>
      <c r="E4354" t="s">
        <v>11122</v>
      </c>
      <c r="F4354" t="s">
        <v>11111</v>
      </c>
      <c r="G4354" t="s">
        <v>11123</v>
      </c>
      <c r="H4354" t="s">
        <v>11124</v>
      </c>
    </row>
    <row r="4355" spans="1:8">
      <c r="A4355" t="s">
        <v>240</v>
      </c>
      <c r="B4355" t="s">
        <v>89</v>
      </c>
      <c r="C4355">
        <v>87</v>
      </c>
      <c r="D4355" t="s">
        <v>11125</v>
      </c>
      <c r="E4355" t="s">
        <v>11126</v>
      </c>
      <c r="F4355" t="s">
        <v>89</v>
      </c>
      <c r="G4355" t="s">
        <v>11127</v>
      </c>
      <c r="H4355" t="s">
        <v>11128</v>
      </c>
    </row>
    <row r="4356" spans="1:8">
      <c r="A4356" t="s">
        <v>241</v>
      </c>
      <c r="B4356" t="s">
        <v>89</v>
      </c>
      <c r="C4356">
        <v>87</v>
      </c>
      <c r="D4356" t="s">
        <v>11129</v>
      </c>
      <c r="E4356" t="s">
        <v>11130</v>
      </c>
      <c r="F4356" t="s">
        <v>89</v>
      </c>
      <c r="G4356" t="s">
        <v>11131</v>
      </c>
      <c r="H4356" t="s">
        <v>11132</v>
      </c>
    </row>
    <row r="4357" spans="1:8">
      <c r="A4357" t="s">
        <v>241</v>
      </c>
      <c r="B4357" t="s">
        <v>89</v>
      </c>
      <c r="C4357">
        <v>87</v>
      </c>
      <c r="D4357" t="s">
        <v>11133</v>
      </c>
      <c r="E4357" t="s">
        <v>11134</v>
      </c>
      <c r="F4357" t="s">
        <v>89</v>
      </c>
    </row>
    <row r="4358" spans="1:8">
      <c r="A4358" t="s">
        <v>248</v>
      </c>
      <c r="B4358" t="s">
        <v>89</v>
      </c>
      <c r="C4358">
        <v>87</v>
      </c>
      <c r="D4358" t="s">
        <v>11135</v>
      </c>
      <c r="E4358" t="s">
        <v>11136</v>
      </c>
      <c r="F4358" t="s">
        <v>89</v>
      </c>
      <c r="G4358" t="s">
        <v>11137</v>
      </c>
      <c r="H4358" t="s">
        <v>11138</v>
      </c>
    </row>
    <row r="4359" spans="1:8">
      <c r="A4359" t="s">
        <v>240</v>
      </c>
      <c r="B4359" t="s">
        <v>89</v>
      </c>
      <c r="C4359">
        <v>87</v>
      </c>
      <c r="D4359" t="s">
        <v>11139</v>
      </c>
      <c r="G4359" t="s">
        <v>11140</v>
      </c>
      <c r="H4359" t="s">
        <v>11141</v>
      </c>
    </row>
    <row r="4360" spans="1:8">
      <c r="A4360" t="s">
        <v>241</v>
      </c>
      <c r="B4360" t="s">
        <v>89</v>
      </c>
      <c r="C4360">
        <v>87</v>
      </c>
      <c r="D4360" t="s">
        <v>11142</v>
      </c>
      <c r="F4360" t="s">
        <v>89</v>
      </c>
      <c r="H4360" t="s">
        <v>11143</v>
      </c>
    </row>
    <row r="4361" spans="1:8">
      <c r="A4361" t="s">
        <v>238</v>
      </c>
      <c r="B4361" t="s">
        <v>89</v>
      </c>
      <c r="C4361">
        <v>87</v>
      </c>
      <c r="D4361" t="s">
        <v>11144</v>
      </c>
      <c r="E4361" t="s">
        <v>11145</v>
      </c>
      <c r="F4361" t="s">
        <v>89</v>
      </c>
      <c r="G4361" t="s">
        <v>11146</v>
      </c>
      <c r="H4361" t="s">
        <v>11147</v>
      </c>
    </row>
    <row r="4362" spans="1:8">
      <c r="A4362" t="s">
        <v>241</v>
      </c>
      <c r="B4362" t="s">
        <v>89</v>
      </c>
      <c r="C4362">
        <v>87</v>
      </c>
      <c r="D4362" t="s">
        <v>11148</v>
      </c>
      <c r="E4362" t="s">
        <v>11149</v>
      </c>
      <c r="F4362" t="s">
        <v>89</v>
      </c>
      <c r="G4362" t="s">
        <v>11150</v>
      </c>
      <c r="H4362" t="s">
        <v>11151</v>
      </c>
    </row>
    <row r="4363" spans="1:8">
      <c r="A4363" t="s">
        <v>243</v>
      </c>
      <c r="B4363" t="s">
        <v>89</v>
      </c>
      <c r="C4363">
        <v>87</v>
      </c>
      <c r="D4363" t="s">
        <v>11152</v>
      </c>
      <c r="E4363" t="s">
        <v>11153</v>
      </c>
      <c r="F4363" t="s">
        <v>89</v>
      </c>
      <c r="G4363" t="s">
        <v>11154</v>
      </c>
      <c r="H4363" t="s">
        <v>11155</v>
      </c>
    </row>
    <row r="4364" spans="1:8">
      <c r="A4364" t="s">
        <v>243</v>
      </c>
      <c r="B4364" t="s">
        <v>89</v>
      </c>
      <c r="C4364">
        <v>87</v>
      </c>
      <c r="D4364" t="s">
        <v>11156</v>
      </c>
      <c r="E4364" t="s">
        <v>11157</v>
      </c>
      <c r="F4364" t="s">
        <v>11111</v>
      </c>
      <c r="H4364" t="s">
        <v>11158</v>
      </c>
    </row>
    <row r="4365" spans="1:8">
      <c r="A4365" t="s">
        <v>243</v>
      </c>
      <c r="B4365" t="s">
        <v>89</v>
      </c>
      <c r="C4365">
        <v>87</v>
      </c>
      <c r="D4365" t="s">
        <v>11159</v>
      </c>
      <c r="E4365" t="s">
        <v>11160</v>
      </c>
      <c r="F4365" t="s">
        <v>89</v>
      </c>
    </row>
    <row r="4366" spans="1:8">
      <c r="A4366" t="s">
        <v>243</v>
      </c>
      <c r="B4366" t="s">
        <v>89</v>
      </c>
      <c r="C4366">
        <v>87</v>
      </c>
      <c r="D4366" t="s">
        <v>11161</v>
      </c>
      <c r="E4366" t="s">
        <v>11162</v>
      </c>
      <c r="F4366" t="s">
        <v>89</v>
      </c>
      <c r="G4366" t="s">
        <v>11163</v>
      </c>
      <c r="H4366" t="s">
        <v>11164</v>
      </c>
    </row>
    <row r="4367" spans="1:8">
      <c r="A4367" t="s">
        <v>243</v>
      </c>
      <c r="B4367" t="s">
        <v>89</v>
      </c>
      <c r="C4367">
        <v>87</v>
      </c>
      <c r="D4367" t="s">
        <v>7855</v>
      </c>
      <c r="E4367" t="s">
        <v>11165</v>
      </c>
      <c r="F4367" t="s">
        <v>11111</v>
      </c>
      <c r="G4367" t="s">
        <v>11166</v>
      </c>
      <c r="H4367" t="s">
        <v>11167</v>
      </c>
    </row>
    <row r="4368" spans="1:8">
      <c r="A4368" t="s">
        <v>242</v>
      </c>
      <c r="B4368" t="s">
        <v>89</v>
      </c>
      <c r="C4368">
        <v>87</v>
      </c>
      <c r="D4368" t="s">
        <v>11168</v>
      </c>
      <c r="E4368" t="s">
        <v>11169</v>
      </c>
      <c r="F4368" t="s">
        <v>89</v>
      </c>
      <c r="H4368" t="s">
        <v>11170</v>
      </c>
    </row>
    <row r="4369" spans="1:8">
      <c r="A4369" t="s">
        <v>243</v>
      </c>
      <c r="B4369" t="s">
        <v>89</v>
      </c>
      <c r="C4369">
        <v>87</v>
      </c>
      <c r="D4369" t="s">
        <v>11171</v>
      </c>
      <c r="E4369" t="s">
        <v>11172</v>
      </c>
      <c r="F4369" t="s">
        <v>89</v>
      </c>
      <c r="G4369" t="s">
        <v>11173</v>
      </c>
      <c r="H4369" t="s">
        <v>11174</v>
      </c>
    </row>
    <row r="4370" spans="1:8">
      <c r="A4370" t="s">
        <v>252</v>
      </c>
      <c r="B4370" t="s">
        <v>89</v>
      </c>
      <c r="C4370">
        <v>87</v>
      </c>
      <c r="D4370" t="s">
        <v>11175</v>
      </c>
      <c r="E4370" t="s">
        <v>11176</v>
      </c>
      <c r="F4370" t="s">
        <v>89</v>
      </c>
      <c r="G4370" t="s">
        <v>11177</v>
      </c>
      <c r="H4370" t="s">
        <v>11178</v>
      </c>
    </row>
    <row r="4371" spans="1:8">
      <c r="A4371" t="s">
        <v>241</v>
      </c>
      <c r="B4371" t="s">
        <v>89</v>
      </c>
      <c r="C4371">
        <v>87</v>
      </c>
      <c r="D4371" t="s">
        <v>11179</v>
      </c>
      <c r="E4371" t="s">
        <v>11180</v>
      </c>
      <c r="F4371" t="s">
        <v>89</v>
      </c>
      <c r="H4371" t="s">
        <v>11181</v>
      </c>
    </row>
    <row r="4372" spans="1:8">
      <c r="A4372" t="s">
        <v>241</v>
      </c>
      <c r="B4372" t="s">
        <v>89</v>
      </c>
      <c r="C4372">
        <v>87</v>
      </c>
      <c r="D4372" t="s">
        <v>11182</v>
      </c>
      <c r="E4372" t="s">
        <v>11183</v>
      </c>
      <c r="H4372" t="s">
        <v>11184</v>
      </c>
    </row>
    <row r="4373" spans="1:8">
      <c r="A4373" t="s">
        <v>243</v>
      </c>
      <c r="B4373" t="s">
        <v>89</v>
      </c>
      <c r="C4373">
        <v>87</v>
      </c>
      <c r="D4373" t="s">
        <v>11185</v>
      </c>
      <c r="E4373" t="s">
        <v>11186</v>
      </c>
      <c r="F4373" t="s">
        <v>89</v>
      </c>
      <c r="G4373" t="s">
        <v>11187</v>
      </c>
      <c r="H4373" t="s">
        <v>11188</v>
      </c>
    </row>
    <row r="4374" spans="1:8">
      <c r="A4374" t="s">
        <v>241</v>
      </c>
      <c r="B4374" t="s">
        <v>89</v>
      </c>
      <c r="C4374">
        <v>87</v>
      </c>
      <c r="D4374" t="s">
        <v>11189</v>
      </c>
      <c r="E4374" t="s">
        <v>11190</v>
      </c>
      <c r="G4374" t="s">
        <v>11191</v>
      </c>
      <c r="H4374" t="s">
        <v>11192</v>
      </c>
    </row>
    <row r="4375" spans="1:8">
      <c r="A4375" t="s">
        <v>250</v>
      </c>
      <c r="B4375" t="s">
        <v>89</v>
      </c>
      <c r="C4375">
        <v>87</v>
      </c>
      <c r="D4375" t="s">
        <v>11193</v>
      </c>
      <c r="F4375" t="s">
        <v>11194</v>
      </c>
    </row>
    <row r="4376" spans="1:8">
      <c r="A4376" t="s">
        <v>241</v>
      </c>
      <c r="B4376" t="s">
        <v>89</v>
      </c>
      <c r="C4376">
        <v>87</v>
      </c>
      <c r="D4376" t="s">
        <v>11195</v>
      </c>
      <c r="E4376" t="s">
        <v>11196</v>
      </c>
      <c r="H4376" t="s">
        <v>11143</v>
      </c>
    </row>
    <row r="4377" spans="1:8">
      <c r="A4377" t="s">
        <v>243</v>
      </c>
      <c r="B4377" t="s">
        <v>89</v>
      </c>
      <c r="C4377">
        <v>87</v>
      </c>
      <c r="D4377" t="s">
        <v>11197</v>
      </c>
      <c r="E4377" t="s">
        <v>11198</v>
      </c>
      <c r="F4377" t="s">
        <v>11111</v>
      </c>
      <c r="G4377" t="s">
        <v>11199</v>
      </c>
      <c r="H4377" t="s">
        <v>11200</v>
      </c>
    </row>
    <row r="4378" spans="1:8">
      <c r="A4378" t="s">
        <v>239</v>
      </c>
      <c r="B4378" t="s">
        <v>89</v>
      </c>
      <c r="C4378">
        <v>87</v>
      </c>
      <c r="D4378" t="s">
        <v>11201</v>
      </c>
      <c r="E4378" t="s">
        <v>11202</v>
      </c>
    </row>
    <row r="4379" spans="1:8">
      <c r="A4379" t="s">
        <v>241</v>
      </c>
      <c r="B4379" t="s">
        <v>89</v>
      </c>
      <c r="C4379">
        <v>87</v>
      </c>
      <c r="D4379" t="s">
        <v>11203</v>
      </c>
      <c r="E4379" t="s">
        <v>11204</v>
      </c>
      <c r="G4379" t="s">
        <v>11205</v>
      </c>
      <c r="H4379" t="s">
        <v>11206</v>
      </c>
    </row>
    <row r="4380" spans="1:8">
      <c r="A4380" t="s">
        <v>243</v>
      </c>
      <c r="B4380" t="s">
        <v>89</v>
      </c>
      <c r="C4380">
        <v>87</v>
      </c>
      <c r="D4380" t="s">
        <v>11207</v>
      </c>
      <c r="E4380" t="s">
        <v>11117</v>
      </c>
      <c r="F4380" t="s">
        <v>89</v>
      </c>
      <c r="H4380" t="s">
        <v>11208</v>
      </c>
    </row>
    <row r="4381" spans="1:8">
      <c r="A4381" t="s">
        <v>241</v>
      </c>
      <c r="B4381" t="s">
        <v>89</v>
      </c>
      <c r="C4381">
        <v>87</v>
      </c>
      <c r="D4381" t="s">
        <v>11209</v>
      </c>
      <c r="E4381" t="s">
        <v>11115</v>
      </c>
      <c r="F4381" t="s">
        <v>11111</v>
      </c>
      <c r="H4381" t="s">
        <v>11210</v>
      </c>
    </row>
    <row r="4382" spans="1:8">
      <c r="A4382" t="s">
        <v>240</v>
      </c>
      <c r="B4382" t="s">
        <v>89</v>
      </c>
      <c r="C4382">
        <v>87</v>
      </c>
      <c r="D4382" t="s">
        <v>11211</v>
      </c>
      <c r="E4382" t="s">
        <v>11212</v>
      </c>
      <c r="F4382" t="s">
        <v>89</v>
      </c>
      <c r="G4382" t="s">
        <v>11213</v>
      </c>
      <c r="H4382" t="s">
        <v>11214</v>
      </c>
    </row>
    <row r="4383" spans="1:8">
      <c r="A4383" t="s">
        <v>240</v>
      </c>
      <c r="B4383" t="s">
        <v>89</v>
      </c>
      <c r="C4383">
        <v>87</v>
      </c>
      <c r="D4383" t="s">
        <v>11215</v>
      </c>
      <c r="E4383" t="s">
        <v>11216</v>
      </c>
      <c r="F4383" t="s">
        <v>89</v>
      </c>
      <c r="H4383" t="s">
        <v>11217</v>
      </c>
    </row>
    <row r="4384" spans="1:8">
      <c r="A4384" t="s">
        <v>240</v>
      </c>
      <c r="B4384" t="s">
        <v>89</v>
      </c>
      <c r="C4384">
        <v>87</v>
      </c>
      <c r="D4384" t="s">
        <v>11218</v>
      </c>
      <c r="E4384" t="s">
        <v>11219</v>
      </c>
      <c r="F4384" t="s">
        <v>89</v>
      </c>
      <c r="G4384" t="s">
        <v>11220</v>
      </c>
      <c r="H4384" t="s">
        <v>11221</v>
      </c>
    </row>
    <row r="4385" spans="1:8">
      <c r="A4385" t="s">
        <v>240</v>
      </c>
      <c r="B4385" t="s">
        <v>89</v>
      </c>
      <c r="C4385">
        <v>87</v>
      </c>
      <c r="D4385" t="s">
        <v>11222</v>
      </c>
      <c r="E4385" t="s">
        <v>11223</v>
      </c>
      <c r="F4385" t="s">
        <v>89</v>
      </c>
      <c r="G4385" t="s">
        <v>11224</v>
      </c>
      <c r="H4385" t="s">
        <v>11225</v>
      </c>
    </row>
    <row r="4386" spans="1:8">
      <c r="A4386" t="s">
        <v>240</v>
      </c>
      <c r="B4386" t="s">
        <v>89</v>
      </c>
      <c r="C4386">
        <v>87</v>
      </c>
      <c r="D4386" t="s">
        <v>11226</v>
      </c>
      <c r="E4386" t="s">
        <v>11227</v>
      </c>
      <c r="F4386" t="s">
        <v>89</v>
      </c>
      <c r="G4386" t="s">
        <v>11228</v>
      </c>
      <c r="H4386" t="s">
        <v>11229</v>
      </c>
    </row>
    <row r="4387" spans="1:8">
      <c r="A4387" t="s">
        <v>240</v>
      </c>
      <c r="B4387" t="s">
        <v>89</v>
      </c>
      <c r="C4387">
        <v>87</v>
      </c>
      <c r="D4387" t="s">
        <v>11230</v>
      </c>
      <c r="E4387" t="s">
        <v>11231</v>
      </c>
      <c r="F4387" t="s">
        <v>89</v>
      </c>
      <c r="G4387" t="s">
        <v>11232</v>
      </c>
      <c r="H4387" t="s">
        <v>11233</v>
      </c>
    </row>
    <row r="4388" spans="1:8">
      <c r="A4388" t="s">
        <v>240</v>
      </c>
      <c r="B4388" t="s">
        <v>89</v>
      </c>
      <c r="C4388">
        <v>87</v>
      </c>
      <c r="D4388" t="s">
        <v>11234</v>
      </c>
      <c r="E4388" t="s">
        <v>11235</v>
      </c>
      <c r="G4388" t="s">
        <v>11236</v>
      </c>
      <c r="H4388" t="s">
        <v>11237</v>
      </c>
    </row>
    <row r="4389" spans="1:8">
      <c r="A4389" t="s">
        <v>240</v>
      </c>
      <c r="B4389" t="s">
        <v>89</v>
      </c>
      <c r="C4389">
        <v>87</v>
      </c>
      <c r="D4389" t="s">
        <v>11238</v>
      </c>
      <c r="E4389" t="s">
        <v>11239</v>
      </c>
      <c r="F4389" t="s">
        <v>89</v>
      </c>
      <c r="G4389" t="s">
        <v>11240</v>
      </c>
      <c r="H4389" t="s">
        <v>11241</v>
      </c>
    </row>
    <row r="4390" spans="1:8">
      <c r="A4390" t="s">
        <v>243</v>
      </c>
      <c r="B4390" t="s">
        <v>89</v>
      </c>
      <c r="C4390">
        <v>87</v>
      </c>
      <c r="D4390" t="s">
        <v>11242</v>
      </c>
      <c r="E4390" t="s">
        <v>11243</v>
      </c>
      <c r="H4390" t="s">
        <v>11244</v>
      </c>
    </row>
    <row r="4391" spans="1:8">
      <c r="A4391" t="s">
        <v>242</v>
      </c>
      <c r="B4391" t="s">
        <v>89</v>
      </c>
      <c r="C4391">
        <v>87</v>
      </c>
      <c r="D4391" t="s">
        <v>11245</v>
      </c>
      <c r="E4391" t="s">
        <v>11246</v>
      </c>
      <c r="G4391" t="s">
        <v>11247</v>
      </c>
      <c r="H4391" t="s">
        <v>11248</v>
      </c>
    </row>
    <row r="4392" spans="1:8">
      <c r="A4392" t="s">
        <v>241</v>
      </c>
      <c r="B4392" t="s">
        <v>89</v>
      </c>
      <c r="C4392">
        <v>87</v>
      </c>
      <c r="D4392" t="s">
        <v>11249</v>
      </c>
      <c r="E4392" t="s">
        <v>11250</v>
      </c>
      <c r="G4392" t="s">
        <v>11251</v>
      </c>
      <c r="H4392" t="s">
        <v>11252</v>
      </c>
    </row>
    <row r="4393" spans="1:8">
      <c r="A4393" t="s">
        <v>241</v>
      </c>
      <c r="B4393" t="s">
        <v>89</v>
      </c>
      <c r="C4393">
        <v>87</v>
      </c>
      <c r="D4393" t="s">
        <v>11253</v>
      </c>
      <c r="E4393" t="s">
        <v>11254</v>
      </c>
      <c r="F4393" t="s">
        <v>11111</v>
      </c>
      <c r="H4393" t="s">
        <v>11255</v>
      </c>
    </row>
    <row r="4394" spans="1:8">
      <c r="A4394" t="s">
        <v>241</v>
      </c>
      <c r="B4394" t="s">
        <v>89</v>
      </c>
      <c r="C4394">
        <v>87</v>
      </c>
      <c r="D4394" t="s">
        <v>11256</v>
      </c>
      <c r="E4394" t="s">
        <v>11257</v>
      </c>
      <c r="F4394" t="s">
        <v>11111</v>
      </c>
      <c r="G4394" t="s">
        <v>11258</v>
      </c>
      <c r="H4394" t="s">
        <v>11259</v>
      </c>
    </row>
    <row r="4395" spans="1:8">
      <c r="A4395" t="s">
        <v>250</v>
      </c>
      <c r="B4395" t="s">
        <v>89</v>
      </c>
      <c r="C4395">
        <v>87</v>
      </c>
      <c r="D4395" t="s">
        <v>11260</v>
      </c>
      <c r="E4395" t="s">
        <v>11261</v>
      </c>
      <c r="F4395" t="s">
        <v>11111</v>
      </c>
      <c r="G4395" t="s">
        <v>11262</v>
      </c>
      <c r="H4395" t="s">
        <v>11263</v>
      </c>
    </row>
    <row r="4396" spans="1:8">
      <c r="A4396" t="s">
        <v>243</v>
      </c>
      <c r="B4396" t="s">
        <v>89</v>
      </c>
      <c r="C4396">
        <v>87</v>
      </c>
      <c r="D4396" t="s">
        <v>11264</v>
      </c>
      <c r="E4396" t="s">
        <v>11136</v>
      </c>
      <c r="G4396" t="s">
        <v>11137</v>
      </c>
      <c r="H4396" t="s">
        <v>11138</v>
      </c>
    </row>
    <row r="4397" spans="1:8">
      <c r="A4397" t="s">
        <v>243</v>
      </c>
      <c r="B4397" t="s">
        <v>89</v>
      </c>
      <c r="C4397">
        <v>87</v>
      </c>
      <c r="D4397" t="s">
        <v>11265</v>
      </c>
      <c r="E4397" t="s">
        <v>11266</v>
      </c>
      <c r="F4397" t="s">
        <v>11111</v>
      </c>
      <c r="G4397" t="s">
        <v>11267</v>
      </c>
      <c r="H4397" t="s">
        <v>11268</v>
      </c>
    </row>
    <row r="4398" spans="1:8">
      <c r="A4398" t="s">
        <v>241</v>
      </c>
      <c r="B4398" t="s">
        <v>89</v>
      </c>
      <c r="C4398">
        <v>87</v>
      </c>
      <c r="D4398" t="s">
        <v>11269</v>
      </c>
      <c r="E4398" t="s">
        <v>11270</v>
      </c>
      <c r="G4398" t="s">
        <v>11271</v>
      </c>
      <c r="H4398" t="s">
        <v>11272</v>
      </c>
    </row>
    <row r="4399" spans="1:8">
      <c r="A4399" t="s">
        <v>240</v>
      </c>
      <c r="B4399" t="s">
        <v>89</v>
      </c>
      <c r="C4399">
        <v>87</v>
      </c>
      <c r="D4399" t="s">
        <v>11273</v>
      </c>
      <c r="E4399" t="s">
        <v>11274</v>
      </c>
      <c r="F4399" t="s">
        <v>89</v>
      </c>
      <c r="G4399" t="s">
        <v>11275</v>
      </c>
      <c r="H4399" t="s">
        <v>11276</v>
      </c>
    </row>
    <row r="4400" spans="1:8">
      <c r="A4400" t="s">
        <v>240</v>
      </c>
      <c r="B4400" t="s">
        <v>89</v>
      </c>
      <c r="C4400">
        <v>87</v>
      </c>
      <c r="D4400" t="s">
        <v>11277</v>
      </c>
      <c r="E4400" t="s">
        <v>11278</v>
      </c>
      <c r="F4400" t="s">
        <v>89</v>
      </c>
      <c r="G4400" t="s">
        <v>11279</v>
      </c>
      <c r="H4400" t="s">
        <v>11280</v>
      </c>
    </row>
    <row r="4401" spans="1:8">
      <c r="A4401" t="s">
        <v>243</v>
      </c>
      <c r="B4401" t="s">
        <v>89</v>
      </c>
      <c r="C4401">
        <v>87</v>
      </c>
      <c r="D4401" t="s">
        <v>11281</v>
      </c>
      <c r="E4401" t="s">
        <v>11282</v>
      </c>
      <c r="F4401" t="s">
        <v>89</v>
      </c>
      <c r="G4401" t="s">
        <v>11283</v>
      </c>
      <c r="H4401" t="s">
        <v>11284</v>
      </c>
    </row>
    <row r="4402" spans="1:8">
      <c r="A4402" t="s">
        <v>238</v>
      </c>
      <c r="B4402" t="s">
        <v>89</v>
      </c>
      <c r="C4402">
        <v>87</v>
      </c>
      <c r="D4402" t="s">
        <v>11285</v>
      </c>
      <c r="E4402" t="s">
        <v>11286</v>
      </c>
      <c r="H4402" t="s">
        <v>11248</v>
      </c>
    </row>
    <row r="4403" spans="1:8">
      <c r="A4403" t="s">
        <v>250</v>
      </c>
      <c r="B4403" t="s">
        <v>89</v>
      </c>
      <c r="C4403">
        <v>87</v>
      </c>
      <c r="D4403" t="s">
        <v>11287</v>
      </c>
      <c r="E4403" t="s">
        <v>11288</v>
      </c>
      <c r="F4403" t="s">
        <v>11111</v>
      </c>
      <c r="G4403" t="s">
        <v>11289</v>
      </c>
    </row>
    <row r="4404" spans="1:8">
      <c r="A4404" t="s">
        <v>241</v>
      </c>
      <c r="B4404" t="s">
        <v>89</v>
      </c>
      <c r="C4404">
        <v>87</v>
      </c>
      <c r="D4404" t="s">
        <v>11290</v>
      </c>
      <c r="E4404" t="s">
        <v>11291</v>
      </c>
      <c r="H4404" t="s">
        <v>11292</v>
      </c>
    </row>
    <row r="4405" spans="1:8">
      <c r="A4405" t="s">
        <v>243</v>
      </c>
      <c r="B4405" t="s">
        <v>89</v>
      </c>
      <c r="C4405">
        <v>87</v>
      </c>
      <c r="D4405" t="s">
        <v>11293</v>
      </c>
      <c r="E4405" t="s">
        <v>11294</v>
      </c>
      <c r="G4405" t="s">
        <v>11295</v>
      </c>
      <c r="H4405" t="s">
        <v>11296</v>
      </c>
    </row>
    <row r="4406" spans="1:8">
      <c r="A4406" t="s">
        <v>241</v>
      </c>
      <c r="B4406" t="s">
        <v>89</v>
      </c>
      <c r="C4406">
        <v>87</v>
      </c>
      <c r="D4406" t="s">
        <v>11297</v>
      </c>
      <c r="E4406" t="s">
        <v>11298</v>
      </c>
      <c r="G4406" t="s">
        <v>11299</v>
      </c>
      <c r="H4406" t="s">
        <v>11300</v>
      </c>
    </row>
    <row r="4407" spans="1:8">
      <c r="A4407" t="s">
        <v>239</v>
      </c>
      <c r="B4407" t="s">
        <v>89</v>
      </c>
      <c r="C4407">
        <v>87</v>
      </c>
      <c r="D4407" t="s">
        <v>11301</v>
      </c>
      <c r="E4407" t="s">
        <v>11302</v>
      </c>
      <c r="H4407" t="s">
        <v>11303</v>
      </c>
    </row>
    <row r="4408" spans="1:8">
      <c r="A4408" t="s">
        <v>241</v>
      </c>
      <c r="B4408" t="s">
        <v>89</v>
      </c>
      <c r="C4408">
        <v>87</v>
      </c>
      <c r="D4408" t="s">
        <v>11304</v>
      </c>
      <c r="E4408" t="s">
        <v>11305</v>
      </c>
      <c r="G4408" t="s">
        <v>11306</v>
      </c>
      <c r="H4408" t="s">
        <v>11307</v>
      </c>
    </row>
    <row r="4409" spans="1:8">
      <c r="A4409" t="s">
        <v>243</v>
      </c>
      <c r="B4409" t="s">
        <v>89</v>
      </c>
      <c r="C4409">
        <v>87</v>
      </c>
      <c r="D4409" t="s">
        <v>11308</v>
      </c>
      <c r="E4409" t="s">
        <v>11309</v>
      </c>
      <c r="F4409" t="s">
        <v>11310</v>
      </c>
      <c r="G4409" t="s">
        <v>11311</v>
      </c>
      <c r="H4409" t="s">
        <v>11312</v>
      </c>
    </row>
    <row r="4410" spans="1:8">
      <c r="A4410" t="s">
        <v>241</v>
      </c>
      <c r="B4410" t="s">
        <v>89</v>
      </c>
      <c r="C4410">
        <v>87</v>
      </c>
      <c r="D4410" t="s">
        <v>11313</v>
      </c>
      <c r="E4410" t="s">
        <v>11314</v>
      </c>
      <c r="G4410" t="s">
        <v>11315</v>
      </c>
      <c r="H4410" t="s">
        <v>11316</v>
      </c>
    </row>
    <row r="4411" spans="1:8">
      <c r="A4411" t="s">
        <v>241</v>
      </c>
      <c r="B4411" t="s">
        <v>89</v>
      </c>
      <c r="C4411">
        <v>87</v>
      </c>
      <c r="D4411" t="s">
        <v>11317</v>
      </c>
      <c r="E4411" t="s">
        <v>11318</v>
      </c>
      <c r="G4411" t="s">
        <v>11315</v>
      </c>
      <c r="H4411" t="s">
        <v>11316</v>
      </c>
    </row>
    <row r="4412" spans="1:8">
      <c r="A4412" t="s">
        <v>243</v>
      </c>
      <c r="B4412" t="s">
        <v>89</v>
      </c>
      <c r="C4412">
        <v>87</v>
      </c>
      <c r="D4412" t="s">
        <v>11319</v>
      </c>
      <c r="E4412" t="s">
        <v>11320</v>
      </c>
      <c r="F4412" t="s">
        <v>11321</v>
      </c>
    </row>
    <row r="4413" spans="1:8">
      <c r="A4413" t="s">
        <v>250</v>
      </c>
      <c r="B4413" t="s">
        <v>89</v>
      </c>
      <c r="C4413">
        <v>87</v>
      </c>
      <c r="D4413" t="s">
        <v>11322</v>
      </c>
      <c r="E4413" t="s">
        <v>11323</v>
      </c>
      <c r="G4413" t="s">
        <v>11324</v>
      </c>
    </row>
    <row r="4414" spans="1:8">
      <c r="A4414" t="s">
        <v>250</v>
      </c>
      <c r="B4414" t="s">
        <v>89</v>
      </c>
      <c r="C4414">
        <v>87</v>
      </c>
      <c r="D4414" t="s">
        <v>3797</v>
      </c>
      <c r="E4414" t="s">
        <v>11325</v>
      </c>
      <c r="F4414" t="s">
        <v>11111</v>
      </c>
      <c r="G4414" t="s">
        <v>11326</v>
      </c>
    </row>
    <row r="4415" spans="1:8">
      <c r="A4415" t="s">
        <v>243</v>
      </c>
      <c r="B4415" t="s">
        <v>89</v>
      </c>
      <c r="C4415">
        <v>87</v>
      </c>
      <c r="D4415" t="s">
        <v>11327</v>
      </c>
      <c r="E4415" t="s">
        <v>11328</v>
      </c>
      <c r="F4415" t="s">
        <v>89</v>
      </c>
      <c r="H4415" t="s">
        <v>11329</v>
      </c>
    </row>
    <row r="4416" spans="1:8">
      <c r="A4416" t="s">
        <v>243</v>
      </c>
      <c r="B4416" t="s">
        <v>89</v>
      </c>
      <c r="C4416">
        <v>87</v>
      </c>
      <c r="D4416" t="s">
        <v>11330</v>
      </c>
      <c r="E4416" t="s">
        <v>11331</v>
      </c>
      <c r="F4416" t="s">
        <v>11332</v>
      </c>
      <c r="G4416" t="s">
        <v>11333</v>
      </c>
      <c r="H4416" t="s">
        <v>11334</v>
      </c>
    </row>
    <row r="4417" spans="1:8">
      <c r="A4417" t="s">
        <v>250</v>
      </c>
      <c r="B4417" t="s">
        <v>89</v>
      </c>
      <c r="C4417">
        <v>87</v>
      </c>
      <c r="D4417" t="s">
        <v>11335</v>
      </c>
      <c r="E4417" t="s">
        <v>11336</v>
      </c>
      <c r="F4417" t="s">
        <v>11111</v>
      </c>
      <c r="H4417" t="s">
        <v>11337</v>
      </c>
    </row>
    <row r="4418" spans="1:8">
      <c r="A4418" t="s">
        <v>240</v>
      </c>
      <c r="B4418" t="s">
        <v>89</v>
      </c>
      <c r="C4418">
        <v>87</v>
      </c>
      <c r="D4418" t="s">
        <v>11338</v>
      </c>
      <c r="E4418" t="s">
        <v>11339</v>
      </c>
      <c r="F4418" t="s">
        <v>89</v>
      </c>
      <c r="G4418" t="s">
        <v>11340</v>
      </c>
      <c r="H4418" t="s">
        <v>11341</v>
      </c>
    </row>
    <row r="4419" spans="1:8">
      <c r="A4419" t="s">
        <v>250</v>
      </c>
      <c r="B4419" t="s">
        <v>89</v>
      </c>
      <c r="C4419">
        <v>87</v>
      </c>
      <c r="D4419" t="s">
        <v>11342</v>
      </c>
      <c r="E4419" t="s">
        <v>11343</v>
      </c>
      <c r="F4419" t="s">
        <v>11111</v>
      </c>
    </row>
    <row r="4420" spans="1:8">
      <c r="A4420" t="s">
        <v>243</v>
      </c>
      <c r="B4420" t="s">
        <v>89</v>
      </c>
      <c r="C4420">
        <v>87</v>
      </c>
      <c r="D4420" t="s">
        <v>11344</v>
      </c>
      <c r="E4420" t="s">
        <v>11345</v>
      </c>
      <c r="F4420" t="s">
        <v>89</v>
      </c>
      <c r="G4420" t="s">
        <v>11346</v>
      </c>
      <c r="H4420" t="s">
        <v>11347</v>
      </c>
    </row>
    <row r="4421" spans="1:8">
      <c r="A4421" t="s">
        <v>249</v>
      </c>
      <c r="B4421" t="s">
        <v>89</v>
      </c>
      <c r="C4421">
        <v>87</v>
      </c>
      <c r="D4421" t="s">
        <v>11348</v>
      </c>
      <c r="E4421" t="s">
        <v>11349</v>
      </c>
      <c r="F4421" t="s">
        <v>11350</v>
      </c>
      <c r="G4421" t="s">
        <v>11351</v>
      </c>
      <c r="H4421" t="s">
        <v>11352</v>
      </c>
    </row>
    <row r="4422" spans="1:8">
      <c r="A4422" t="s">
        <v>252</v>
      </c>
      <c r="B4422" t="s">
        <v>89</v>
      </c>
      <c r="C4422">
        <v>87</v>
      </c>
      <c r="D4422" t="s">
        <v>11353</v>
      </c>
      <c r="E4422" t="s">
        <v>11354</v>
      </c>
      <c r="F4422" t="s">
        <v>89</v>
      </c>
      <c r="G4422" t="s">
        <v>11355</v>
      </c>
      <c r="H4422" t="s">
        <v>11356</v>
      </c>
    </row>
    <row r="4423" spans="1:8">
      <c r="A4423" t="s">
        <v>252</v>
      </c>
      <c r="B4423" t="s">
        <v>89</v>
      </c>
      <c r="C4423">
        <v>87</v>
      </c>
      <c r="D4423" t="s">
        <v>11357</v>
      </c>
      <c r="E4423" t="s">
        <v>11126</v>
      </c>
      <c r="F4423" t="s">
        <v>89</v>
      </c>
      <c r="G4423" t="s">
        <v>11127</v>
      </c>
      <c r="H4423" t="s">
        <v>11128</v>
      </c>
    </row>
    <row r="4424" spans="1:8">
      <c r="A4424" t="s">
        <v>243</v>
      </c>
      <c r="B4424" t="s">
        <v>89</v>
      </c>
      <c r="C4424">
        <v>87</v>
      </c>
      <c r="D4424" t="s">
        <v>11358</v>
      </c>
      <c r="E4424" t="s">
        <v>11359</v>
      </c>
      <c r="F4424" t="s">
        <v>89</v>
      </c>
      <c r="G4424" t="s">
        <v>11360</v>
      </c>
      <c r="H4424" t="s">
        <v>11361</v>
      </c>
    </row>
    <row r="4425" spans="1:8">
      <c r="A4425" t="s">
        <v>243</v>
      </c>
      <c r="B4425" t="s">
        <v>89</v>
      </c>
      <c r="C4425">
        <v>87</v>
      </c>
      <c r="D4425" t="s">
        <v>11362</v>
      </c>
      <c r="E4425" t="s">
        <v>11363</v>
      </c>
      <c r="F4425" t="s">
        <v>11350</v>
      </c>
      <c r="H4425" t="s">
        <v>11364</v>
      </c>
    </row>
    <row r="4426" spans="1:8">
      <c r="A4426" t="s">
        <v>243</v>
      </c>
      <c r="B4426" t="s">
        <v>89</v>
      </c>
      <c r="C4426">
        <v>87</v>
      </c>
      <c r="D4426" t="s">
        <v>11365</v>
      </c>
      <c r="E4426" t="s">
        <v>11366</v>
      </c>
      <c r="F4426" t="s">
        <v>89</v>
      </c>
      <c r="H4426" t="s">
        <v>11367</v>
      </c>
    </row>
    <row r="4427" spans="1:8">
      <c r="A4427" t="s">
        <v>243</v>
      </c>
      <c r="B4427" t="s">
        <v>89</v>
      </c>
      <c r="C4427">
        <v>87</v>
      </c>
      <c r="D4427" t="s">
        <v>11368</v>
      </c>
      <c r="E4427" t="s">
        <v>11369</v>
      </c>
      <c r="F4427" t="s">
        <v>89</v>
      </c>
      <c r="G4427" t="s">
        <v>11370</v>
      </c>
      <c r="H4427" t="s">
        <v>11371</v>
      </c>
    </row>
    <row r="4428" spans="1:8">
      <c r="A4428" t="s">
        <v>243</v>
      </c>
      <c r="B4428" t="s">
        <v>89</v>
      </c>
      <c r="C4428">
        <v>87</v>
      </c>
      <c r="D4428" t="s">
        <v>11372</v>
      </c>
      <c r="E4428" t="s">
        <v>11373</v>
      </c>
      <c r="F4428" t="s">
        <v>89</v>
      </c>
      <c r="G4428" t="s">
        <v>11374</v>
      </c>
      <c r="H4428" t="s">
        <v>11375</v>
      </c>
    </row>
    <row r="4429" spans="1:8">
      <c r="A4429" t="s">
        <v>243</v>
      </c>
      <c r="B4429" t="s">
        <v>89</v>
      </c>
      <c r="C4429">
        <v>87</v>
      </c>
      <c r="D4429" t="s">
        <v>11376</v>
      </c>
      <c r="E4429" t="s">
        <v>11377</v>
      </c>
      <c r="F4429" t="s">
        <v>89</v>
      </c>
      <c r="G4429" t="s">
        <v>11378</v>
      </c>
      <c r="H4429" t="s">
        <v>11379</v>
      </c>
    </row>
    <row r="4430" spans="1:8">
      <c r="A4430" t="s">
        <v>243</v>
      </c>
      <c r="B4430" t="s">
        <v>89</v>
      </c>
      <c r="C4430">
        <v>87</v>
      </c>
      <c r="D4430" t="s">
        <v>11380</v>
      </c>
      <c r="E4430" t="s">
        <v>11381</v>
      </c>
      <c r="F4430" t="s">
        <v>89</v>
      </c>
      <c r="G4430" t="s">
        <v>11382</v>
      </c>
      <c r="H4430" t="s">
        <v>11383</v>
      </c>
    </row>
    <row r="4431" spans="1:8">
      <c r="A4431" t="s">
        <v>243</v>
      </c>
      <c r="B4431" t="s">
        <v>89</v>
      </c>
      <c r="C4431">
        <v>87</v>
      </c>
      <c r="D4431" t="s">
        <v>11384</v>
      </c>
      <c r="E4431" t="s">
        <v>11385</v>
      </c>
      <c r="F4431" t="s">
        <v>89</v>
      </c>
      <c r="G4431" t="s">
        <v>11386</v>
      </c>
      <c r="H4431" t="s">
        <v>11387</v>
      </c>
    </row>
    <row r="4432" spans="1:8">
      <c r="A4432" t="s">
        <v>243</v>
      </c>
      <c r="B4432" t="s">
        <v>89</v>
      </c>
      <c r="C4432">
        <v>87</v>
      </c>
      <c r="D4432" t="s">
        <v>11388</v>
      </c>
      <c r="E4432" t="s">
        <v>11320</v>
      </c>
      <c r="F4432" t="s">
        <v>89</v>
      </c>
      <c r="H4432" t="s">
        <v>11389</v>
      </c>
    </row>
    <row r="4433" spans="1:8">
      <c r="A4433" t="s">
        <v>243</v>
      </c>
      <c r="B4433" t="s">
        <v>89</v>
      </c>
      <c r="C4433">
        <v>87</v>
      </c>
      <c r="D4433" t="s">
        <v>11390</v>
      </c>
      <c r="E4433" t="s">
        <v>11391</v>
      </c>
      <c r="F4433" t="s">
        <v>89</v>
      </c>
      <c r="H4433" t="s">
        <v>11392</v>
      </c>
    </row>
    <row r="4434" spans="1:8">
      <c r="A4434" t="s">
        <v>243</v>
      </c>
      <c r="B4434" t="s">
        <v>89</v>
      </c>
      <c r="C4434">
        <v>87</v>
      </c>
      <c r="D4434" t="s">
        <v>11393</v>
      </c>
      <c r="E4434" t="s">
        <v>11394</v>
      </c>
      <c r="F4434" t="s">
        <v>89</v>
      </c>
      <c r="G4434" t="s">
        <v>11395</v>
      </c>
      <c r="H4434" t="s">
        <v>11396</v>
      </c>
    </row>
    <row r="4435" spans="1:8">
      <c r="A4435" t="s">
        <v>241</v>
      </c>
      <c r="B4435" t="s">
        <v>89</v>
      </c>
      <c r="C4435">
        <v>87</v>
      </c>
      <c r="D4435" t="s">
        <v>11397</v>
      </c>
      <c r="E4435" t="s">
        <v>11398</v>
      </c>
      <c r="F4435" t="s">
        <v>89</v>
      </c>
      <c r="H4435" t="s">
        <v>11399</v>
      </c>
    </row>
    <row r="4436" spans="1:8">
      <c r="A4436" t="s">
        <v>243</v>
      </c>
      <c r="B4436" t="s">
        <v>89</v>
      </c>
      <c r="C4436">
        <v>87</v>
      </c>
      <c r="D4436" t="s">
        <v>11400</v>
      </c>
      <c r="E4436" t="s">
        <v>11401</v>
      </c>
      <c r="F4436" t="s">
        <v>89</v>
      </c>
      <c r="H4436" t="s">
        <v>11402</v>
      </c>
    </row>
    <row r="4437" spans="1:8">
      <c r="A4437" t="s">
        <v>243</v>
      </c>
      <c r="B4437" t="s">
        <v>89</v>
      </c>
      <c r="C4437">
        <v>87</v>
      </c>
      <c r="D4437" t="s">
        <v>11403</v>
      </c>
      <c r="E4437" t="s">
        <v>11404</v>
      </c>
      <c r="F4437" t="s">
        <v>89</v>
      </c>
      <c r="H4437" t="s">
        <v>11389</v>
      </c>
    </row>
    <row r="4438" spans="1:8">
      <c r="A4438" t="s">
        <v>243</v>
      </c>
      <c r="B4438" t="s">
        <v>89</v>
      </c>
      <c r="C4438">
        <v>87</v>
      </c>
      <c r="D4438" t="s">
        <v>11405</v>
      </c>
      <c r="E4438" t="s">
        <v>11406</v>
      </c>
      <c r="F4438" t="s">
        <v>89</v>
      </c>
      <c r="G4438" t="s">
        <v>11103</v>
      </c>
      <c r="H4438" t="s">
        <v>11104</v>
      </c>
    </row>
    <row r="4439" spans="1:8">
      <c r="A4439" t="s">
        <v>243</v>
      </c>
      <c r="B4439" t="s">
        <v>89</v>
      </c>
      <c r="C4439">
        <v>87</v>
      </c>
      <c r="D4439" t="s">
        <v>11405</v>
      </c>
      <c r="E4439" t="s">
        <v>10428</v>
      </c>
      <c r="F4439" t="s">
        <v>89</v>
      </c>
      <c r="G4439" t="s">
        <v>11103</v>
      </c>
      <c r="H4439" t="s">
        <v>11104</v>
      </c>
    </row>
    <row r="4440" spans="1:8">
      <c r="A4440" t="s">
        <v>243</v>
      </c>
      <c r="B4440" t="s">
        <v>89</v>
      </c>
      <c r="C4440">
        <v>87</v>
      </c>
      <c r="D4440" t="s">
        <v>11407</v>
      </c>
      <c r="E4440" t="s">
        <v>11408</v>
      </c>
      <c r="F4440" t="s">
        <v>89</v>
      </c>
      <c r="G4440" t="s">
        <v>11409</v>
      </c>
      <c r="H4440" t="s">
        <v>11410</v>
      </c>
    </row>
    <row r="4441" spans="1:8">
      <c r="A4441" t="s">
        <v>250</v>
      </c>
      <c r="B4441" t="s">
        <v>89</v>
      </c>
      <c r="C4441">
        <v>87</v>
      </c>
      <c r="D4441" t="s">
        <v>11411</v>
      </c>
      <c r="E4441" t="s">
        <v>11412</v>
      </c>
      <c r="F4441" t="s">
        <v>89</v>
      </c>
      <c r="H4441" t="s">
        <v>11413</v>
      </c>
    </row>
    <row r="4442" spans="1:8">
      <c r="A4442" t="s">
        <v>243</v>
      </c>
      <c r="B4442" t="s">
        <v>89</v>
      </c>
      <c r="C4442">
        <v>87</v>
      </c>
      <c r="D4442" t="s">
        <v>11414</v>
      </c>
      <c r="E4442" t="s">
        <v>11415</v>
      </c>
      <c r="F4442" t="s">
        <v>89</v>
      </c>
      <c r="H4442" t="s">
        <v>11416</v>
      </c>
    </row>
    <row r="4443" spans="1:8">
      <c r="A4443" t="s">
        <v>241</v>
      </c>
      <c r="B4443" t="s">
        <v>89</v>
      </c>
      <c r="C4443">
        <v>87</v>
      </c>
      <c r="D4443" t="s">
        <v>11417</v>
      </c>
      <c r="E4443" t="s">
        <v>11418</v>
      </c>
      <c r="H4443" t="s">
        <v>11419</v>
      </c>
    </row>
    <row r="4444" spans="1:8">
      <c r="A4444" t="s">
        <v>239</v>
      </c>
      <c r="B4444" t="s">
        <v>89</v>
      </c>
      <c r="C4444">
        <v>87</v>
      </c>
      <c r="D4444" t="s">
        <v>11420</v>
      </c>
      <c r="E4444" t="s">
        <v>11421</v>
      </c>
      <c r="H4444" t="s">
        <v>11422</v>
      </c>
    </row>
    <row r="4445" spans="1:8">
      <c r="A4445" t="s">
        <v>243</v>
      </c>
      <c r="B4445" t="s">
        <v>89</v>
      </c>
      <c r="C4445">
        <v>87</v>
      </c>
      <c r="D4445" t="s">
        <v>11423</v>
      </c>
      <c r="E4445" t="s">
        <v>11424</v>
      </c>
      <c r="F4445" t="s">
        <v>89</v>
      </c>
      <c r="G4445" t="s">
        <v>11425</v>
      </c>
      <c r="H4445" t="s">
        <v>11426</v>
      </c>
    </row>
    <row r="4446" spans="1:8">
      <c r="A4446" t="s">
        <v>243</v>
      </c>
      <c r="B4446" t="s">
        <v>89</v>
      </c>
      <c r="C4446">
        <v>87</v>
      </c>
      <c r="D4446" t="s">
        <v>11427</v>
      </c>
      <c r="E4446" t="s">
        <v>11428</v>
      </c>
      <c r="F4446" t="s">
        <v>89</v>
      </c>
      <c r="H4446" t="s">
        <v>11429</v>
      </c>
    </row>
    <row r="4447" spans="1:8">
      <c r="A4447" t="s">
        <v>241</v>
      </c>
      <c r="B4447" t="s">
        <v>89</v>
      </c>
      <c r="C4447">
        <v>87</v>
      </c>
      <c r="D4447" t="s">
        <v>11430</v>
      </c>
      <c r="E4447" t="s">
        <v>11431</v>
      </c>
      <c r="F4447" t="s">
        <v>11111</v>
      </c>
      <c r="H4447" t="s">
        <v>11432</v>
      </c>
    </row>
    <row r="4448" spans="1:8">
      <c r="A4448" t="s">
        <v>243</v>
      </c>
      <c r="B4448" t="s">
        <v>89</v>
      </c>
      <c r="C4448">
        <v>87</v>
      </c>
      <c r="D4448" t="s">
        <v>11433</v>
      </c>
      <c r="E4448" t="s">
        <v>11434</v>
      </c>
      <c r="F4448" t="s">
        <v>89</v>
      </c>
      <c r="H4448" t="s">
        <v>11167</v>
      </c>
    </row>
    <row r="4449" spans="1:8">
      <c r="A4449" t="s">
        <v>243</v>
      </c>
      <c r="B4449" t="s">
        <v>89</v>
      </c>
      <c r="C4449">
        <v>87</v>
      </c>
      <c r="D4449" t="s">
        <v>11435</v>
      </c>
      <c r="E4449" t="s">
        <v>11436</v>
      </c>
      <c r="F4449" t="s">
        <v>89</v>
      </c>
      <c r="H4449" t="s">
        <v>11410</v>
      </c>
    </row>
    <row r="4450" spans="1:8">
      <c r="A4450" t="s">
        <v>243</v>
      </c>
      <c r="B4450" t="s">
        <v>89</v>
      </c>
      <c r="C4450">
        <v>87</v>
      </c>
      <c r="D4450" t="s">
        <v>11437</v>
      </c>
      <c r="E4450" t="s">
        <v>11438</v>
      </c>
      <c r="F4450" t="s">
        <v>89</v>
      </c>
      <c r="G4450" t="s">
        <v>11439</v>
      </c>
      <c r="H4450" t="s">
        <v>11440</v>
      </c>
    </row>
    <row r="4451" spans="1:8">
      <c r="A4451" t="s">
        <v>239</v>
      </c>
      <c r="B4451" t="s">
        <v>89</v>
      </c>
      <c r="C4451">
        <v>87</v>
      </c>
      <c r="D4451" t="s">
        <v>11441</v>
      </c>
      <c r="E4451" t="s">
        <v>11442</v>
      </c>
      <c r="F4451" t="s">
        <v>89</v>
      </c>
      <c r="H4451" t="s">
        <v>11443</v>
      </c>
    </row>
    <row r="4452" spans="1:8">
      <c r="A4452" t="s">
        <v>243</v>
      </c>
      <c r="B4452" t="s">
        <v>89</v>
      </c>
      <c r="C4452">
        <v>87</v>
      </c>
      <c r="D4452" t="s">
        <v>11444</v>
      </c>
      <c r="E4452" t="s">
        <v>11445</v>
      </c>
      <c r="F4452" t="s">
        <v>89</v>
      </c>
      <c r="H4452" t="s">
        <v>11446</v>
      </c>
    </row>
    <row r="4453" spans="1:8">
      <c r="A4453" t="s">
        <v>241</v>
      </c>
      <c r="B4453" t="s">
        <v>89</v>
      </c>
      <c r="C4453">
        <v>87</v>
      </c>
      <c r="D4453" t="s">
        <v>11447</v>
      </c>
      <c r="E4453" t="s">
        <v>11448</v>
      </c>
      <c r="F4453" t="s">
        <v>89</v>
      </c>
      <c r="H4453" t="s">
        <v>11449</v>
      </c>
    </row>
    <row r="4454" spans="1:8">
      <c r="A4454" t="s">
        <v>243</v>
      </c>
      <c r="B4454" t="s">
        <v>89</v>
      </c>
      <c r="C4454">
        <v>87</v>
      </c>
      <c r="D4454" t="s">
        <v>11450</v>
      </c>
      <c r="E4454" t="s">
        <v>11451</v>
      </c>
      <c r="F4454" t="s">
        <v>89</v>
      </c>
      <c r="H4454" t="s">
        <v>11452</v>
      </c>
    </row>
    <row r="4455" spans="1:8">
      <c r="A4455" t="s">
        <v>239</v>
      </c>
      <c r="B4455" t="s">
        <v>89</v>
      </c>
      <c r="C4455">
        <v>87</v>
      </c>
      <c r="D4455" t="s">
        <v>11453</v>
      </c>
      <c r="E4455" t="s">
        <v>11454</v>
      </c>
      <c r="F4455" t="s">
        <v>89</v>
      </c>
      <c r="H4455" t="s">
        <v>11455</v>
      </c>
    </row>
    <row r="4456" spans="1:8">
      <c r="A4456" t="s">
        <v>243</v>
      </c>
      <c r="B4456" t="s">
        <v>89</v>
      </c>
      <c r="C4456">
        <v>87</v>
      </c>
      <c r="D4456" t="s">
        <v>11456</v>
      </c>
      <c r="E4456" t="s">
        <v>390</v>
      </c>
      <c r="F4456" t="s">
        <v>89</v>
      </c>
      <c r="H4456" t="s">
        <v>11457</v>
      </c>
    </row>
    <row r="4457" spans="1:8">
      <c r="A4457" t="s">
        <v>250</v>
      </c>
      <c r="B4457" t="s">
        <v>89</v>
      </c>
      <c r="C4457">
        <v>87</v>
      </c>
      <c r="D4457" t="s">
        <v>11215</v>
      </c>
      <c r="E4457" t="s">
        <v>11458</v>
      </c>
      <c r="F4457" t="s">
        <v>11111</v>
      </c>
      <c r="G4457" t="s">
        <v>11217</v>
      </c>
    </row>
    <row r="4458" spans="1:8">
      <c r="A4458" t="s">
        <v>239</v>
      </c>
      <c r="B4458" t="s">
        <v>89</v>
      </c>
      <c r="C4458">
        <v>87</v>
      </c>
      <c r="D4458" t="s">
        <v>11459</v>
      </c>
      <c r="E4458" t="s">
        <v>11460</v>
      </c>
      <c r="F4458" t="s">
        <v>11111</v>
      </c>
      <c r="H4458" t="s">
        <v>11461</v>
      </c>
    </row>
    <row r="4459" spans="1:8">
      <c r="A4459" t="s">
        <v>243</v>
      </c>
      <c r="B4459" t="s">
        <v>89</v>
      </c>
      <c r="C4459">
        <v>87</v>
      </c>
      <c r="D4459" t="s">
        <v>11462</v>
      </c>
      <c r="E4459" t="s">
        <v>11463</v>
      </c>
      <c r="G4459" t="s">
        <v>11464</v>
      </c>
      <c r="H4459" t="s">
        <v>11465</v>
      </c>
    </row>
    <row r="4460" spans="1:8">
      <c r="A4460" t="s">
        <v>243</v>
      </c>
      <c r="B4460" t="s">
        <v>89</v>
      </c>
      <c r="C4460">
        <v>87</v>
      </c>
      <c r="D4460" t="s">
        <v>11466</v>
      </c>
      <c r="E4460" t="s">
        <v>11467</v>
      </c>
      <c r="F4460" t="s">
        <v>89</v>
      </c>
      <c r="H4460" t="s">
        <v>11468</v>
      </c>
    </row>
    <row r="4461" spans="1:8">
      <c r="A4461" t="s">
        <v>239</v>
      </c>
      <c r="B4461" t="s">
        <v>89</v>
      </c>
      <c r="C4461">
        <v>87</v>
      </c>
      <c r="D4461" t="s">
        <v>11469</v>
      </c>
      <c r="E4461" t="s">
        <v>11470</v>
      </c>
      <c r="H4461" t="s">
        <v>11471</v>
      </c>
    </row>
    <row r="4462" spans="1:8">
      <c r="A4462" t="s">
        <v>239</v>
      </c>
      <c r="B4462" t="s">
        <v>89</v>
      </c>
      <c r="C4462">
        <v>87</v>
      </c>
      <c r="D4462" t="s">
        <v>11472</v>
      </c>
      <c r="E4462" t="s">
        <v>4756</v>
      </c>
      <c r="H4462" t="s">
        <v>8663</v>
      </c>
    </row>
    <row r="4463" spans="1:8">
      <c r="A4463" t="s">
        <v>239</v>
      </c>
      <c r="B4463" t="s">
        <v>89</v>
      </c>
      <c r="C4463">
        <v>87</v>
      </c>
      <c r="D4463" t="s">
        <v>11473</v>
      </c>
      <c r="E4463" t="s">
        <v>11474</v>
      </c>
      <c r="H4463" t="s">
        <v>11475</v>
      </c>
    </row>
    <row r="4464" spans="1:8">
      <c r="A4464" t="s">
        <v>239</v>
      </c>
      <c r="B4464" t="s">
        <v>89</v>
      </c>
      <c r="C4464">
        <v>87</v>
      </c>
      <c r="D4464" t="s">
        <v>11476</v>
      </c>
      <c r="E4464" t="s">
        <v>11477</v>
      </c>
      <c r="H4464" t="s">
        <v>11478</v>
      </c>
    </row>
    <row r="4465" spans="1:8">
      <c r="A4465" t="s">
        <v>243</v>
      </c>
      <c r="B4465" t="s">
        <v>89</v>
      </c>
      <c r="C4465">
        <v>87</v>
      </c>
      <c r="D4465" t="s">
        <v>11479</v>
      </c>
      <c r="E4465" t="s">
        <v>11480</v>
      </c>
      <c r="H4465" t="s">
        <v>11276</v>
      </c>
    </row>
    <row r="4466" spans="1:8">
      <c r="A4466" t="s">
        <v>243</v>
      </c>
      <c r="B4466" t="s">
        <v>89</v>
      </c>
      <c r="C4466">
        <v>87</v>
      </c>
      <c r="D4466" t="s">
        <v>11450</v>
      </c>
      <c r="E4466" t="s">
        <v>11481</v>
      </c>
      <c r="F4466" t="s">
        <v>89</v>
      </c>
      <c r="H4466" t="s">
        <v>11482</v>
      </c>
    </row>
    <row r="4467" spans="1:8">
      <c r="A4467" t="s">
        <v>242</v>
      </c>
      <c r="B4467" t="s">
        <v>89</v>
      </c>
      <c r="C4467">
        <v>87</v>
      </c>
      <c r="D4467" t="s">
        <v>11483</v>
      </c>
      <c r="E4467" t="s">
        <v>11484</v>
      </c>
      <c r="F4467" t="s">
        <v>89</v>
      </c>
      <c r="H4467" t="s">
        <v>11485</v>
      </c>
    </row>
    <row r="4468" spans="1:8">
      <c r="A4468" t="s">
        <v>243</v>
      </c>
      <c r="B4468" t="s">
        <v>89</v>
      </c>
      <c r="C4468">
        <v>87</v>
      </c>
      <c r="D4468" t="s">
        <v>11486</v>
      </c>
      <c r="E4468" t="s">
        <v>11424</v>
      </c>
      <c r="F4468" t="s">
        <v>89</v>
      </c>
      <c r="G4468" t="s">
        <v>11425</v>
      </c>
      <c r="H4468" t="s">
        <v>11487</v>
      </c>
    </row>
    <row r="4469" spans="1:8">
      <c r="A4469" t="s">
        <v>240</v>
      </c>
      <c r="B4469" t="s">
        <v>89</v>
      </c>
      <c r="C4469">
        <v>87</v>
      </c>
      <c r="D4469" t="s">
        <v>11488</v>
      </c>
      <c r="E4469" t="s">
        <v>11489</v>
      </c>
      <c r="F4469" t="s">
        <v>89</v>
      </c>
      <c r="G4469" t="s">
        <v>11490</v>
      </c>
      <c r="H4469" t="s">
        <v>11491</v>
      </c>
    </row>
    <row r="4470" spans="1:8">
      <c r="A4470" t="s">
        <v>250</v>
      </c>
      <c r="B4470" t="s">
        <v>89</v>
      </c>
      <c r="C4470">
        <v>87</v>
      </c>
      <c r="D4470" t="s">
        <v>11492</v>
      </c>
      <c r="E4470" t="s">
        <v>11493</v>
      </c>
      <c r="F4470" t="s">
        <v>89</v>
      </c>
      <c r="H4470" t="s">
        <v>11494</v>
      </c>
    </row>
    <row r="4471" spans="1:8">
      <c r="A4471" t="s">
        <v>250</v>
      </c>
      <c r="B4471" t="s">
        <v>89</v>
      </c>
      <c r="C4471">
        <v>87</v>
      </c>
      <c r="D4471" t="s">
        <v>11495</v>
      </c>
      <c r="E4471" t="s">
        <v>11496</v>
      </c>
      <c r="F4471" t="s">
        <v>89</v>
      </c>
      <c r="H4471" t="s">
        <v>11497</v>
      </c>
    </row>
    <row r="4472" spans="1:8">
      <c r="A4472" t="s">
        <v>250</v>
      </c>
      <c r="B4472" t="s">
        <v>89</v>
      </c>
      <c r="C4472">
        <v>87</v>
      </c>
      <c r="D4472" t="s">
        <v>11353</v>
      </c>
      <c r="E4472" t="s">
        <v>11088</v>
      </c>
      <c r="F4472" t="s">
        <v>11111</v>
      </c>
      <c r="G4472" t="s">
        <v>11355</v>
      </c>
      <c r="H4472" t="s">
        <v>11356</v>
      </c>
    </row>
    <row r="4473" spans="1:8">
      <c r="A4473" t="s">
        <v>250</v>
      </c>
      <c r="B4473" t="s">
        <v>89</v>
      </c>
      <c r="C4473">
        <v>87</v>
      </c>
      <c r="D4473" t="s">
        <v>11498</v>
      </c>
      <c r="E4473" t="s">
        <v>11499</v>
      </c>
      <c r="F4473" t="s">
        <v>89</v>
      </c>
    </row>
    <row r="4474" spans="1:8">
      <c r="A4474" t="s">
        <v>250</v>
      </c>
      <c r="B4474" t="s">
        <v>89</v>
      </c>
      <c r="C4474">
        <v>87</v>
      </c>
      <c r="D4474" t="s">
        <v>11500</v>
      </c>
      <c r="E4474" t="s">
        <v>11088</v>
      </c>
      <c r="F4474" t="s">
        <v>11111</v>
      </c>
      <c r="H4474" t="s">
        <v>11501</v>
      </c>
    </row>
    <row r="4475" spans="1:8">
      <c r="A4475" t="s">
        <v>250</v>
      </c>
      <c r="B4475" t="s">
        <v>89</v>
      </c>
      <c r="C4475">
        <v>87</v>
      </c>
      <c r="D4475" t="s">
        <v>11502</v>
      </c>
      <c r="E4475" t="s">
        <v>11503</v>
      </c>
      <c r="F4475" t="s">
        <v>89</v>
      </c>
      <c r="H4475" t="s">
        <v>11504</v>
      </c>
    </row>
    <row r="4476" spans="1:8">
      <c r="A4476" t="s">
        <v>250</v>
      </c>
      <c r="B4476" t="s">
        <v>89</v>
      </c>
      <c r="C4476">
        <v>87</v>
      </c>
      <c r="D4476" t="s">
        <v>11505</v>
      </c>
      <c r="E4476" t="s">
        <v>11506</v>
      </c>
      <c r="F4476" t="s">
        <v>11111</v>
      </c>
      <c r="G4476" t="s">
        <v>11507</v>
      </c>
      <c r="H4476" t="s">
        <v>11146</v>
      </c>
    </row>
    <row r="4477" spans="1:8">
      <c r="A4477" t="s">
        <v>250</v>
      </c>
      <c r="B4477" t="s">
        <v>89</v>
      </c>
      <c r="C4477">
        <v>87</v>
      </c>
      <c r="D4477" t="s">
        <v>11508</v>
      </c>
      <c r="E4477" t="s">
        <v>11509</v>
      </c>
      <c r="F4477" t="s">
        <v>89</v>
      </c>
      <c r="G4477" t="s">
        <v>11510</v>
      </c>
      <c r="H4477" t="s">
        <v>11146</v>
      </c>
    </row>
    <row r="4478" spans="1:8">
      <c r="A4478" t="s">
        <v>250</v>
      </c>
      <c r="B4478" t="s">
        <v>89</v>
      </c>
      <c r="C4478">
        <v>87</v>
      </c>
      <c r="D4478" t="s">
        <v>11511</v>
      </c>
      <c r="E4478" t="s">
        <v>11512</v>
      </c>
      <c r="F4478" t="s">
        <v>11111</v>
      </c>
    </row>
    <row r="4479" spans="1:8">
      <c r="A4479" t="s">
        <v>250</v>
      </c>
      <c r="B4479" t="s">
        <v>89</v>
      </c>
      <c r="C4479">
        <v>87</v>
      </c>
      <c r="D4479" t="s">
        <v>11513</v>
      </c>
      <c r="E4479" t="s">
        <v>11514</v>
      </c>
      <c r="F4479" t="s">
        <v>89</v>
      </c>
      <c r="G4479" t="s">
        <v>11515</v>
      </c>
    </row>
    <row r="4480" spans="1:8">
      <c r="A4480" t="s">
        <v>240</v>
      </c>
      <c r="B4480" t="s">
        <v>89</v>
      </c>
      <c r="C4480">
        <v>87</v>
      </c>
      <c r="D4480" t="s">
        <v>11516</v>
      </c>
      <c r="E4480" t="s">
        <v>11517</v>
      </c>
      <c r="F4480" t="s">
        <v>89</v>
      </c>
      <c r="H4480" t="s">
        <v>11518</v>
      </c>
    </row>
    <row r="4481" spans="1:8">
      <c r="A4481" t="s">
        <v>250</v>
      </c>
      <c r="B4481" t="s">
        <v>89</v>
      </c>
      <c r="C4481">
        <v>87</v>
      </c>
      <c r="D4481" t="s">
        <v>11519</v>
      </c>
      <c r="E4481" t="s">
        <v>11520</v>
      </c>
      <c r="F4481" t="s">
        <v>11111</v>
      </c>
    </row>
    <row r="4482" spans="1:8">
      <c r="A4482" t="s">
        <v>250</v>
      </c>
      <c r="B4482" t="s">
        <v>89</v>
      </c>
      <c r="C4482">
        <v>87</v>
      </c>
      <c r="D4482" t="s">
        <v>11521</v>
      </c>
      <c r="E4482" t="s">
        <v>11522</v>
      </c>
      <c r="G4482" t="s">
        <v>11523</v>
      </c>
      <c r="H4482" t="s">
        <v>11524</v>
      </c>
    </row>
    <row r="4483" spans="1:8">
      <c r="A4483" t="s">
        <v>250</v>
      </c>
      <c r="B4483" t="s">
        <v>89</v>
      </c>
      <c r="C4483">
        <v>87</v>
      </c>
      <c r="D4483" t="s">
        <v>1094</v>
      </c>
      <c r="E4483" t="s">
        <v>11499</v>
      </c>
      <c r="F4483" t="s">
        <v>89</v>
      </c>
    </row>
    <row r="4484" spans="1:8">
      <c r="A4484" t="s">
        <v>250</v>
      </c>
      <c r="B4484" t="s">
        <v>89</v>
      </c>
      <c r="C4484">
        <v>87</v>
      </c>
      <c r="D4484" t="s">
        <v>11525</v>
      </c>
      <c r="E4484" t="s">
        <v>5079</v>
      </c>
      <c r="F4484" t="s">
        <v>89</v>
      </c>
      <c r="G4484" t="s">
        <v>11526</v>
      </c>
    </row>
    <row r="4485" spans="1:8">
      <c r="A4485" t="s">
        <v>250</v>
      </c>
      <c r="B4485" t="s">
        <v>89</v>
      </c>
      <c r="C4485">
        <v>87</v>
      </c>
      <c r="D4485" t="s">
        <v>7177</v>
      </c>
      <c r="E4485" t="s">
        <v>11527</v>
      </c>
      <c r="F4485" t="s">
        <v>89</v>
      </c>
      <c r="G4485" t="s">
        <v>11093</v>
      </c>
    </row>
    <row r="4486" spans="1:8">
      <c r="A4486" t="s">
        <v>250</v>
      </c>
      <c r="B4486" t="s">
        <v>89</v>
      </c>
      <c r="C4486">
        <v>87</v>
      </c>
      <c r="D4486" t="s">
        <v>11528</v>
      </c>
      <c r="E4486" t="s">
        <v>11529</v>
      </c>
      <c r="F4486" t="s">
        <v>11111</v>
      </c>
      <c r="G4486" t="s">
        <v>11530</v>
      </c>
    </row>
    <row r="4487" spans="1:8">
      <c r="A4487" t="s">
        <v>250</v>
      </c>
      <c r="B4487" t="s">
        <v>89</v>
      </c>
      <c r="C4487">
        <v>87</v>
      </c>
      <c r="D4487" t="s">
        <v>11531</v>
      </c>
      <c r="E4487" t="s">
        <v>11532</v>
      </c>
      <c r="F4487" t="s">
        <v>11111</v>
      </c>
    </row>
    <row r="4488" spans="1:8">
      <c r="A4488" t="s">
        <v>250</v>
      </c>
      <c r="B4488" t="s">
        <v>89</v>
      </c>
      <c r="C4488">
        <v>87</v>
      </c>
      <c r="D4488" t="s">
        <v>11218</v>
      </c>
      <c r="E4488" t="s">
        <v>11533</v>
      </c>
      <c r="F4488" t="s">
        <v>89</v>
      </c>
      <c r="G4488" t="s">
        <v>11221</v>
      </c>
      <c r="H4488" t="s">
        <v>11220</v>
      </c>
    </row>
    <row r="4489" spans="1:8">
      <c r="A4489" t="s">
        <v>250</v>
      </c>
      <c r="B4489" t="s">
        <v>89</v>
      </c>
      <c r="C4489">
        <v>87</v>
      </c>
      <c r="D4489" t="s">
        <v>2702</v>
      </c>
      <c r="E4489" t="s">
        <v>11534</v>
      </c>
      <c r="F4489" t="s">
        <v>89</v>
      </c>
      <c r="G4489" t="s">
        <v>11535</v>
      </c>
      <c r="H4489" t="s">
        <v>11536</v>
      </c>
    </row>
    <row r="4490" spans="1:8">
      <c r="A4490" t="s">
        <v>250</v>
      </c>
      <c r="B4490" t="s">
        <v>89</v>
      </c>
      <c r="C4490">
        <v>87</v>
      </c>
      <c r="D4490" t="s">
        <v>11537</v>
      </c>
      <c r="E4490" t="s">
        <v>11538</v>
      </c>
      <c r="F4490" t="s">
        <v>89</v>
      </c>
      <c r="H4490" t="s">
        <v>11539</v>
      </c>
    </row>
    <row r="4491" spans="1:8">
      <c r="A4491" t="s">
        <v>250</v>
      </c>
      <c r="B4491" t="s">
        <v>89</v>
      </c>
      <c r="C4491">
        <v>87</v>
      </c>
      <c r="D4491" t="s">
        <v>3926</v>
      </c>
      <c r="E4491" t="s">
        <v>11088</v>
      </c>
      <c r="F4491" t="s">
        <v>89</v>
      </c>
      <c r="G4491" t="s">
        <v>11389</v>
      </c>
    </row>
    <row r="4492" spans="1:8">
      <c r="A4492" t="s">
        <v>250</v>
      </c>
      <c r="B4492" t="s">
        <v>89</v>
      </c>
      <c r="C4492">
        <v>87</v>
      </c>
      <c r="D4492" t="s">
        <v>11111</v>
      </c>
      <c r="E4492" t="s">
        <v>11540</v>
      </c>
      <c r="F4492" t="s">
        <v>11111</v>
      </c>
    </row>
    <row r="4493" spans="1:8">
      <c r="A4493" t="s">
        <v>250</v>
      </c>
      <c r="B4493" t="s">
        <v>89</v>
      </c>
      <c r="C4493">
        <v>87</v>
      </c>
      <c r="D4493" t="s">
        <v>11541</v>
      </c>
      <c r="E4493" t="s">
        <v>11542</v>
      </c>
      <c r="F4493" t="s">
        <v>11111</v>
      </c>
      <c r="G4493" t="s">
        <v>11543</v>
      </c>
    </row>
    <row r="4494" spans="1:8">
      <c r="A4494" t="s">
        <v>250</v>
      </c>
      <c r="B4494" t="s">
        <v>89</v>
      </c>
      <c r="C4494">
        <v>87</v>
      </c>
      <c r="D4494" t="s">
        <v>11544</v>
      </c>
      <c r="E4494" t="s">
        <v>11545</v>
      </c>
      <c r="F4494" t="s">
        <v>89</v>
      </c>
    </row>
    <row r="4495" spans="1:8">
      <c r="A4495" t="s">
        <v>250</v>
      </c>
      <c r="B4495" t="s">
        <v>89</v>
      </c>
      <c r="C4495">
        <v>87</v>
      </c>
      <c r="D4495" t="s">
        <v>11546</v>
      </c>
      <c r="F4495" t="s">
        <v>11111</v>
      </c>
      <c r="H4495" t="s">
        <v>11547</v>
      </c>
    </row>
    <row r="4496" spans="1:8">
      <c r="A4496" t="s">
        <v>250</v>
      </c>
      <c r="B4496" t="s">
        <v>89</v>
      </c>
      <c r="C4496">
        <v>87</v>
      </c>
      <c r="D4496" t="s">
        <v>4602</v>
      </c>
      <c r="E4496" t="s">
        <v>11548</v>
      </c>
      <c r="G4496" t="s">
        <v>11549</v>
      </c>
      <c r="H4496" t="s">
        <v>11550</v>
      </c>
    </row>
    <row r="4497" spans="1:8">
      <c r="A4497" t="s">
        <v>243</v>
      </c>
      <c r="B4497" t="s">
        <v>89</v>
      </c>
      <c r="C4497">
        <v>87</v>
      </c>
      <c r="D4497" t="s">
        <v>11551</v>
      </c>
      <c r="E4497" t="s">
        <v>11552</v>
      </c>
      <c r="F4497" t="s">
        <v>89</v>
      </c>
      <c r="H4497" t="s">
        <v>11553</v>
      </c>
    </row>
    <row r="4498" spans="1:8">
      <c r="A4498" t="s">
        <v>248</v>
      </c>
      <c r="B4498" t="s">
        <v>89</v>
      </c>
      <c r="C4498">
        <v>87</v>
      </c>
      <c r="D4498" t="s">
        <v>11554</v>
      </c>
      <c r="E4498" t="s">
        <v>9496</v>
      </c>
      <c r="F4498" t="s">
        <v>89</v>
      </c>
      <c r="G4498" t="s">
        <v>11386</v>
      </c>
      <c r="H4498" t="s">
        <v>11387</v>
      </c>
    </row>
    <row r="4499" spans="1:8">
      <c r="A4499" t="s">
        <v>240</v>
      </c>
      <c r="B4499" t="s">
        <v>89</v>
      </c>
      <c r="C4499">
        <v>87</v>
      </c>
      <c r="D4499" t="s">
        <v>11555</v>
      </c>
      <c r="E4499" t="s">
        <v>11556</v>
      </c>
      <c r="F4499" t="s">
        <v>89</v>
      </c>
      <c r="G4499" t="s">
        <v>11140</v>
      </c>
      <c r="H4499" t="s">
        <v>11141</v>
      </c>
    </row>
    <row r="4500" spans="1:8">
      <c r="A4500" t="s">
        <v>240</v>
      </c>
      <c r="B4500" t="s">
        <v>89</v>
      </c>
      <c r="C4500">
        <v>87</v>
      </c>
      <c r="D4500" t="s">
        <v>11557</v>
      </c>
      <c r="E4500" t="s">
        <v>11366</v>
      </c>
      <c r="F4500" t="s">
        <v>89</v>
      </c>
      <c r="H4500" t="s">
        <v>11558</v>
      </c>
    </row>
    <row r="4501" spans="1:8">
      <c r="A4501" t="s">
        <v>240</v>
      </c>
      <c r="B4501" t="s">
        <v>89</v>
      </c>
      <c r="C4501">
        <v>87</v>
      </c>
      <c r="D4501" t="s">
        <v>11559</v>
      </c>
      <c r="E4501" t="s">
        <v>11560</v>
      </c>
      <c r="F4501" t="s">
        <v>89</v>
      </c>
      <c r="G4501" t="s">
        <v>11561</v>
      </c>
      <c r="H4501" t="s">
        <v>11562</v>
      </c>
    </row>
    <row r="4502" spans="1:8">
      <c r="A4502" t="s">
        <v>240</v>
      </c>
      <c r="B4502" t="s">
        <v>89</v>
      </c>
      <c r="C4502">
        <v>87</v>
      </c>
      <c r="D4502" t="s">
        <v>11563</v>
      </c>
      <c r="E4502" t="s">
        <v>11564</v>
      </c>
      <c r="F4502" t="s">
        <v>89</v>
      </c>
      <c r="G4502" t="s">
        <v>11565</v>
      </c>
      <c r="H4502" t="s">
        <v>11566</v>
      </c>
    </row>
    <row r="4503" spans="1:8">
      <c r="A4503" t="s">
        <v>240</v>
      </c>
      <c r="B4503" t="s">
        <v>89</v>
      </c>
      <c r="C4503">
        <v>87</v>
      </c>
      <c r="D4503" t="s">
        <v>11567</v>
      </c>
      <c r="E4503" t="s">
        <v>11568</v>
      </c>
      <c r="F4503" t="s">
        <v>89</v>
      </c>
      <c r="H4503" t="s">
        <v>11329</v>
      </c>
    </row>
    <row r="4504" spans="1:8">
      <c r="A4504" t="s">
        <v>240</v>
      </c>
      <c r="B4504" t="s">
        <v>89</v>
      </c>
      <c r="C4504">
        <v>87</v>
      </c>
      <c r="D4504" t="s">
        <v>11569</v>
      </c>
      <c r="E4504" t="s">
        <v>11570</v>
      </c>
      <c r="F4504" t="s">
        <v>89</v>
      </c>
      <c r="H4504" t="s">
        <v>11571</v>
      </c>
    </row>
    <row r="4505" spans="1:8">
      <c r="A4505" t="s">
        <v>250</v>
      </c>
      <c r="B4505" t="s">
        <v>89</v>
      </c>
      <c r="C4505">
        <v>87</v>
      </c>
      <c r="D4505" t="s">
        <v>11572</v>
      </c>
      <c r="E4505" t="s">
        <v>11573</v>
      </c>
      <c r="F4505" t="s">
        <v>89</v>
      </c>
    </row>
    <row r="4506" spans="1:8">
      <c r="A4506" t="s">
        <v>250</v>
      </c>
      <c r="B4506" t="s">
        <v>89</v>
      </c>
      <c r="C4506">
        <v>87</v>
      </c>
      <c r="D4506" t="s">
        <v>11574</v>
      </c>
      <c r="E4506" t="s">
        <v>11575</v>
      </c>
      <c r="F4506" t="s">
        <v>11111</v>
      </c>
    </row>
    <row r="4507" spans="1:8">
      <c r="A4507" t="s">
        <v>250</v>
      </c>
      <c r="B4507" t="s">
        <v>89</v>
      </c>
      <c r="C4507">
        <v>87</v>
      </c>
      <c r="D4507" t="s">
        <v>11576</v>
      </c>
      <c r="E4507" t="s">
        <v>11088</v>
      </c>
      <c r="F4507" t="s">
        <v>11111</v>
      </c>
    </row>
    <row r="4508" spans="1:8">
      <c r="A4508" t="s">
        <v>250</v>
      </c>
      <c r="B4508" t="s">
        <v>89</v>
      </c>
      <c r="C4508">
        <v>87</v>
      </c>
      <c r="D4508" t="s">
        <v>11577</v>
      </c>
      <c r="E4508" t="s">
        <v>11088</v>
      </c>
      <c r="F4508" t="s">
        <v>11111</v>
      </c>
    </row>
    <row r="4509" spans="1:8">
      <c r="A4509" t="s">
        <v>250</v>
      </c>
      <c r="B4509" t="s">
        <v>89</v>
      </c>
      <c r="C4509">
        <v>87</v>
      </c>
      <c r="D4509" t="s">
        <v>11578</v>
      </c>
      <c r="G4509" t="s">
        <v>11225</v>
      </c>
      <c r="H4509" t="s">
        <v>11224</v>
      </c>
    </row>
    <row r="4510" spans="1:8">
      <c r="A4510" t="s">
        <v>250</v>
      </c>
      <c r="B4510" t="s">
        <v>89</v>
      </c>
      <c r="C4510">
        <v>87</v>
      </c>
      <c r="D4510" t="s">
        <v>11579</v>
      </c>
      <c r="E4510" t="s">
        <v>11580</v>
      </c>
      <c r="F4510" t="s">
        <v>11111</v>
      </c>
      <c r="G4510" t="s">
        <v>11581</v>
      </c>
      <c r="H4510" t="s">
        <v>11582</v>
      </c>
    </row>
    <row r="4511" spans="1:8">
      <c r="A4511" t="s">
        <v>243</v>
      </c>
      <c r="B4511" t="s">
        <v>89</v>
      </c>
      <c r="C4511">
        <v>87</v>
      </c>
      <c r="D4511" t="s">
        <v>11583</v>
      </c>
      <c r="E4511" t="s">
        <v>11584</v>
      </c>
      <c r="F4511" t="s">
        <v>89</v>
      </c>
    </row>
    <row r="4512" spans="1:8">
      <c r="A4512" t="s">
        <v>250</v>
      </c>
      <c r="B4512" t="s">
        <v>89</v>
      </c>
      <c r="C4512">
        <v>87</v>
      </c>
      <c r="D4512" t="s">
        <v>11585</v>
      </c>
      <c r="E4512" t="s">
        <v>11529</v>
      </c>
      <c r="F4512" t="s">
        <v>11111</v>
      </c>
      <c r="G4512" t="s">
        <v>11214</v>
      </c>
      <c r="H4512" t="s">
        <v>11213</v>
      </c>
    </row>
    <row r="4513" spans="1:8">
      <c r="A4513" t="s">
        <v>250</v>
      </c>
      <c r="B4513" t="s">
        <v>89</v>
      </c>
      <c r="C4513">
        <v>87</v>
      </c>
      <c r="D4513" t="s">
        <v>11226</v>
      </c>
      <c r="F4513" t="s">
        <v>89</v>
      </c>
      <c r="G4513" t="s">
        <v>11229</v>
      </c>
      <c r="H4513" t="s">
        <v>11228</v>
      </c>
    </row>
    <row r="4514" spans="1:8">
      <c r="A4514" t="s">
        <v>250</v>
      </c>
      <c r="B4514" t="s">
        <v>89</v>
      </c>
      <c r="C4514">
        <v>87</v>
      </c>
      <c r="D4514" t="s">
        <v>11586</v>
      </c>
      <c r="E4514" t="s">
        <v>11587</v>
      </c>
      <c r="F4514" t="s">
        <v>11588</v>
      </c>
    </row>
    <row r="4515" spans="1:8">
      <c r="A4515" t="s">
        <v>250</v>
      </c>
      <c r="B4515" t="s">
        <v>89</v>
      </c>
      <c r="C4515">
        <v>87</v>
      </c>
      <c r="D4515" t="s">
        <v>11589</v>
      </c>
      <c r="E4515" t="s">
        <v>11532</v>
      </c>
      <c r="F4515" t="s">
        <v>11111</v>
      </c>
      <c r="G4515" t="s">
        <v>11590</v>
      </c>
    </row>
    <row r="4516" spans="1:8">
      <c r="A4516" t="s">
        <v>250</v>
      </c>
      <c r="B4516" t="s">
        <v>89</v>
      </c>
      <c r="C4516">
        <v>87</v>
      </c>
      <c r="D4516" t="s">
        <v>4017</v>
      </c>
      <c r="E4516" t="s">
        <v>11591</v>
      </c>
      <c r="F4516" t="s">
        <v>89</v>
      </c>
    </row>
    <row r="4517" spans="1:8">
      <c r="A4517" t="s">
        <v>242</v>
      </c>
      <c r="B4517" t="s">
        <v>112</v>
      </c>
      <c r="C4517">
        <v>88</v>
      </c>
      <c r="D4517" t="s">
        <v>2722</v>
      </c>
      <c r="E4517" t="s">
        <v>2723</v>
      </c>
      <c r="F4517" t="s">
        <v>112</v>
      </c>
      <c r="G4517" t="s">
        <v>2724</v>
      </c>
      <c r="H4517" t="s">
        <v>2725</v>
      </c>
    </row>
    <row r="4518" spans="1:8">
      <c r="A4518" t="s">
        <v>242</v>
      </c>
      <c r="B4518" t="s">
        <v>112</v>
      </c>
      <c r="C4518">
        <v>88</v>
      </c>
      <c r="D4518" t="s">
        <v>2726</v>
      </c>
      <c r="E4518" t="s">
        <v>2727</v>
      </c>
      <c r="F4518" t="s">
        <v>112</v>
      </c>
      <c r="G4518" t="s">
        <v>2728</v>
      </c>
      <c r="H4518" t="s">
        <v>2729</v>
      </c>
    </row>
    <row r="4519" spans="1:8">
      <c r="A4519" t="s">
        <v>238</v>
      </c>
      <c r="B4519" t="s">
        <v>112</v>
      </c>
      <c r="C4519">
        <v>88</v>
      </c>
      <c r="D4519" t="s">
        <v>2730</v>
      </c>
      <c r="E4519" t="s">
        <v>2731</v>
      </c>
      <c r="F4519" t="s">
        <v>112</v>
      </c>
    </row>
    <row r="4520" spans="1:8">
      <c r="A4520" t="s">
        <v>241</v>
      </c>
      <c r="B4520" t="s">
        <v>112</v>
      </c>
      <c r="C4520">
        <v>88</v>
      </c>
      <c r="D4520" t="s">
        <v>2732</v>
      </c>
      <c r="E4520" t="s">
        <v>2733</v>
      </c>
      <c r="F4520" t="s">
        <v>2734</v>
      </c>
      <c r="G4520" t="s">
        <v>2735</v>
      </c>
      <c r="H4520" t="s">
        <v>2736</v>
      </c>
    </row>
    <row r="4521" spans="1:8">
      <c r="A4521" t="s">
        <v>241</v>
      </c>
      <c r="B4521" t="s">
        <v>112</v>
      </c>
      <c r="C4521">
        <v>88</v>
      </c>
      <c r="D4521" t="s">
        <v>2737</v>
      </c>
      <c r="E4521" t="s">
        <v>2738</v>
      </c>
      <c r="F4521" t="s">
        <v>112</v>
      </c>
      <c r="G4521" t="s">
        <v>2739</v>
      </c>
      <c r="H4521" t="s">
        <v>2740</v>
      </c>
    </row>
    <row r="4522" spans="1:8">
      <c r="A4522" t="s">
        <v>241</v>
      </c>
      <c r="B4522" t="s">
        <v>112</v>
      </c>
      <c r="C4522">
        <v>88</v>
      </c>
      <c r="D4522" t="s">
        <v>2741</v>
      </c>
      <c r="E4522" t="s">
        <v>2742</v>
      </c>
      <c r="F4522" t="s">
        <v>112</v>
      </c>
      <c r="G4522" t="s">
        <v>2743</v>
      </c>
      <c r="H4522" t="s">
        <v>2744</v>
      </c>
    </row>
    <row r="4523" spans="1:8">
      <c r="A4523" t="s">
        <v>240</v>
      </c>
      <c r="B4523" t="s">
        <v>112</v>
      </c>
      <c r="C4523">
        <v>88</v>
      </c>
      <c r="D4523" t="s">
        <v>2745</v>
      </c>
      <c r="E4523" t="s">
        <v>2746</v>
      </c>
      <c r="F4523" t="s">
        <v>112</v>
      </c>
      <c r="G4523" t="s">
        <v>2747</v>
      </c>
      <c r="H4523" t="s">
        <v>2748</v>
      </c>
    </row>
    <row r="4524" spans="1:8">
      <c r="A4524" t="s">
        <v>240</v>
      </c>
      <c r="B4524" t="s">
        <v>112</v>
      </c>
      <c r="C4524">
        <v>88</v>
      </c>
      <c r="D4524" t="s">
        <v>2749</v>
      </c>
      <c r="E4524" t="s">
        <v>2750</v>
      </c>
      <c r="F4524" t="s">
        <v>112</v>
      </c>
    </row>
    <row r="4525" spans="1:8">
      <c r="A4525" t="s">
        <v>240</v>
      </c>
      <c r="B4525" t="s">
        <v>112</v>
      </c>
      <c r="C4525">
        <v>88</v>
      </c>
      <c r="D4525" t="s">
        <v>2751</v>
      </c>
      <c r="E4525" t="s">
        <v>2752</v>
      </c>
      <c r="F4525" t="s">
        <v>112</v>
      </c>
      <c r="G4525" t="s">
        <v>2753</v>
      </c>
      <c r="H4525" t="s">
        <v>2754</v>
      </c>
    </row>
    <row r="4526" spans="1:8">
      <c r="A4526" t="s">
        <v>241</v>
      </c>
      <c r="B4526" t="s">
        <v>112</v>
      </c>
      <c r="C4526">
        <v>88</v>
      </c>
      <c r="D4526" t="s">
        <v>2755</v>
      </c>
      <c r="E4526" t="s">
        <v>2756</v>
      </c>
      <c r="F4526" t="s">
        <v>112</v>
      </c>
      <c r="H4526" t="s">
        <v>2757</v>
      </c>
    </row>
    <row r="4527" spans="1:8">
      <c r="A4527" t="s">
        <v>242</v>
      </c>
      <c r="B4527" t="s">
        <v>112</v>
      </c>
      <c r="C4527">
        <v>88</v>
      </c>
      <c r="D4527" t="s">
        <v>2758</v>
      </c>
      <c r="E4527" t="s">
        <v>2759</v>
      </c>
      <c r="F4527" t="s">
        <v>112</v>
      </c>
      <c r="G4527" t="s">
        <v>2760</v>
      </c>
      <c r="H4527" t="s">
        <v>2761</v>
      </c>
    </row>
    <row r="4528" spans="1:8">
      <c r="A4528" t="s">
        <v>241</v>
      </c>
      <c r="B4528" t="s">
        <v>112</v>
      </c>
      <c r="C4528">
        <v>88</v>
      </c>
      <c r="D4528" t="s">
        <v>2762</v>
      </c>
      <c r="E4528" t="s">
        <v>2763</v>
      </c>
      <c r="F4528" t="s">
        <v>112</v>
      </c>
    </row>
    <row r="4529" spans="1:8">
      <c r="A4529" t="s">
        <v>242</v>
      </c>
      <c r="B4529" t="s">
        <v>112</v>
      </c>
      <c r="C4529">
        <v>88</v>
      </c>
      <c r="D4529" t="s">
        <v>2764</v>
      </c>
      <c r="E4529" t="s">
        <v>2765</v>
      </c>
      <c r="F4529" t="s">
        <v>2766</v>
      </c>
    </row>
    <row r="4530" spans="1:8">
      <c r="A4530" t="s">
        <v>241</v>
      </c>
      <c r="B4530" t="s">
        <v>112</v>
      </c>
      <c r="C4530">
        <v>88</v>
      </c>
      <c r="D4530" t="s">
        <v>2767</v>
      </c>
      <c r="E4530" t="s">
        <v>2768</v>
      </c>
      <c r="F4530" t="s">
        <v>2769</v>
      </c>
      <c r="H4530" t="s">
        <v>2770</v>
      </c>
    </row>
    <row r="4531" spans="1:8">
      <c r="A4531" t="s">
        <v>243</v>
      </c>
      <c r="B4531" t="s">
        <v>112</v>
      </c>
      <c r="C4531">
        <v>88</v>
      </c>
      <c r="D4531" t="s">
        <v>2771</v>
      </c>
      <c r="E4531" t="s">
        <v>2772</v>
      </c>
      <c r="H4531" t="s">
        <v>2773</v>
      </c>
    </row>
    <row r="4532" spans="1:8">
      <c r="A4532" t="s">
        <v>241</v>
      </c>
      <c r="B4532" t="s">
        <v>112</v>
      </c>
      <c r="C4532">
        <v>88</v>
      </c>
      <c r="D4532" t="s">
        <v>2774</v>
      </c>
      <c r="E4532" t="s">
        <v>2775</v>
      </c>
      <c r="H4532" t="s">
        <v>2776</v>
      </c>
    </row>
    <row r="4533" spans="1:8">
      <c r="A4533" t="s">
        <v>241</v>
      </c>
      <c r="B4533" t="s">
        <v>112</v>
      </c>
      <c r="C4533">
        <v>88</v>
      </c>
      <c r="D4533" t="s">
        <v>2777</v>
      </c>
      <c r="E4533" t="s">
        <v>2778</v>
      </c>
      <c r="F4533" t="s">
        <v>2779</v>
      </c>
      <c r="H4533" t="s">
        <v>2780</v>
      </c>
    </row>
    <row r="4534" spans="1:8">
      <c r="A4534" t="s">
        <v>241</v>
      </c>
      <c r="B4534" t="s">
        <v>112</v>
      </c>
      <c r="C4534">
        <v>88</v>
      </c>
      <c r="D4534" t="s">
        <v>2781</v>
      </c>
      <c r="E4534" t="s">
        <v>2782</v>
      </c>
      <c r="F4534" t="s">
        <v>2783</v>
      </c>
      <c r="G4534" t="s">
        <v>2784</v>
      </c>
      <c r="H4534" t="s">
        <v>2785</v>
      </c>
    </row>
    <row r="4535" spans="1:8">
      <c r="A4535" t="s">
        <v>246</v>
      </c>
      <c r="B4535" t="s">
        <v>112</v>
      </c>
      <c r="C4535">
        <v>88</v>
      </c>
      <c r="D4535" t="s">
        <v>2786</v>
      </c>
      <c r="E4535" t="s">
        <v>2787</v>
      </c>
      <c r="F4535" t="s">
        <v>112</v>
      </c>
    </row>
    <row r="4536" spans="1:8">
      <c r="A4536" t="s">
        <v>241</v>
      </c>
      <c r="B4536" t="s">
        <v>112</v>
      </c>
      <c r="C4536">
        <v>88</v>
      </c>
      <c r="D4536" t="s">
        <v>2788</v>
      </c>
      <c r="E4536" t="s">
        <v>2789</v>
      </c>
      <c r="F4536" t="s">
        <v>2790</v>
      </c>
      <c r="H4536" t="s">
        <v>2791</v>
      </c>
    </row>
    <row r="4537" spans="1:8">
      <c r="A4537" t="s">
        <v>239</v>
      </c>
      <c r="B4537" t="s">
        <v>112</v>
      </c>
      <c r="C4537">
        <v>88</v>
      </c>
      <c r="D4537" t="s">
        <v>2792</v>
      </c>
      <c r="E4537" t="s">
        <v>2793</v>
      </c>
      <c r="F4537" t="s">
        <v>112</v>
      </c>
      <c r="H4537" t="s">
        <v>2794</v>
      </c>
    </row>
    <row r="4538" spans="1:8">
      <c r="A4538" t="s">
        <v>242</v>
      </c>
      <c r="B4538" t="s">
        <v>112</v>
      </c>
      <c r="C4538">
        <v>88</v>
      </c>
      <c r="D4538" t="s">
        <v>2795</v>
      </c>
      <c r="E4538" t="s">
        <v>2796</v>
      </c>
      <c r="F4538" t="s">
        <v>112</v>
      </c>
    </row>
    <row r="4539" spans="1:8">
      <c r="A4539" t="s">
        <v>240</v>
      </c>
      <c r="B4539" t="s">
        <v>112</v>
      </c>
      <c r="C4539">
        <v>88</v>
      </c>
      <c r="D4539" t="s">
        <v>2797</v>
      </c>
      <c r="E4539" t="s">
        <v>2798</v>
      </c>
      <c r="F4539" t="s">
        <v>112</v>
      </c>
    </row>
    <row r="4540" spans="1:8">
      <c r="A4540" t="s">
        <v>241</v>
      </c>
      <c r="B4540" t="s">
        <v>112</v>
      </c>
      <c r="C4540">
        <v>88</v>
      </c>
      <c r="D4540" t="s">
        <v>2799</v>
      </c>
      <c r="E4540" t="s">
        <v>2800</v>
      </c>
      <c r="F4540" t="s">
        <v>112</v>
      </c>
      <c r="H4540" t="s">
        <v>2801</v>
      </c>
    </row>
    <row r="4541" spans="1:8">
      <c r="A4541" t="s">
        <v>243</v>
      </c>
      <c r="B4541" t="s">
        <v>112</v>
      </c>
      <c r="C4541">
        <v>88</v>
      </c>
      <c r="D4541" t="s">
        <v>2802</v>
      </c>
      <c r="E4541" t="s">
        <v>2803</v>
      </c>
      <c r="G4541" t="s">
        <v>2804</v>
      </c>
      <c r="H4541" t="s">
        <v>2805</v>
      </c>
    </row>
    <row r="4542" spans="1:8">
      <c r="A4542" t="s">
        <v>242</v>
      </c>
      <c r="B4542" t="s">
        <v>112</v>
      </c>
      <c r="C4542">
        <v>88</v>
      </c>
      <c r="D4542" t="s">
        <v>2806</v>
      </c>
      <c r="E4542" t="s">
        <v>2807</v>
      </c>
      <c r="F4542" t="s">
        <v>112</v>
      </c>
    </row>
    <row r="4543" spans="1:8">
      <c r="A4543" t="s">
        <v>241</v>
      </c>
      <c r="B4543" t="s">
        <v>112</v>
      </c>
      <c r="C4543">
        <v>88</v>
      </c>
      <c r="D4543" t="s">
        <v>2808</v>
      </c>
      <c r="E4543" t="s">
        <v>2809</v>
      </c>
      <c r="F4543" t="s">
        <v>112</v>
      </c>
    </row>
    <row r="4544" spans="1:8">
      <c r="A4544" t="s">
        <v>241</v>
      </c>
      <c r="B4544" t="s">
        <v>112</v>
      </c>
      <c r="C4544">
        <v>88</v>
      </c>
      <c r="D4544" t="s">
        <v>2810</v>
      </c>
      <c r="E4544" t="s">
        <v>2811</v>
      </c>
      <c r="F4544" t="s">
        <v>112</v>
      </c>
      <c r="H4544" t="s">
        <v>2812</v>
      </c>
    </row>
    <row r="4545" spans="1:8">
      <c r="A4545" t="s">
        <v>242</v>
      </c>
      <c r="B4545" t="s">
        <v>112</v>
      </c>
      <c r="C4545">
        <v>88</v>
      </c>
      <c r="D4545" t="s">
        <v>2813</v>
      </c>
      <c r="E4545" t="s">
        <v>2814</v>
      </c>
      <c r="F4545" t="s">
        <v>2815</v>
      </c>
      <c r="G4545" t="s">
        <v>2816</v>
      </c>
      <c r="H4545" t="s">
        <v>2817</v>
      </c>
    </row>
    <row r="4546" spans="1:8">
      <c r="A4546" t="s">
        <v>241</v>
      </c>
      <c r="B4546" t="s">
        <v>112</v>
      </c>
      <c r="C4546">
        <v>88</v>
      </c>
      <c r="D4546" t="s">
        <v>2818</v>
      </c>
      <c r="E4546" t="s">
        <v>2819</v>
      </c>
      <c r="F4546" t="s">
        <v>112</v>
      </c>
      <c r="H4546" t="s">
        <v>2820</v>
      </c>
    </row>
    <row r="4547" spans="1:8">
      <c r="A4547" t="s">
        <v>238</v>
      </c>
      <c r="B4547" t="s">
        <v>112</v>
      </c>
      <c r="C4547">
        <v>88</v>
      </c>
      <c r="D4547" t="s">
        <v>2821</v>
      </c>
      <c r="E4547" t="s">
        <v>2822</v>
      </c>
      <c r="F4547" t="s">
        <v>112</v>
      </c>
      <c r="G4547" t="s">
        <v>2823</v>
      </c>
      <c r="H4547" t="s">
        <v>2824</v>
      </c>
    </row>
    <row r="4548" spans="1:8">
      <c r="A4548" t="s">
        <v>238</v>
      </c>
      <c r="B4548" t="s">
        <v>112</v>
      </c>
      <c r="C4548">
        <v>88</v>
      </c>
      <c r="D4548" t="s">
        <v>2825</v>
      </c>
      <c r="E4548" t="s">
        <v>2826</v>
      </c>
      <c r="F4548" t="s">
        <v>112</v>
      </c>
      <c r="G4548" t="s">
        <v>2827</v>
      </c>
      <c r="H4548" t="s">
        <v>2828</v>
      </c>
    </row>
    <row r="4549" spans="1:8">
      <c r="A4549" t="s">
        <v>238</v>
      </c>
      <c r="B4549" t="s">
        <v>112</v>
      </c>
      <c r="C4549">
        <v>88</v>
      </c>
      <c r="D4549" t="s">
        <v>2829</v>
      </c>
      <c r="E4549" t="s">
        <v>2826</v>
      </c>
      <c r="F4549" t="s">
        <v>112</v>
      </c>
      <c r="G4549" t="s">
        <v>2830</v>
      </c>
      <c r="H4549" t="s">
        <v>2831</v>
      </c>
    </row>
    <row r="4550" spans="1:8">
      <c r="A4550" t="s">
        <v>244</v>
      </c>
      <c r="B4550" t="s">
        <v>112</v>
      </c>
      <c r="C4550">
        <v>88</v>
      </c>
      <c r="D4550" t="s">
        <v>2832</v>
      </c>
      <c r="F4550" t="s">
        <v>112</v>
      </c>
      <c r="G4550" t="s">
        <v>2833</v>
      </c>
      <c r="H4550" t="s">
        <v>2834</v>
      </c>
    </row>
    <row r="4551" spans="1:8">
      <c r="A4551" t="s">
        <v>241</v>
      </c>
      <c r="B4551" t="s">
        <v>112</v>
      </c>
      <c r="C4551">
        <v>88</v>
      </c>
      <c r="D4551" t="s">
        <v>2835</v>
      </c>
      <c r="E4551" t="s">
        <v>2836</v>
      </c>
      <c r="F4551" t="s">
        <v>2837</v>
      </c>
      <c r="G4551" t="s">
        <v>2838</v>
      </c>
      <c r="H4551" t="s">
        <v>2839</v>
      </c>
    </row>
    <row r="4552" spans="1:8">
      <c r="A4552" t="s">
        <v>243</v>
      </c>
      <c r="B4552" t="s">
        <v>112</v>
      </c>
      <c r="C4552">
        <v>88</v>
      </c>
      <c r="D4552" t="s">
        <v>2840</v>
      </c>
      <c r="E4552" t="s">
        <v>2841</v>
      </c>
      <c r="F4552" t="s">
        <v>112</v>
      </c>
      <c r="H4552" t="s">
        <v>2842</v>
      </c>
    </row>
    <row r="4553" spans="1:8">
      <c r="A4553" t="s">
        <v>242</v>
      </c>
      <c r="B4553" t="s">
        <v>112</v>
      </c>
      <c r="C4553">
        <v>88</v>
      </c>
      <c r="D4553" t="s">
        <v>2843</v>
      </c>
      <c r="E4553" t="s">
        <v>2844</v>
      </c>
      <c r="F4553" t="s">
        <v>112</v>
      </c>
      <c r="G4553" t="s">
        <v>2845</v>
      </c>
      <c r="H4553" t="s">
        <v>2846</v>
      </c>
    </row>
    <row r="4554" spans="1:8">
      <c r="A4554" t="s">
        <v>238</v>
      </c>
      <c r="B4554" t="s">
        <v>112</v>
      </c>
      <c r="C4554">
        <v>88</v>
      </c>
      <c r="D4554" t="s">
        <v>2847</v>
      </c>
      <c r="E4554" t="s">
        <v>2848</v>
      </c>
      <c r="F4554" t="s">
        <v>2849</v>
      </c>
      <c r="H4554" t="s">
        <v>2850</v>
      </c>
    </row>
    <row r="4555" spans="1:8">
      <c r="A4555" t="s">
        <v>241</v>
      </c>
      <c r="B4555" t="s">
        <v>112</v>
      </c>
      <c r="C4555">
        <v>88</v>
      </c>
      <c r="D4555" t="s">
        <v>2851</v>
      </c>
      <c r="E4555" t="s">
        <v>2852</v>
      </c>
      <c r="F4555" t="s">
        <v>112</v>
      </c>
      <c r="H4555" t="s">
        <v>2853</v>
      </c>
    </row>
    <row r="4556" spans="1:8">
      <c r="A4556" t="s">
        <v>238</v>
      </c>
      <c r="B4556" t="s">
        <v>112</v>
      </c>
      <c r="C4556">
        <v>88</v>
      </c>
      <c r="D4556" t="s">
        <v>2854</v>
      </c>
      <c r="E4556" t="s">
        <v>2855</v>
      </c>
      <c r="F4556" t="s">
        <v>2856</v>
      </c>
      <c r="G4556" t="s">
        <v>2857</v>
      </c>
      <c r="H4556" t="s">
        <v>2858</v>
      </c>
    </row>
    <row r="4557" spans="1:8">
      <c r="A4557" t="s">
        <v>241</v>
      </c>
      <c r="B4557" t="s">
        <v>112</v>
      </c>
      <c r="C4557">
        <v>88</v>
      </c>
      <c r="D4557" t="s">
        <v>2859</v>
      </c>
      <c r="E4557" t="s">
        <v>2860</v>
      </c>
      <c r="H4557" t="s">
        <v>2861</v>
      </c>
    </row>
    <row r="4558" spans="1:8">
      <c r="A4558" t="s">
        <v>243</v>
      </c>
      <c r="B4558" t="s">
        <v>112</v>
      </c>
      <c r="C4558">
        <v>88</v>
      </c>
      <c r="D4558" t="s">
        <v>2862</v>
      </c>
      <c r="E4558" t="s">
        <v>2863</v>
      </c>
      <c r="G4558" t="s">
        <v>2864</v>
      </c>
      <c r="H4558" t="s">
        <v>2865</v>
      </c>
    </row>
    <row r="4559" spans="1:8">
      <c r="A4559" t="s">
        <v>243</v>
      </c>
      <c r="B4559" t="s">
        <v>112</v>
      </c>
      <c r="C4559">
        <v>88</v>
      </c>
      <c r="D4559" t="s">
        <v>2866</v>
      </c>
      <c r="E4559" t="s">
        <v>2867</v>
      </c>
      <c r="F4559" t="s">
        <v>112</v>
      </c>
      <c r="G4559" t="s">
        <v>2868</v>
      </c>
      <c r="H4559" t="s">
        <v>2869</v>
      </c>
    </row>
    <row r="4560" spans="1:8">
      <c r="A4560" t="s">
        <v>241</v>
      </c>
      <c r="B4560" t="s">
        <v>112</v>
      </c>
      <c r="C4560">
        <v>88</v>
      </c>
      <c r="D4560" t="s">
        <v>2870</v>
      </c>
      <c r="E4560" t="s">
        <v>2871</v>
      </c>
      <c r="G4560" t="s">
        <v>2872</v>
      </c>
      <c r="H4560" t="s">
        <v>2873</v>
      </c>
    </row>
    <row r="4561" spans="1:8">
      <c r="A4561" t="s">
        <v>246</v>
      </c>
      <c r="B4561" t="s">
        <v>112</v>
      </c>
      <c r="C4561">
        <v>88</v>
      </c>
      <c r="D4561" t="s">
        <v>2874</v>
      </c>
      <c r="F4561" t="s">
        <v>112</v>
      </c>
    </row>
    <row r="4562" spans="1:8">
      <c r="A4562" t="s">
        <v>246</v>
      </c>
      <c r="B4562" t="s">
        <v>112</v>
      </c>
      <c r="C4562">
        <v>88</v>
      </c>
      <c r="D4562" t="s">
        <v>2875</v>
      </c>
      <c r="E4562" t="s">
        <v>2876</v>
      </c>
      <c r="F4562" t="s">
        <v>112</v>
      </c>
      <c r="G4562" t="s">
        <v>2877</v>
      </c>
      <c r="H4562" t="s">
        <v>2878</v>
      </c>
    </row>
    <row r="4563" spans="1:8">
      <c r="A4563" t="s">
        <v>243</v>
      </c>
      <c r="B4563" t="s">
        <v>112</v>
      </c>
      <c r="C4563">
        <v>88</v>
      </c>
      <c r="D4563" t="s">
        <v>2879</v>
      </c>
      <c r="E4563" t="s">
        <v>2880</v>
      </c>
      <c r="F4563" t="s">
        <v>112</v>
      </c>
      <c r="H4563" t="s">
        <v>2881</v>
      </c>
    </row>
    <row r="4564" spans="1:8">
      <c r="A4564" t="s">
        <v>243</v>
      </c>
      <c r="B4564" t="s">
        <v>112</v>
      </c>
      <c r="C4564">
        <v>88</v>
      </c>
      <c r="D4564" t="s">
        <v>2882</v>
      </c>
      <c r="E4564" t="s">
        <v>2883</v>
      </c>
      <c r="F4564" t="s">
        <v>112</v>
      </c>
    </row>
    <row r="4565" spans="1:8">
      <c r="A4565" t="s">
        <v>243</v>
      </c>
      <c r="B4565" t="s">
        <v>112</v>
      </c>
      <c r="C4565">
        <v>88</v>
      </c>
      <c r="D4565" t="s">
        <v>2884</v>
      </c>
      <c r="E4565" t="s">
        <v>2885</v>
      </c>
      <c r="H4565" t="s">
        <v>2886</v>
      </c>
    </row>
    <row r="4566" spans="1:8">
      <c r="A4566" t="s">
        <v>242</v>
      </c>
      <c r="B4566" t="s">
        <v>112</v>
      </c>
      <c r="C4566">
        <v>88</v>
      </c>
      <c r="D4566" t="s">
        <v>2887</v>
      </c>
      <c r="E4566" t="s">
        <v>2888</v>
      </c>
      <c r="F4566" t="s">
        <v>112</v>
      </c>
      <c r="G4566" t="s">
        <v>2889</v>
      </c>
      <c r="H4566" t="s">
        <v>2890</v>
      </c>
    </row>
    <row r="4567" spans="1:8">
      <c r="A4567" t="s">
        <v>238</v>
      </c>
      <c r="B4567" t="s">
        <v>112</v>
      </c>
      <c r="C4567">
        <v>88</v>
      </c>
      <c r="D4567" t="s">
        <v>2891</v>
      </c>
      <c r="E4567" t="s">
        <v>2892</v>
      </c>
      <c r="F4567" t="s">
        <v>112</v>
      </c>
      <c r="G4567" t="s">
        <v>2893</v>
      </c>
      <c r="H4567" t="s">
        <v>2894</v>
      </c>
    </row>
    <row r="4568" spans="1:8">
      <c r="A4568" t="s">
        <v>246</v>
      </c>
      <c r="B4568" t="s">
        <v>112</v>
      </c>
      <c r="C4568">
        <v>88</v>
      </c>
      <c r="D4568" t="s">
        <v>2895</v>
      </c>
      <c r="E4568" t="s">
        <v>2896</v>
      </c>
      <c r="F4568" t="s">
        <v>112</v>
      </c>
      <c r="H4568" t="s">
        <v>2897</v>
      </c>
    </row>
    <row r="4569" spans="1:8">
      <c r="A4569" t="s">
        <v>242</v>
      </c>
      <c r="B4569" t="s">
        <v>14</v>
      </c>
      <c r="C4569">
        <v>88</v>
      </c>
      <c r="D4569" t="s">
        <v>6184</v>
      </c>
      <c r="E4569" t="s">
        <v>6185</v>
      </c>
      <c r="G4569" t="s">
        <v>6186</v>
      </c>
      <c r="H4569" t="s">
        <v>6187</v>
      </c>
    </row>
    <row r="4570" spans="1:8">
      <c r="A4570" t="s">
        <v>241</v>
      </c>
      <c r="B4570" t="s">
        <v>14</v>
      </c>
      <c r="C4570">
        <v>88</v>
      </c>
      <c r="D4570" t="s">
        <v>6188</v>
      </c>
      <c r="E4570" t="s">
        <v>6189</v>
      </c>
      <c r="H4570" t="s">
        <v>6190</v>
      </c>
    </row>
    <row r="4571" spans="1:8">
      <c r="A4571" t="s">
        <v>243</v>
      </c>
      <c r="B4571" t="s">
        <v>14</v>
      </c>
      <c r="C4571">
        <v>88</v>
      </c>
      <c r="D4571" t="s">
        <v>6191</v>
      </c>
      <c r="E4571" t="s">
        <v>6192</v>
      </c>
      <c r="H4571" t="s">
        <v>6193</v>
      </c>
    </row>
    <row r="4572" spans="1:8">
      <c r="A4572" t="s">
        <v>243</v>
      </c>
      <c r="B4572" t="s">
        <v>14</v>
      </c>
      <c r="C4572">
        <v>88</v>
      </c>
      <c r="D4572" t="s">
        <v>6194</v>
      </c>
      <c r="E4572" t="s">
        <v>6195</v>
      </c>
      <c r="G4572" t="s">
        <v>6196</v>
      </c>
      <c r="H4572" t="s">
        <v>6197</v>
      </c>
    </row>
    <row r="4573" spans="1:8">
      <c r="A4573" t="s">
        <v>242</v>
      </c>
      <c r="B4573" t="s">
        <v>14</v>
      </c>
      <c r="C4573">
        <v>88</v>
      </c>
      <c r="D4573" t="s">
        <v>6198</v>
      </c>
      <c r="E4573" t="s">
        <v>6199</v>
      </c>
      <c r="F4573" t="s">
        <v>14</v>
      </c>
      <c r="G4573" t="s">
        <v>6200</v>
      </c>
      <c r="H4573" t="s">
        <v>6201</v>
      </c>
    </row>
    <row r="4574" spans="1:8">
      <c r="A4574" t="s">
        <v>242</v>
      </c>
      <c r="B4574" t="s">
        <v>14</v>
      </c>
      <c r="C4574">
        <v>88</v>
      </c>
      <c r="D4574" t="s">
        <v>6202</v>
      </c>
      <c r="E4574" t="s">
        <v>6203</v>
      </c>
      <c r="F4574" t="s">
        <v>14</v>
      </c>
      <c r="G4574" t="s">
        <v>6204</v>
      </c>
      <c r="H4574" t="s">
        <v>6205</v>
      </c>
    </row>
    <row r="4575" spans="1:8">
      <c r="A4575" t="s">
        <v>242</v>
      </c>
      <c r="B4575" t="s">
        <v>14</v>
      </c>
      <c r="C4575">
        <v>88</v>
      </c>
      <c r="D4575" t="s">
        <v>6206</v>
      </c>
      <c r="E4575" t="s">
        <v>6207</v>
      </c>
      <c r="F4575" t="s">
        <v>14</v>
      </c>
      <c r="G4575" t="s">
        <v>6208</v>
      </c>
      <c r="H4575" t="s">
        <v>6209</v>
      </c>
    </row>
    <row r="4576" spans="1:8">
      <c r="A4576" t="s">
        <v>241</v>
      </c>
      <c r="B4576" t="s">
        <v>14</v>
      </c>
      <c r="C4576">
        <v>88</v>
      </c>
      <c r="D4576" t="s">
        <v>6210</v>
      </c>
      <c r="E4576" t="s">
        <v>6211</v>
      </c>
      <c r="F4576" t="s">
        <v>14</v>
      </c>
      <c r="G4576" t="s">
        <v>6212</v>
      </c>
      <c r="H4576" t="s">
        <v>6213</v>
      </c>
    </row>
    <row r="4577" spans="1:8">
      <c r="A4577" t="s">
        <v>241</v>
      </c>
      <c r="B4577" t="s">
        <v>14</v>
      </c>
      <c r="C4577">
        <v>88</v>
      </c>
      <c r="D4577" t="s">
        <v>6214</v>
      </c>
      <c r="E4577" t="s">
        <v>6215</v>
      </c>
      <c r="F4577" t="s">
        <v>14</v>
      </c>
      <c r="G4577" t="s">
        <v>6216</v>
      </c>
      <c r="H4577" t="s">
        <v>6217</v>
      </c>
    </row>
    <row r="4578" spans="1:8">
      <c r="A4578" t="s">
        <v>244</v>
      </c>
      <c r="B4578" t="s">
        <v>14</v>
      </c>
      <c r="C4578">
        <v>88</v>
      </c>
      <c r="D4578" t="s">
        <v>1282</v>
      </c>
    </row>
    <row r="4579" spans="1:8">
      <c r="A4579" t="s">
        <v>241</v>
      </c>
      <c r="B4579" t="s">
        <v>14</v>
      </c>
      <c r="C4579">
        <v>88</v>
      </c>
      <c r="D4579" t="s">
        <v>6218</v>
      </c>
      <c r="E4579" t="s">
        <v>6219</v>
      </c>
      <c r="F4579" t="s">
        <v>6220</v>
      </c>
      <c r="H4579" t="s">
        <v>6221</v>
      </c>
    </row>
    <row r="4580" spans="1:8">
      <c r="A4580" t="s">
        <v>238</v>
      </c>
      <c r="B4580" t="s">
        <v>14</v>
      </c>
      <c r="C4580">
        <v>88</v>
      </c>
      <c r="D4580" t="s">
        <v>1437</v>
      </c>
      <c r="E4580" t="s">
        <v>6222</v>
      </c>
      <c r="F4580" t="s">
        <v>6223</v>
      </c>
    </row>
    <row r="4581" spans="1:8">
      <c r="A4581" t="s">
        <v>240</v>
      </c>
      <c r="B4581" t="s">
        <v>14</v>
      </c>
      <c r="C4581">
        <v>88</v>
      </c>
      <c r="D4581" t="s">
        <v>6224</v>
      </c>
      <c r="E4581" t="s">
        <v>6225</v>
      </c>
      <c r="F4581" t="s">
        <v>14</v>
      </c>
      <c r="H4581" t="s">
        <v>6226</v>
      </c>
    </row>
    <row r="4582" spans="1:8">
      <c r="A4582" t="s">
        <v>242</v>
      </c>
      <c r="B4582" t="s">
        <v>14</v>
      </c>
      <c r="C4582">
        <v>88</v>
      </c>
      <c r="D4582" t="s">
        <v>6227</v>
      </c>
      <c r="E4582" t="s">
        <v>6228</v>
      </c>
      <c r="F4582" t="s">
        <v>14</v>
      </c>
      <c r="G4582" t="s">
        <v>6229</v>
      </c>
      <c r="H4582" t="s">
        <v>6230</v>
      </c>
    </row>
    <row r="4583" spans="1:8">
      <c r="A4583" t="s">
        <v>241</v>
      </c>
      <c r="B4583" t="s">
        <v>14</v>
      </c>
      <c r="C4583">
        <v>88</v>
      </c>
      <c r="D4583" t="s">
        <v>6231</v>
      </c>
      <c r="E4583" t="s">
        <v>6232</v>
      </c>
      <c r="F4583" t="s">
        <v>6233</v>
      </c>
    </row>
    <row r="4584" spans="1:8">
      <c r="A4584" t="s">
        <v>241</v>
      </c>
      <c r="B4584" t="s">
        <v>14</v>
      </c>
      <c r="C4584">
        <v>88</v>
      </c>
      <c r="D4584" t="s">
        <v>6234</v>
      </c>
      <c r="E4584" t="s">
        <v>6235</v>
      </c>
      <c r="F4584" t="s">
        <v>14</v>
      </c>
    </row>
    <row r="4585" spans="1:8">
      <c r="A4585" t="s">
        <v>241</v>
      </c>
      <c r="B4585" t="s">
        <v>14</v>
      </c>
      <c r="C4585">
        <v>88</v>
      </c>
      <c r="D4585" t="s">
        <v>6236</v>
      </c>
      <c r="E4585" t="s">
        <v>6237</v>
      </c>
      <c r="H4585" t="s">
        <v>6238</v>
      </c>
    </row>
    <row r="4586" spans="1:8">
      <c r="A4586" t="s">
        <v>243</v>
      </c>
      <c r="B4586" t="s">
        <v>14</v>
      </c>
      <c r="C4586">
        <v>88</v>
      </c>
      <c r="D4586" t="s">
        <v>6239</v>
      </c>
      <c r="E4586" t="s">
        <v>6240</v>
      </c>
      <c r="H4586" t="s">
        <v>6241</v>
      </c>
    </row>
    <row r="4587" spans="1:8">
      <c r="A4587" t="s">
        <v>241</v>
      </c>
      <c r="B4587" t="s">
        <v>14</v>
      </c>
      <c r="C4587">
        <v>88</v>
      </c>
      <c r="D4587" t="s">
        <v>6242</v>
      </c>
      <c r="E4587" t="s">
        <v>6243</v>
      </c>
      <c r="F4587" t="s">
        <v>14</v>
      </c>
      <c r="H4587" t="s">
        <v>6244</v>
      </c>
    </row>
    <row r="4588" spans="1:8">
      <c r="A4588" t="s">
        <v>241</v>
      </c>
      <c r="B4588" t="s">
        <v>14</v>
      </c>
      <c r="C4588">
        <v>88</v>
      </c>
      <c r="D4588" t="s">
        <v>6245</v>
      </c>
      <c r="E4588" t="s">
        <v>6246</v>
      </c>
      <c r="F4588" t="s">
        <v>14</v>
      </c>
      <c r="H4588" t="s">
        <v>6247</v>
      </c>
    </row>
    <row r="4589" spans="1:8">
      <c r="A4589" t="s">
        <v>241</v>
      </c>
      <c r="B4589" t="s">
        <v>14</v>
      </c>
      <c r="C4589">
        <v>88</v>
      </c>
      <c r="D4589" t="s">
        <v>6248</v>
      </c>
      <c r="E4589" t="s">
        <v>6249</v>
      </c>
      <c r="F4589" t="s">
        <v>14</v>
      </c>
      <c r="G4589" t="s">
        <v>6250</v>
      </c>
      <c r="H4589" t="s">
        <v>6251</v>
      </c>
    </row>
    <row r="4590" spans="1:8">
      <c r="A4590" t="s">
        <v>242</v>
      </c>
      <c r="B4590" t="s">
        <v>139</v>
      </c>
      <c r="C4590">
        <v>89</v>
      </c>
      <c r="D4590" t="s">
        <v>11065</v>
      </c>
      <c r="E4590" t="s">
        <v>11066</v>
      </c>
      <c r="F4590" t="s">
        <v>139</v>
      </c>
    </row>
    <row r="4591" spans="1:8">
      <c r="A4591" t="s">
        <v>242</v>
      </c>
      <c r="B4591" t="s">
        <v>139</v>
      </c>
      <c r="C4591">
        <v>89</v>
      </c>
      <c r="D4591" t="s">
        <v>11067</v>
      </c>
      <c r="E4591" t="s">
        <v>11068</v>
      </c>
      <c r="F4591" t="s">
        <v>139</v>
      </c>
      <c r="G4591" t="s">
        <v>11069</v>
      </c>
    </row>
    <row r="4592" spans="1:8">
      <c r="A4592" t="s">
        <v>241</v>
      </c>
      <c r="B4592" t="s">
        <v>139</v>
      </c>
      <c r="C4592">
        <v>89</v>
      </c>
      <c r="D4592" t="s">
        <v>11070</v>
      </c>
      <c r="F4592" t="s">
        <v>11071</v>
      </c>
    </row>
    <row r="4593" spans="1:8">
      <c r="A4593" t="s">
        <v>241</v>
      </c>
      <c r="B4593" t="s">
        <v>139</v>
      </c>
      <c r="C4593">
        <v>89</v>
      </c>
      <c r="D4593" t="s">
        <v>11072</v>
      </c>
      <c r="E4593" t="s">
        <v>11073</v>
      </c>
      <c r="F4593" t="s">
        <v>139</v>
      </c>
      <c r="H4593" t="s">
        <v>11074</v>
      </c>
    </row>
    <row r="4594" spans="1:8">
      <c r="A4594" t="s">
        <v>246</v>
      </c>
      <c r="B4594" t="s">
        <v>139</v>
      </c>
      <c r="C4594">
        <v>89</v>
      </c>
      <c r="D4594" t="s">
        <v>11075</v>
      </c>
      <c r="E4594" t="s">
        <v>11076</v>
      </c>
      <c r="F4594" t="s">
        <v>139</v>
      </c>
      <c r="G4594" t="s">
        <v>11077</v>
      </c>
      <c r="H4594" t="s">
        <v>11078</v>
      </c>
    </row>
    <row r="4595" spans="1:8">
      <c r="A4595" t="s">
        <v>240</v>
      </c>
      <c r="B4595" t="s">
        <v>139</v>
      </c>
      <c r="C4595">
        <v>89</v>
      </c>
      <c r="D4595" t="s">
        <v>11079</v>
      </c>
      <c r="E4595" t="s">
        <v>11080</v>
      </c>
      <c r="F4595" t="s">
        <v>139</v>
      </c>
    </row>
    <row r="4596" spans="1:8">
      <c r="A4596" t="s">
        <v>243</v>
      </c>
      <c r="B4596" t="s">
        <v>139</v>
      </c>
      <c r="C4596">
        <v>89</v>
      </c>
      <c r="D4596" t="s">
        <v>11081</v>
      </c>
      <c r="E4596" t="s">
        <v>11082</v>
      </c>
      <c r="F4596" t="s">
        <v>139</v>
      </c>
      <c r="G4596" t="s">
        <v>2868</v>
      </c>
      <c r="H4596" t="s">
        <v>2869</v>
      </c>
    </row>
    <row r="4597" spans="1:8">
      <c r="A4597" t="s">
        <v>240</v>
      </c>
      <c r="B4597" t="s">
        <v>139</v>
      </c>
      <c r="C4597">
        <v>89</v>
      </c>
      <c r="D4597" t="s">
        <v>11083</v>
      </c>
      <c r="E4597" t="s">
        <v>11084</v>
      </c>
      <c r="F4597" t="s">
        <v>139</v>
      </c>
      <c r="G4597" t="s">
        <v>11085</v>
      </c>
      <c r="H4597" t="s">
        <v>11086</v>
      </c>
    </row>
    <row r="4598" spans="1:8">
      <c r="A4598" t="s">
        <v>241</v>
      </c>
      <c r="B4598" t="s">
        <v>174</v>
      </c>
      <c r="C4598">
        <v>90</v>
      </c>
      <c r="D4598" t="s">
        <v>4425</v>
      </c>
      <c r="E4598" t="s">
        <v>4426</v>
      </c>
      <c r="F4598" t="s">
        <v>174</v>
      </c>
      <c r="G4598" t="s">
        <v>4427</v>
      </c>
      <c r="H4598" t="s">
        <v>4428</v>
      </c>
    </row>
    <row r="4599" spans="1:8">
      <c r="A4599" t="s">
        <v>242</v>
      </c>
      <c r="B4599" t="s">
        <v>174</v>
      </c>
      <c r="C4599">
        <v>90</v>
      </c>
      <c r="D4599" t="s">
        <v>4429</v>
      </c>
      <c r="E4599" t="s">
        <v>4430</v>
      </c>
      <c r="F4599" t="s">
        <v>174</v>
      </c>
      <c r="G4599" t="s">
        <v>4431</v>
      </c>
      <c r="H4599" t="s">
        <v>4432</v>
      </c>
    </row>
    <row r="4600" spans="1:8">
      <c r="A4600" t="s">
        <v>239</v>
      </c>
      <c r="B4600" t="s">
        <v>174</v>
      </c>
      <c r="C4600">
        <v>90</v>
      </c>
      <c r="D4600" t="s">
        <v>4433</v>
      </c>
      <c r="E4600" t="s">
        <v>4434</v>
      </c>
      <c r="F4600" t="s">
        <v>174</v>
      </c>
      <c r="G4600" t="s">
        <v>4435</v>
      </c>
      <c r="H4600" t="s">
        <v>4436</v>
      </c>
    </row>
    <row r="4601" spans="1:8">
      <c r="A4601" t="s">
        <v>241</v>
      </c>
      <c r="B4601" t="s">
        <v>174</v>
      </c>
      <c r="C4601">
        <v>90</v>
      </c>
      <c r="D4601" t="s">
        <v>4437</v>
      </c>
      <c r="E4601" t="s">
        <v>4438</v>
      </c>
      <c r="F4601" t="s">
        <v>174</v>
      </c>
      <c r="H4601" t="s">
        <v>4439</v>
      </c>
    </row>
    <row r="4602" spans="1:8">
      <c r="A4602" t="s">
        <v>242</v>
      </c>
      <c r="B4602" t="s">
        <v>174</v>
      </c>
      <c r="C4602">
        <v>90</v>
      </c>
      <c r="D4602" t="s">
        <v>4440</v>
      </c>
      <c r="E4602" t="s">
        <v>4441</v>
      </c>
      <c r="F4602" t="s">
        <v>174</v>
      </c>
      <c r="H4602" t="s">
        <v>4442</v>
      </c>
    </row>
    <row r="4603" spans="1:8">
      <c r="A4603" t="s">
        <v>242</v>
      </c>
      <c r="B4603" t="s">
        <v>174</v>
      </c>
      <c r="C4603">
        <v>90</v>
      </c>
      <c r="D4603" t="s">
        <v>4443</v>
      </c>
      <c r="E4603" t="s">
        <v>4444</v>
      </c>
      <c r="F4603" t="s">
        <v>174</v>
      </c>
      <c r="G4603" t="s">
        <v>4445</v>
      </c>
      <c r="H4603" t="s">
        <v>4446</v>
      </c>
    </row>
    <row r="4604" spans="1:8">
      <c r="A4604" t="s">
        <v>244</v>
      </c>
      <c r="B4604" t="s">
        <v>174</v>
      </c>
      <c r="C4604">
        <v>90</v>
      </c>
      <c r="D4604" t="s">
        <v>1342</v>
      </c>
      <c r="E4604" t="s">
        <v>4447</v>
      </c>
      <c r="F4604" t="s">
        <v>4448</v>
      </c>
      <c r="G4604" t="s">
        <v>4449</v>
      </c>
      <c r="H4604" t="s">
        <v>4450</v>
      </c>
    </row>
    <row r="4605" spans="1:8">
      <c r="A4605" t="s">
        <v>241</v>
      </c>
      <c r="B4605" t="s">
        <v>174</v>
      </c>
      <c r="C4605">
        <v>90</v>
      </c>
      <c r="D4605" t="s">
        <v>732</v>
      </c>
      <c r="E4605" t="s">
        <v>4451</v>
      </c>
      <c r="F4605" t="s">
        <v>4452</v>
      </c>
      <c r="G4605" t="s">
        <v>4453</v>
      </c>
      <c r="H4605" t="s">
        <v>4454</v>
      </c>
    </row>
    <row r="4606" spans="1:8">
      <c r="A4606" t="s">
        <v>243</v>
      </c>
      <c r="B4606" t="s">
        <v>174</v>
      </c>
      <c r="C4606">
        <v>90</v>
      </c>
      <c r="D4606" t="s">
        <v>4455</v>
      </c>
      <c r="E4606" t="s">
        <v>4456</v>
      </c>
      <c r="F4606" t="s">
        <v>174</v>
      </c>
      <c r="H4606" t="s">
        <v>4457</v>
      </c>
    </row>
    <row r="4607" spans="1:8">
      <c r="A4607" t="s">
        <v>242</v>
      </c>
      <c r="B4607" t="s">
        <v>174</v>
      </c>
      <c r="C4607">
        <v>90</v>
      </c>
      <c r="D4607" t="s">
        <v>4458</v>
      </c>
      <c r="E4607" t="s">
        <v>4459</v>
      </c>
      <c r="F4607" t="s">
        <v>4460</v>
      </c>
      <c r="H4607" t="s">
        <v>4461</v>
      </c>
    </row>
    <row r="4608" spans="1:8">
      <c r="A4608" t="s">
        <v>241</v>
      </c>
      <c r="B4608" t="s">
        <v>174</v>
      </c>
      <c r="C4608">
        <v>90</v>
      </c>
      <c r="D4608" t="s">
        <v>4462</v>
      </c>
      <c r="E4608" t="s">
        <v>4463</v>
      </c>
      <c r="F4608" t="s">
        <v>174</v>
      </c>
      <c r="H4608" t="s">
        <v>4464</v>
      </c>
    </row>
    <row r="4609" spans="1:8">
      <c r="A4609" t="s">
        <v>241</v>
      </c>
      <c r="B4609" t="s">
        <v>174</v>
      </c>
      <c r="C4609">
        <v>90</v>
      </c>
      <c r="D4609" t="s">
        <v>4465</v>
      </c>
      <c r="E4609" t="s">
        <v>4466</v>
      </c>
      <c r="F4609" t="s">
        <v>174</v>
      </c>
      <c r="H4609" t="s">
        <v>4467</v>
      </c>
    </row>
    <row r="4610" spans="1:8">
      <c r="A4610" t="s">
        <v>241</v>
      </c>
      <c r="B4610" t="s">
        <v>174</v>
      </c>
      <c r="C4610">
        <v>90</v>
      </c>
      <c r="D4610" t="s">
        <v>4468</v>
      </c>
      <c r="E4610" t="s">
        <v>4469</v>
      </c>
      <c r="F4610" t="s">
        <v>174</v>
      </c>
      <c r="G4610" t="s">
        <v>4470</v>
      </c>
      <c r="H4610" t="s">
        <v>4471</v>
      </c>
    </row>
    <row r="4611" spans="1:8">
      <c r="A4611" t="s">
        <v>242</v>
      </c>
      <c r="B4611" t="s">
        <v>174</v>
      </c>
      <c r="C4611">
        <v>90</v>
      </c>
      <c r="D4611" t="s">
        <v>4472</v>
      </c>
      <c r="E4611" t="s">
        <v>4438</v>
      </c>
      <c r="F4611" t="s">
        <v>174</v>
      </c>
      <c r="H4611" t="s">
        <v>4439</v>
      </c>
    </row>
    <row r="4612" spans="1:8">
      <c r="A4612" t="s">
        <v>240</v>
      </c>
      <c r="B4612" t="s">
        <v>174</v>
      </c>
      <c r="C4612">
        <v>90</v>
      </c>
      <c r="D4612" t="s">
        <v>4473</v>
      </c>
      <c r="E4612" t="s">
        <v>4474</v>
      </c>
      <c r="F4612" t="s">
        <v>174</v>
      </c>
      <c r="H4612" t="s">
        <v>4475</v>
      </c>
    </row>
    <row r="4613" spans="1:8">
      <c r="A4613" t="s">
        <v>239</v>
      </c>
      <c r="B4613" t="s">
        <v>174</v>
      </c>
      <c r="C4613">
        <v>90</v>
      </c>
      <c r="D4613" t="s">
        <v>4476</v>
      </c>
      <c r="E4613" t="s">
        <v>4477</v>
      </c>
      <c r="H4613" t="s">
        <v>4478</v>
      </c>
    </row>
    <row r="4614" spans="1:8">
      <c r="A4614" t="s">
        <v>241</v>
      </c>
      <c r="B4614" t="s">
        <v>174</v>
      </c>
      <c r="C4614">
        <v>90</v>
      </c>
      <c r="D4614" t="s">
        <v>4479</v>
      </c>
      <c r="E4614" t="s">
        <v>4480</v>
      </c>
      <c r="F4614" t="s">
        <v>174</v>
      </c>
      <c r="G4614" t="s">
        <v>4481</v>
      </c>
      <c r="H4614" t="s">
        <v>4482</v>
      </c>
    </row>
    <row r="4615" spans="1:8">
      <c r="A4615" t="s">
        <v>242</v>
      </c>
      <c r="B4615" t="s">
        <v>174</v>
      </c>
      <c r="C4615">
        <v>90</v>
      </c>
      <c r="D4615" t="s">
        <v>4483</v>
      </c>
      <c r="E4615" t="s">
        <v>4484</v>
      </c>
      <c r="F4615" t="s">
        <v>174</v>
      </c>
      <c r="G4615" t="s">
        <v>4485</v>
      </c>
      <c r="H4615" t="s">
        <v>4486</v>
      </c>
    </row>
    <row r="4616" spans="1:8">
      <c r="A4616" t="s">
        <v>239</v>
      </c>
      <c r="B4616" t="s">
        <v>174</v>
      </c>
      <c r="C4616">
        <v>90</v>
      </c>
      <c r="D4616" t="s">
        <v>4487</v>
      </c>
      <c r="E4616" t="s">
        <v>4488</v>
      </c>
      <c r="F4616" t="s">
        <v>174</v>
      </c>
      <c r="H4616" t="s">
        <v>4489</v>
      </c>
    </row>
    <row r="4617" spans="1:8">
      <c r="A4617" t="s">
        <v>241</v>
      </c>
      <c r="B4617" t="s">
        <v>226</v>
      </c>
      <c r="C4617">
        <v>90</v>
      </c>
      <c r="D4617" t="s">
        <v>12997</v>
      </c>
      <c r="E4617" t="s">
        <v>12998</v>
      </c>
      <c r="F4617" t="s">
        <v>226</v>
      </c>
    </row>
    <row r="4618" spans="1:8">
      <c r="A4618" t="s">
        <v>241</v>
      </c>
      <c r="B4618" t="s">
        <v>226</v>
      </c>
      <c r="C4618">
        <v>90</v>
      </c>
      <c r="D4618" t="s">
        <v>12999</v>
      </c>
      <c r="E4618" t="s">
        <v>13000</v>
      </c>
      <c r="F4618" t="s">
        <v>226</v>
      </c>
      <c r="G4618" t="s">
        <v>13001</v>
      </c>
      <c r="H4618" t="s">
        <v>13002</v>
      </c>
    </row>
    <row r="4619" spans="1:8">
      <c r="A4619" t="s">
        <v>240</v>
      </c>
      <c r="B4619" t="s">
        <v>226</v>
      </c>
      <c r="C4619">
        <v>90</v>
      </c>
      <c r="D4619" t="s">
        <v>2749</v>
      </c>
      <c r="E4619" t="s">
        <v>13003</v>
      </c>
      <c r="F4619" t="s">
        <v>226</v>
      </c>
      <c r="G4619" t="s">
        <v>13004</v>
      </c>
      <c r="H4619" t="s">
        <v>13005</v>
      </c>
    </row>
    <row r="4620" spans="1:8">
      <c r="A4620" t="s">
        <v>241</v>
      </c>
      <c r="B4620" t="s">
        <v>226</v>
      </c>
      <c r="C4620">
        <v>90</v>
      </c>
      <c r="D4620" t="s">
        <v>11642</v>
      </c>
      <c r="E4620" t="s">
        <v>13006</v>
      </c>
      <c r="F4620" t="s">
        <v>226</v>
      </c>
      <c r="G4620" t="s">
        <v>13007</v>
      </c>
      <c r="H4620" t="s">
        <v>13008</v>
      </c>
    </row>
    <row r="4621" spans="1:8">
      <c r="A4621" t="s">
        <v>242</v>
      </c>
      <c r="B4621" t="s">
        <v>226</v>
      </c>
      <c r="C4621">
        <v>90</v>
      </c>
      <c r="D4621" t="s">
        <v>13009</v>
      </c>
      <c r="E4621" t="s">
        <v>13010</v>
      </c>
      <c r="F4621" t="s">
        <v>226</v>
      </c>
      <c r="G4621" t="s">
        <v>13011</v>
      </c>
      <c r="H4621" t="s">
        <v>13012</v>
      </c>
    </row>
    <row r="4622" spans="1:8">
      <c r="A4622" t="s">
        <v>242</v>
      </c>
      <c r="B4622" t="s">
        <v>226</v>
      </c>
      <c r="C4622">
        <v>90</v>
      </c>
      <c r="D4622" t="s">
        <v>13013</v>
      </c>
      <c r="E4622" t="s">
        <v>13014</v>
      </c>
      <c r="F4622" t="s">
        <v>226</v>
      </c>
      <c r="G4622" t="s">
        <v>13015</v>
      </c>
      <c r="H4622" t="s">
        <v>13016</v>
      </c>
    </row>
    <row r="4623" spans="1:8">
      <c r="A4623" t="s">
        <v>242</v>
      </c>
      <c r="B4623" t="s">
        <v>226</v>
      </c>
      <c r="C4623">
        <v>90</v>
      </c>
      <c r="D4623" t="s">
        <v>13017</v>
      </c>
      <c r="G4623" t="s">
        <v>13018</v>
      </c>
      <c r="H4623" t="s">
        <v>13019</v>
      </c>
    </row>
    <row r="4624" spans="1:8">
      <c r="A4624" t="s">
        <v>241</v>
      </c>
      <c r="B4624" t="s">
        <v>226</v>
      </c>
      <c r="C4624">
        <v>90</v>
      </c>
      <c r="D4624" t="s">
        <v>13020</v>
      </c>
      <c r="E4624" t="s">
        <v>13021</v>
      </c>
      <c r="F4624" t="s">
        <v>13022</v>
      </c>
      <c r="H4624" t="s">
        <v>13023</v>
      </c>
    </row>
    <row r="4625" spans="1:8">
      <c r="A4625" t="s">
        <v>241</v>
      </c>
      <c r="B4625" t="s">
        <v>226</v>
      </c>
      <c r="C4625">
        <v>90</v>
      </c>
      <c r="D4625" t="s">
        <v>13024</v>
      </c>
      <c r="E4625" t="s">
        <v>13025</v>
      </c>
      <c r="G4625" t="s">
        <v>13026</v>
      </c>
      <c r="H4625" t="s">
        <v>13027</v>
      </c>
    </row>
    <row r="4626" spans="1:8">
      <c r="A4626" t="s">
        <v>242</v>
      </c>
      <c r="B4626" t="s">
        <v>226</v>
      </c>
      <c r="C4626">
        <v>90</v>
      </c>
      <c r="D4626" t="s">
        <v>6608</v>
      </c>
      <c r="E4626" t="s">
        <v>13028</v>
      </c>
      <c r="F4626" t="s">
        <v>226</v>
      </c>
      <c r="G4626" t="s">
        <v>6610</v>
      </c>
      <c r="H4626" t="s">
        <v>6611</v>
      </c>
    </row>
    <row r="4627" spans="1:8">
      <c r="A4627" t="s">
        <v>241</v>
      </c>
      <c r="B4627" t="s">
        <v>226</v>
      </c>
      <c r="C4627">
        <v>90</v>
      </c>
      <c r="D4627" t="s">
        <v>13029</v>
      </c>
      <c r="E4627" t="s">
        <v>13030</v>
      </c>
      <c r="H4627" t="s">
        <v>13031</v>
      </c>
    </row>
    <row r="4628" spans="1:8">
      <c r="A4628" t="s">
        <v>239</v>
      </c>
      <c r="B4628" t="s">
        <v>226</v>
      </c>
      <c r="C4628">
        <v>90</v>
      </c>
      <c r="D4628" t="s">
        <v>13032</v>
      </c>
      <c r="H4628" t="s">
        <v>13033</v>
      </c>
    </row>
    <row r="4629" spans="1:8">
      <c r="A4629" t="s">
        <v>241</v>
      </c>
      <c r="B4629" t="s">
        <v>226</v>
      </c>
      <c r="C4629">
        <v>90</v>
      </c>
      <c r="D4629" t="s">
        <v>13034</v>
      </c>
      <c r="E4629" t="s">
        <v>13035</v>
      </c>
      <c r="F4629" t="s">
        <v>226</v>
      </c>
      <c r="H4629" t="s">
        <v>13036</v>
      </c>
    </row>
    <row r="4630" spans="1:8">
      <c r="A4630" t="s">
        <v>241</v>
      </c>
      <c r="B4630" t="s">
        <v>226</v>
      </c>
      <c r="C4630">
        <v>90</v>
      </c>
      <c r="D4630" t="s">
        <v>13037</v>
      </c>
      <c r="E4630" t="s">
        <v>13038</v>
      </c>
      <c r="F4630" t="s">
        <v>226</v>
      </c>
      <c r="G4630" t="s">
        <v>13039</v>
      </c>
      <c r="H4630" t="s">
        <v>13040</v>
      </c>
    </row>
    <row r="4631" spans="1:8">
      <c r="A4631" t="s">
        <v>241</v>
      </c>
      <c r="B4631" t="s">
        <v>226</v>
      </c>
      <c r="C4631">
        <v>90</v>
      </c>
      <c r="D4631" t="s">
        <v>13041</v>
      </c>
      <c r="E4631" t="s">
        <v>13042</v>
      </c>
      <c r="H4631" t="s">
        <v>13043</v>
      </c>
    </row>
    <row r="4632" spans="1:8">
      <c r="A4632" t="s">
        <v>240</v>
      </c>
      <c r="B4632" t="s">
        <v>226</v>
      </c>
      <c r="C4632">
        <v>90</v>
      </c>
      <c r="D4632" t="s">
        <v>13044</v>
      </c>
      <c r="E4632" t="s">
        <v>13045</v>
      </c>
      <c r="F4632" t="s">
        <v>226</v>
      </c>
      <c r="G4632" t="s">
        <v>13004</v>
      </c>
      <c r="H4632" t="s">
        <v>13005</v>
      </c>
    </row>
    <row r="4633" spans="1:8">
      <c r="A4633" t="s">
        <v>243</v>
      </c>
      <c r="B4633" t="s">
        <v>226</v>
      </c>
      <c r="C4633">
        <v>90</v>
      </c>
      <c r="D4633" t="s">
        <v>13046</v>
      </c>
      <c r="E4633" t="s">
        <v>13045</v>
      </c>
      <c r="F4633" t="s">
        <v>226</v>
      </c>
    </row>
    <row r="4634" spans="1:8">
      <c r="A4634" t="s">
        <v>241</v>
      </c>
      <c r="B4634" t="s">
        <v>226</v>
      </c>
      <c r="C4634">
        <v>90</v>
      </c>
      <c r="D4634" t="s">
        <v>13047</v>
      </c>
      <c r="E4634" t="s">
        <v>13048</v>
      </c>
      <c r="F4634" t="s">
        <v>226</v>
      </c>
      <c r="G4634" t="s">
        <v>13049</v>
      </c>
      <c r="H4634" t="s">
        <v>13050</v>
      </c>
    </row>
    <row r="4635" spans="1:8">
      <c r="A4635" t="s">
        <v>241</v>
      </c>
      <c r="B4635" t="s">
        <v>54</v>
      </c>
      <c r="C4635">
        <v>90</v>
      </c>
      <c r="D4635" t="s">
        <v>9748</v>
      </c>
      <c r="E4635" t="s">
        <v>16378</v>
      </c>
      <c r="F4635" t="s">
        <v>54</v>
      </c>
      <c r="H4635" t="s">
        <v>16379</v>
      </c>
    </row>
    <row r="4636" spans="1:8">
      <c r="A4636" t="s">
        <v>241</v>
      </c>
      <c r="B4636" t="s">
        <v>54</v>
      </c>
      <c r="C4636">
        <v>90</v>
      </c>
      <c r="D4636" t="s">
        <v>16380</v>
      </c>
      <c r="E4636" t="s">
        <v>16381</v>
      </c>
      <c r="F4636" t="s">
        <v>54</v>
      </c>
      <c r="G4636" t="s">
        <v>16382</v>
      </c>
      <c r="H4636" t="s">
        <v>16383</v>
      </c>
    </row>
    <row r="4637" spans="1:8">
      <c r="A4637" t="s">
        <v>242</v>
      </c>
      <c r="B4637" t="s">
        <v>54</v>
      </c>
      <c r="C4637">
        <v>90</v>
      </c>
      <c r="D4637" t="s">
        <v>16384</v>
      </c>
      <c r="E4637" t="s">
        <v>16385</v>
      </c>
      <c r="F4637" t="s">
        <v>16386</v>
      </c>
      <c r="G4637" t="s">
        <v>16387</v>
      </c>
      <c r="H4637" t="s">
        <v>16388</v>
      </c>
    </row>
    <row r="4638" spans="1:8">
      <c r="A4638" t="s">
        <v>241</v>
      </c>
      <c r="B4638" t="s">
        <v>54</v>
      </c>
      <c r="C4638">
        <v>90</v>
      </c>
      <c r="D4638" t="s">
        <v>16389</v>
      </c>
      <c r="E4638" t="s">
        <v>11401</v>
      </c>
      <c r="H4638" t="s">
        <v>16390</v>
      </c>
    </row>
    <row r="4639" spans="1:8">
      <c r="A4639" t="s">
        <v>242</v>
      </c>
      <c r="B4639" t="s">
        <v>54</v>
      </c>
      <c r="C4639">
        <v>90</v>
      </c>
      <c r="D4639" t="s">
        <v>16391</v>
      </c>
      <c r="E4639" t="s">
        <v>16392</v>
      </c>
      <c r="F4639" t="s">
        <v>16393</v>
      </c>
      <c r="G4639" t="s">
        <v>16394</v>
      </c>
      <c r="H4639" t="s">
        <v>16395</v>
      </c>
    </row>
    <row r="4640" spans="1:8">
      <c r="A4640" t="s">
        <v>241</v>
      </c>
      <c r="B4640" t="s">
        <v>54</v>
      </c>
      <c r="C4640">
        <v>90</v>
      </c>
      <c r="D4640" t="s">
        <v>11940</v>
      </c>
      <c r="E4640" t="s">
        <v>16396</v>
      </c>
      <c r="H4640" t="s">
        <v>16397</v>
      </c>
    </row>
    <row r="4641" spans="1:8">
      <c r="A4641" t="s">
        <v>241</v>
      </c>
      <c r="B4641" t="s">
        <v>121</v>
      </c>
      <c r="C4641">
        <v>91</v>
      </c>
      <c r="D4641" t="s">
        <v>4821</v>
      </c>
      <c r="F4641" t="s">
        <v>4822</v>
      </c>
      <c r="H4641" t="s">
        <v>4823</v>
      </c>
    </row>
    <row r="4642" spans="1:8">
      <c r="A4642" t="s">
        <v>243</v>
      </c>
      <c r="B4642" t="s">
        <v>121</v>
      </c>
      <c r="C4642">
        <v>91</v>
      </c>
      <c r="D4642" t="s">
        <v>4824</v>
      </c>
      <c r="E4642" t="s">
        <v>4825</v>
      </c>
      <c r="F4642" t="s">
        <v>121</v>
      </c>
      <c r="H4642" t="s">
        <v>4826</v>
      </c>
    </row>
    <row r="4643" spans="1:8">
      <c r="A4643" t="s">
        <v>243</v>
      </c>
      <c r="B4643" t="s">
        <v>121</v>
      </c>
      <c r="C4643">
        <v>91</v>
      </c>
      <c r="D4643" t="s">
        <v>4827</v>
      </c>
      <c r="E4643" t="s">
        <v>4828</v>
      </c>
      <c r="F4643" t="s">
        <v>121</v>
      </c>
      <c r="H4643" t="s">
        <v>4829</v>
      </c>
    </row>
    <row r="4644" spans="1:8">
      <c r="A4644" t="s">
        <v>249</v>
      </c>
      <c r="B4644" t="s">
        <v>121</v>
      </c>
      <c r="C4644">
        <v>91</v>
      </c>
      <c r="D4644" t="s">
        <v>4830</v>
      </c>
      <c r="E4644" t="s">
        <v>4831</v>
      </c>
      <c r="F4644" t="s">
        <v>4832</v>
      </c>
      <c r="H4644" t="s">
        <v>4833</v>
      </c>
    </row>
    <row r="4645" spans="1:8">
      <c r="A4645" t="s">
        <v>243</v>
      </c>
      <c r="B4645" t="s">
        <v>121</v>
      </c>
      <c r="C4645">
        <v>91</v>
      </c>
      <c r="D4645" t="s">
        <v>4834</v>
      </c>
      <c r="F4645" t="s">
        <v>121</v>
      </c>
      <c r="H4645" t="s">
        <v>4835</v>
      </c>
    </row>
    <row r="4646" spans="1:8">
      <c r="A4646" t="s">
        <v>241</v>
      </c>
      <c r="B4646" t="s">
        <v>121</v>
      </c>
      <c r="C4646">
        <v>91</v>
      </c>
      <c r="D4646" t="s">
        <v>4836</v>
      </c>
      <c r="E4646" t="s">
        <v>4837</v>
      </c>
      <c r="H4646" t="s">
        <v>4838</v>
      </c>
    </row>
    <row r="4647" spans="1:8">
      <c r="A4647" t="s">
        <v>238</v>
      </c>
      <c r="B4647" t="s">
        <v>121</v>
      </c>
      <c r="C4647">
        <v>91</v>
      </c>
      <c r="D4647" t="s">
        <v>4839</v>
      </c>
      <c r="E4647" t="s">
        <v>4840</v>
      </c>
      <c r="F4647" t="s">
        <v>121</v>
      </c>
      <c r="H4647" t="s">
        <v>4841</v>
      </c>
    </row>
    <row r="4648" spans="1:8">
      <c r="A4648" t="s">
        <v>242</v>
      </c>
      <c r="B4648" t="s">
        <v>186</v>
      </c>
      <c r="C4648">
        <v>92</v>
      </c>
      <c r="D4648" t="s">
        <v>10766</v>
      </c>
      <c r="E4648" t="s">
        <v>10767</v>
      </c>
      <c r="F4648" t="s">
        <v>186</v>
      </c>
      <c r="H4648" t="s">
        <v>10768</v>
      </c>
    </row>
    <row r="4649" spans="1:8">
      <c r="A4649" t="s">
        <v>243</v>
      </c>
      <c r="B4649" t="s">
        <v>186</v>
      </c>
      <c r="C4649">
        <v>92</v>
      </c>
      <c r="D4649" t="s">
        <v>10769</v>
      </c>
    </row>
    <row r="4650" spans="1:8">
      <c r="A4650" t="s">
        <v>240</v>
      </c>
      <c r="B4650" t="s">
        <v>186</v>
      </c>
      <c r="C4650">
        <v>92</v>
      </c>
      <c r="D4650" t="s">
        <v>10770</v>
      </c>
      <c r="E4650" t="s">
        <v>9723</v>
      </c>
      <c r="F4650" t="s">
        <v>186</v>
      </c>
      <c r="G4650" t="s">
        <v>10771</v>
      </c>
      <c r="H4650" t="s">
        <v>10772</v>
      </c>
    </row>
    <row r="4651" spans="1:8">
      <c r="A4651" t="s">
        <v>240</v>
      </c>
      <c r="B4651" t="s">
        <v>186</v>
      </c>
      <c r="C4651">
        <v>92</v>
      </c>
      <c r="D4651" t="s">
        <v>10773</v>
      </c>
      <c r="E4651" t="s">
        <v>10774</v>
      </c>
      <c r="F4651" t="s">
        <v>186</v>
      </c>
      <c r="G4651" t="s">
        <v>10775</v>
      </c>
      <c r="H4651" t="s">
        <v>10776</v>
      </c>
    </row>
    <row r="4652" spans="1:8">
      <c r="A4652" t="s">
        <v>240</v>
      </c>
      <c r="B4652" t="s">
        <v>186</v>
      </c>
      <c r="C4652">
        <v>92</v>
      </c>
      <c r="D4652" t="s">
        <v>10777</v>
      </c>
      <c r="E4652" t="s">
        <v>10778</v>
      </c>
      <c r="F4652" t="s">
        <v>186</v>
      </c>
      <c r="G4652" t="s">
        <v>10779</v>
      </c>
      <c r="H4652" t="s">
        <v>10780</v>
      </c>
    </row>
    <row r="4653" spans="1:8">
      <c r="A4653" t="s">
        <v>240</v>
      </c>
      <c r="B4653" t="s">
        <v>186</v>
      </c>
      <c r="C4653">
        <v>92</v>
      </c>
      <c r="D4653" t="s">
        <v>10781</v>
      </c>
      <c r="E4653" t="s">
        <v>10782</v>
      </c>
      <c r="F4653" t="s">
        <v>186</v>
      </c>
      <c r="H4653" t="s">
        <v>10783</v>
      </c>
    </row>
    <row r="4654" spans="1:8">
      <c r="A4654" t="s">
        <v>238</v>
      </c>
      <c r="B4654" t="s">
        <v>186</v>
      </c>
      <c r="C4654">
        <v>92</v>
      </c>
      <c r="D4654" t="s">
        <v>10784</v>
      </c>
      <c r="F4654" t="s">
        <v>10785</v>
      </c>
      <c r="G4654" t="s">
        <v>10786</v>
      </c>
      <c r="H4654" t="s">
        <v>10787</v>
      </c>
    </row>
    <row r="4655" spans="1:8">
      <c r="A4655" t="s">
        <v>242</v>
      </c>
      <c r="B4655" t="s">
        <v>186</v>
      </c>
      <c r="C4655">
        <v>92</v>
      </c>
      <c r="D4655" t="s">
        <v>10788</v>
      </c>
      <c r="E4655" t="s">
        <v>10789</v>
      </c>
      <c r="F4655" t="s">
        <v>10790</v>
      </c>
      <c r="G4655" t="s">
        <v>10791</v>
      </c>
      <c r="H4655" t="s">
        <v>10792</v>
      </c>
    </row>
    <row r="4656" spans="1:8">
      <c r="A4656" t="s">
        <v>242</v>
      </c>
      <c r="B4656" t="s">
        <v>186</v>
      </c>
      <c r="C4656">
        <v>92</v>
      </c>
      <c r="D4656" t="s">
        <v>10793</v>
      </c>
      <c r="F4656" t="s">
        <v>10794</v>
      </c>
      <c r="G4656" t="s">
        <v>10795</v>
      </c>
      <c r="H4656" t="s">
        <v>10796</v>
      </c>
    </row>
    <row r="4657" spans="1:8">
      <c r="A4657" t="s">
        <v>246</v>
      </c>
      <c r="B4657" t="s">
        <v>186</v>
      </c>
      <c r="C4657">
        <v>92</v>
      </c>
      <c r="D4657" t="s">
        <v>10797</v>
      </c>
      <c r="F4657" t="s">
        <v>10798</v>
      </c>
      <c r="H4657" t="s">
        <v>10799</v>
      </c>
    </row>
    <row r="4658" spans="1:8">
      <c r="A4658" t="s">
        <v>242</v>
      </c>
      <c r="B4658" t="s">
        <v>186</v>
      </c>
      <c r="C4658">
        <v>92</v>
      </c>
      <c r="D4658" t="s">
        <v>10800</v>
      </c>
      <c r="E4658" t="s">
        <v>10801</v>
      </c>
      <c r="F4658" t="s">
        <v>186</v>
      </c>
      <c r="G4658" t="s">
        <v>10802</v>
      </c>
      <c r="H4658" t="s">
        <v>10803</v>
      </c>
    </row>
    <row r="4659" spans="1:8">
      <c r="A4659" t="s">
        <v>239</v>
      </c>
      <c r="B4659" t="s">
        <v>186</v>
      </c>
      <c r="C4659">
        <v>92</v>
      </c>
      <c r="D4659" t="s">
        <v>10804</v>
      </c>
      <c r="F4659" t="s">
        <v>10805</v>
      </c>
      <c r="H4659" t="s">
        <v>10806</v>
      </c>
    </row>
    <row r="4660" spans="1:8">
      <c r="A4660" t="s">
        <v>246</v>
      </c>
      <c r="B4660" t="s">
        <v>186</v>
      </c>
      <c r="C4660">
        <v>92</v>
      </c>
      <c r="D4660" t="s">
        <v>10807</v>
      </c>
      <c r="E4660" t="s">
        <v>10808</v>
      </c>
      <c r="F4660" t="s">
        <v>186</v>
      </c>
      <c r="G4660" t="s">
        <v>10809</v>
      </c>
      <c r="H4660" t="s">
        <v>10810</v>
      </c>
    </row>
    <row r="4661" spans="1:8">
      <c r="A4661" t="s">
        <v>247</v>
      </c>
      <c r="B4661" t="s">
        <v>186</v>
      </c>
      <c r="C4661">
        <v>92</v>
      </c>
      <c r="D4661" t="s">
        <v>10811</v>
      </c>
      <c r="E4661" t="s">
        <v>10808</v>
      </c>
      <c r="F4661" t="s">
        <v>186</v>
      </c>
    </row>
    <row r="4662" spans="1:8">
      <c r="A4662" t="s">
        <v>242</v>
      </c>
      <c r="B4662" t="s">
        <v>186</v>
      </c>
      <c r="C4662">
        <v>92</v>
      </c>
      <c r="D4662" t="s">
        <v>10812</v>
      </c>
      <c r="E4662" t="s">
        <v>10813</v>
      </c>
      <c r="F4662" t="s">
        <v>186</v>
      </c>
    </row>
    <row r="4663" spans="1:8">
      <c r="A4663" t="s">
        <v>242</v>
      </c>
      <c r="B4663" t="s">
        <v>186</v>
      </c>
      <c r="C4663">
        <v>92</v>
      </c>
      <c r="D4663" t="s">
        <v>10814</v>
      </c>
      <c r="E4663" t="s">
        <v>10815</v>
      </c>
      <c r="F4663" t="s">
        <v>186</v>
      </c>
    </row>
    <row r="4664" spans="1:8">
      <c r="A4664" t="s">
        <v>242</v>
      </c>
      <c r="B4664" t="s">
        <v>186</v>
      </c>
      <c r="C4664">
        <v>92</v>
      </c>
      <c r="D4664" t="s">
        <v>10816</v>
      </c>
      <c r="E4664" t="s">
        <v>10817</v>
      </c>
      <c r="F4664" t="s">
        <v>186</v>
      </c>
    </row>
    <row r="4665" spans="1:8">
      <c r="A4665" t="s">
        <v>243</v>
      </c>
      <c r="B4665" t="s">
        <v>186</v>
      </c>
      <c r="C4665">
        <v>92</v>
      </c>
      <c r="D4665" t="s">
        <v>10818</v>
      </c>
      <c r="E4665" t="s">
        <v>10819</v>
      </c>
      <c r="F4665" t="s">
        <v>186</v>
      </c>
      <c r="G4665" t="s">
        <v>10820</v>
      </c>
      <c r="H4665" t="s">
        <v>10821</v>
      </c>
    </row>
    <row r="4666" spans="1:8">
      <c r="A4666" t="s">
        <v>242</v>
      </c>
      <c r="B4666" t="s">
        <v>186</v>
      </c>
      <c r="C4666">
        <v>92</v>
      </c>
      <c r="D4666" t="s">
        <v>10822</v>
      </c>
      <c r="F4666" t="s">
        <v>10823</v>
      </c>
      <c r="G4666" t="s">
        <v>10824</v>
      </c>
      <c r="H4666" t="s">
        <v>10825</v>
      </c>
    </row>
    <row r="4667" spans="1:8">
      <c r="A4667" t="s">
        <v>246</v>
      </c>
      <c r="B4667" t="s">
        <v>186</v>
      </c>
      <c r="C4667">
        <v>92</v>
      </c>
      <c r="D4667" t="s">
        <v>10826</v>
      </c>
      <c r="F4667" t="s">
        <v>10826</v>
      </c>
    </row>
    <row r="4668" spans="1:8">
      <c r="A4668" t="s">
        <v>243</v>
      </c>
      <c r="B4668" t="s">
        <v>186</v>
      </c>
      <c r="C4668">
        <v>92</v>
      </c>
      <c r="D4668" t="s">
        <v>10827</v>
      </c>
      <c r="E4668" t="s">
        <v>10828</v>
      </c>
      <c r="F4668" t="s">
        <v>186</v>
      </c>
      <c r="G4668" t="s">
        <v>10829</v>
      </c>
      <c r="H4668" t="s">
        <v>10830</v>
      </c>
    </row>
    <row r="4669" spans="1:8">
      <c r="A4669" t="s">
        <v>246</v>
      </c>
      <c r="B4669" t="s">
        <v>186</v>
      </c>
      <c r="C4669">
        <v>92</v>
      </c>
      <c r="D4669" t="s">
        <v>5003</v>
      </c>
      <c r="F4669" t="s">
        <v>5003</v>
      </c>
    </row>
    <row r="4670" spans="1:8">
      <c r="A4670" t="s">
        <v>246</v>
      </c>
      <c r="B4670" t="s">
        <v>186</v>
      </c>
      <c r="C4670">
        <v>92</v>
      </c>
      <c r="D4670" t="s">
        <v>10831</v>
      </c>
    </row>
    <row r="4671" spans="1:8">
      <c r="A4671" t="s">
        <v>246</v>
      </c>
      <c r="B4671" t="s">
        <v>186</v>
      </c>
      <c r="C4671">
        <v>92</v>
      </c>
      <c r="D4671" t="s">
        <v>10832</v>
      </c>
      <c r="F4671" t="s">
        <v>6983</v>
      </c>
    </row>
    <row r="4672" spans="1:8">
      <c r="A4672" t="s">
        <v>246</v>
      </c>
      <c r="B4672" t="s">
        <v>186</v>
      </c>
      <c r="C4672">
        <v>92</v>
      </c>
      <c r="D4672" t="s">
        <v>10833</v>
      </c>
      <c r="F4672" t="s">
        <v>10833</v>
      </c>
      <c r="H4672" t="s">
        <v>10834</v>
      </c>
    </row>
    <row r="4673" spans="1:8">
      <c r="A4673" t="s">
        <v>247</v>
      </c>
      <c r="B4673" t="s">
        <v>186</v>
      </c>
      <c r="C4673">
        <v>92</v>
      </c>
      <c r="D4673" t="s">
        <v>10835</v>
      </c>
    </row>
    <row r="4674" spans="1:8">
      <c r="A4674" t="s">
        <v>242</v>
      </c>
      <c r="B4674" t="s">
        <v>186</v>
      </c>
      <c r="C4674">
        <v>92</v>
      </c>
      <c r="D4674" t="s">
        <v>10836</v>
      </c>
      <c r="E4674" t="s">
        <v>10837</v>
      </c>
      <c r="F4674" t="s">
        <v>186</v>
      </c>
    </row>
    <row r="4675" spans="1:8">
      <c r="A4675" t="s">
        <v>242</v>
      </c>
      <c r="B4675" t="s">
        <v>186</v>
      </c>
      <c r="C4675">
        <v>92</v>
      </c>
      <c r="D4675" t="s">
        <v>10784</v>
      </c>
      <c r="E4675" t="s">
        <v>10838</v>
      </c>
      <c r="F4675" t="s">
        <v>186</v>
      </c>
      <c r="G4675" t="s">
        <v>10786</v>
      </c>
      <c r="H4675" t="s">
        <v>10787</v>
      </c>
    </row>
    <row r="4676" spans="1:8">
      <c r="A4676" t="s">
        <v>242</v>
      </c>
      <c r="B4676" t="s">
        <v>186</v>
      </c>
      <c r="C4676">
        <v>92</v>
      </c>
      <c r="D4676" t="s">
        <v>10839</v>
      </c>
      <c r="E4676" t="s">
        <v>10840</v>
      </c>
      <c r="F4676" t="s">
        <v>186</v>
      </c>
      <c r="G4676" t="s">
        <v>10841</v>
      </c>
      <c r="H4676" t="s">
        <v>10842</v>
      </c>
    </row>
    <row r="4677" spans="1:8">
      <c r="A4677" t="s">
        <v>241</v>
      </c>
      <c r="B4677" t="s">
        <v>186</v>
      </c>
      <c r="C4677">
        <v>92</v>
      </c>
      <c r="D4677" t="s">
        <v>10843</v>
      </c>
      <c r="E4677" t="s">
        <v>10844</v>
      </c>
      <c r="F4677" t="s">
        <v>186</v>
      </c>
      <c r="G4677" t="s">
        <v>10845</v>
      </c>
      <c r="H4677" t="s">
        <v>10846</v>
      </c>
    </row>
    <row r="4678" spans="1:8">
      <c r="A4678" t="s">
        <v>246</v>
      </c>
      <c r="B4678" t="s">
        <v>186</v>
      </c>
      <c r="C4678">
        <v>92</v>
      </c>
      <c r="D4678" t="s">
        <v>10847</v>
      </c>
      <c r="F4678" t="s">
        <v>10848</v>
      </c>
    </row>
    <row r="4679" spans="1:8">
      <c r="A4679" t="s">
        <v>243</v>
      </c>
      <c r="B4679" t="s">
        <v>5</v>
      </c>
      <c r="C4679">
        <v>93</v>
      </c>
      <c r="D4679" t="s">
        <v>2210</v>
      </c>
      <c r="E4679" t="s">
        <v>2211</v>
      </c>
      <c r="F4679" t="s">
        <v>5</v>
      </c>
      <c r="H4679" t="s">
        <v>2212</v>
      </c>
    </row>
    <row r="4680" spans="1:8">
      <c r="A4680" t="s">
        <v>243</v>
      </c>
      <c r="B4680" t="s">
        <v>5</v>
      </c>
      <c r="C4680">
        <v>93</v>
      </c>
      <c r="D4680" t="s">
        <v>2213</v>
      </c>
      <c r="E4680" t="s">
        <v>2214</v>
      </c>
      <c r="F4680" t="s">
        <v>5</v>
      </c>
      <c r="H4680" t="s">
        <v>2212</v>
      </c>
    </row>
    <row r="4681" spans="1:8">
      <c r="A4681" t="s">
        <v>241</v>
      </c>
      <c r="B4681" t="s">
        <v>5</v>
      </c>
      <c r="C4681">
        <v>93</v>
      </c>
      <c r="D4681" t="s">
        <v>2215</v>
      </c>
      <c r="E4681" t="s">
        <v>2216</v>
      </c>
      <c r="F4681" t="s">
        <v>2217</v>
      </c>
      <c r="H4681" t="s">
        <v>2218</v>
      </c>
    </row>
    <row r="4682" spans="1:8">
      <c r="A4682" t="s">
        <v>240</v>
      </c>
      <c r="B4682" t="s">
        <v>5</v>
      </c>
      <c r="C4682">
        <v>93</v>
      </c>
      <c r="D4682" t="s">
        <v>2219</v>
      </c>
      <c r="E4682" t="s">
        <v>2220</v>
      </c>
      <c r="F4682" t="s">
        <v>5</v>
      </c>
      <c r="G4682" t="s">
        <v>2221</v>
      </c>
      <c r="H4682" t="s">
        <v>2222</v>
      </c>
    </row>
    <row r="4683" spans="1:8">
      <c r="A4683" t="s">
        <v>240</v>
      </c>
      <c r="B4683" t="s">
        <v>5</v>
      </c>
      <c r="C4683">
        <v>93</v>
      </c>
      <c r="D4683" t="s">
        <v>2223</v>
      </c>
      <c r="E4683" t="s">
        <v>2224</v>
      </c>
      <c r="F4683" t="s">
        <v>2225</v>
      </c>
      <c r="G4683" t="s">
        <v>2226</v>
      </c>
      <c r="H4683" t="s">
        <v>2227</v>
      </c>
    </row>
    <row r="4684" spans="1:8">
      <c r="A4684" t="s">
        <v>238</v>
      </c>
      <c r="B4684" t="s">
        <v>5</v>
      </c>
      <c r="C4684">
        <v>93</v>
      </c>
      <c r="D4684" t="s">
        <v>2228</v>
      </c>
      <c r="E4684" t="s">
        <v>2229</v>
      </c>
      <c r="F4684" t="s">
        <v>5</v>
      </c>
      <c r="G4684" t="s">
        <v>2230</v>
      </c>
      <c r="H4684" t="s">
        <v>2231</v>
      </c>
    </row>
    <row r="4685" spans="1:8">
      <c r="A4685" t="s">
        <v>241</v>
      </c>
      <c r="B4685" t="s">
        <v>5</v>
      </c>
      <c r="C4685">
        <v>93</v>
      </c>
      <c r="D4685" t="s">
        <v>2232</v>
      </c>
      <c r="E4685" t="s">
        <v>2233</v>
      </c>
      <c r="F4685" t="s">
        <v>2234</v>
      </c>
      <c r="G4685" t="s">
        <v>2235</v>
      </c>
      <c r="H4685" t="s">
        <v>2236</v>
      </c>
    </row>
    <row r="4686" spans="1:8">
      <c r="A4686" t="s">
        <v>240</v>
      </c>
      <c r="B4686" t="s">
        <v>78</v>
      </c>
      <c r="C4686">
        <v>93</v>
      </c>
      <c r="D4686" t="s">
        <v>7549</v>
      </c>
      <c r="E4686" t="s">
        <v>7550</v>
      </c>
      <c r="F4686" t="s">
        <v>78</v>
      </c>
      <c r="G4686" t="s">
        <v>7551</v>
      </c>
      <c r="H4686" t="s">
        <v>7552</v>
      </c>
    </row>
    <row r="4687" spans="1:8">
      <c r="A4687" t="s">
        <v>242</v>
      </c>
      <c r="B4687" t="s">
        <v>78</v>
      </c>
      <c r="C4687">
        <v>93</v>
      </c>
      <c r="D4687" t="s">
        <v>7553</v>
      </c>
      <c r="E4687" t="s">
        <v>7554</v>
      </c>
      <c r="F4687" t="s">
        <v>7555</v>
      </c>
    </row>
    <row r="4688" spans="1:8">
      <c r="A4688" t="s">
        <v>239</v>
      </c>
      <c r="B4688" t="s">
        <v>78</v>
      </c>
      <c r="C4688">
        <v>93</v>
      </c>
      <c r="D4688" t="s">
        <v>7556</v>
      </c>
      <c r="E4688" t="s">
        <v>7557</v>
      </c>
      <c r="G4688" t="s">
        <v>7558</v>
      </c>
      <c r="H4688" t="s">
        <v>7559</v>
      </c>
    </row>
    <row r="4689" spans="1:8">
      <c r="A4689" t="s">
        <v>241</v>
      </c>
      <c r="B4689" t="s">
        <v>78</v>
      </c>
      <c r="C4689">
        <v>93</v>
      </c>
      <c r="D4689" t="s">
        <v>7560</v>
      </c>
      <c r="E4689" t="s">
        <v>7561</v>
      </c>
      <c r="H4689" t="s">
        <v>7562</v>
      </c>
    </row>
    <row r="4690" spans="1:8">
      <c r="A4690" t="s">
        <v>240</v>
      </c>
      <c r="B4690" t="s">
        <v>78</v>
      </c>
      <c r="C4690">
        <v>93</v>
      </c>
      <c r="D4690" t="s">
        <v>7563</v>
      </c>
      <c r="E4690" t="s">
        <v>7564</v>
      </c>
      <c r="F4690" t="s">
        <v>7565</v>
      </c>
      <c r="G4690" t="s">
        <v>7566</v>
      </c>
      <c r="H4690" t="s">
        <v>7567</v>
      </c>
    </row>
    <row r="4691" spans="1:8">
      <c r="A4691" t="s">
        <v>239</v>
      </c>
      <c r="B4691" t="s">
        <v>78</v>
      </c>
      <c r="C4691">
        <v>93</v>
      </c>
      <c r="D4691" t="s">
        <v>7568</v>
      </c>
      <c r="E4691" t="s">
        <v>7569</v>
      </c>
      <c r="F4691" t="s">
        <v>7570</v>
      </c>
      <c r="H4691" t="s">
        <v>7571</v>
      </c>
    </row>
    <row r="4692" spans="1:8">
      <c r="A4692" t="s">
        <v>242</v>
      </c>
      <c r="B4692" t="s">
        <v>78</v>
      </c>
      <c r="C4692">
        <v>93</v>
      </c>
      <c r="D4692" t="s">
        <v>7572</v>
      </c>
      <c r="E4692" t="s">
        <v>7573</v>
      </c>
      <c r="F4692" t="s">
        <v>78</v>
      </c>
    </row>
    <row r="4693" spans="1:8">
      <c r="A4693" t="s">
        <v>239</v>
      </c>
      <c r="B4693" t="s">
        <v>78</v>
      </c>
      <c r="C4693">
        <v>93</v>
      </c>
      <c r="D4693" t="s">
        <v>7574</v>
      </c>
      <c r="E4693" t="s">
        <v>7569</v>
      </c>
      <c r="F4693" t="s">
        <v>7570</v>
      </c>
      <c r="H4693" t="s">
        <v>7571</v>
      </c>
    </row>
    <row r="4694" spans="1:8">
      <c r="A4694" t="s">
        <v>240</v>
      </c>
      <c r="B4694" t="s">
        <v>78</v>
      </c>
      <c r="C4694">
        <v>93</v>
      </c>
      <c r="D4694" t="s">
        <v>7575</v>
      </c>
      <c r="E4694" t="s">
        <v>7576</v>
      </c>
      <c r="G4694" t="s">
        <v>7577</v>
      </c>
      <c r="H4694" t="s">
        <v>7578</v>
      </c>
    </row>
    <row r="4695" spans="1:8">
      <c r="A4695" t="s">
        <v>239</v>
      </c>
      <c r="B4695" t="s">
        <v>78</v>
      </c>
      <c r="C4695">
        <v>93</v>
      </c>
      <c r="D4695" t="s">
        <v>7579</v>
      </c>
      <c r="E4695" t="s">
        <v>7580</v>
      </c>
      <c r="F4695" t="s">
        <v>7581</v>
      </c>
      <c r="H4695" t="s">
        <v>7582</v>
      </c>
    </row>
    <row r="4696" spans="1:8">
      <c r="A4696" t="s">
        <v>241</v>
      </c>
      <c r="B4696" t="s">
        <v>78</v>
      </c>
      <c r="C4696">
        <v>93</v>
      </c>
      <c r="D4696" t="s">
        <v>7583</v>
      </c>
      <c r="E4696" t="s">
        <v>7584</v>
      </c>
      <c r="F4696" t="s">
        <v>7585</v>
      </c>
      <c r="G4696" t="s">
        <v>7586</v>
      </c>
      <c r="H4696" t="s">
        <v>7587</v>
      </c>
    </row>
    <row r="4697" spans="1:8">
      <c r="A4697" t="s">
        <v>246</v>
      </c>
      <c r="B4697" t="s">
        <v>78</v>
      </c>
      <c r="C4697">
        <v>93</v>
      </c>
      <c r="D4697" t="s">
        <v>7588</v>
      </c>
      <c r="E4697" t="s">
        <v>7589</v>
      </c>
      <c r="F4697" t="s">
        <v>78</v>
      </c>
    </row>
    <row r="4698" spans="1:8">
      <c r="A4698" t="s">
        <v>238</v>
      </c>
      <c r="B4698" t="s">
        <v>78</v>
      </c>
      <c r="C4698">
        <v>93</v>
      </c>
      <c r="D4698" t="s">
        <v>7590</v>
      </c>
      <c r="E4698" t="s">
        <v>7591</v>
      </c>
      <c r="F4698" t="s">
        <v>78</v>
      </c>
      <c r="G4698" t="s">
        <v>7592</v>
      </c>
      <c r="H4698" t="s">
        <v>7593</v>
      </c>
    </row>
    <row r="4699" spans="1:8">
      <c r="A4699" t="s">
        <v>244</v>
      </c>
      <c r="B4699" t="s">
        <v>78</v>
      </c>
      <c r="C4699">
        <v>93</v>
      </c>
      <c r="D4699" t="s">
        <v>7594</v>
      </c>
    </row>
    <row r="4700" spans="1:8">
      <c r="A4700" t="s">
        <v>240</v>
      </c>
      <c r="B4700" t="s">
        <v>78</v>
      </c>
      <c r="C4700">
        <v>93</v>
      </c>
      <c r="D4700" t="s">
        <v>7595</v>
      </c>
      <c r="E4700" t="s">
        <v>7596</v>
      </c>
      <c r="F4700" t="s">
        <v>78</v>
      </c>
      <c r="H4700" t="s">
        <v>7597</v>
      </c>
    </row>
    <row r="4701" spans="1:8">
      <c r="A4701" t="s">
        <v>241</v>
      </c>
      <c r="B4701" t="s">
        <v>78</v>
      </c>
      <c r="C4701">
        <v>93</v>
      </c>
      <c r="D4701" t="s">
        <v>7598</v>
      </c>
      <c r="E4701" t="s">
        <v>7599</v>
      </c>
      <c r="F4701" t="s">
        <v>78</v>
      </c>
      <c r="G4701" t="s">
        <v>7600</v>
      </c>
      <c r="H4701" t="s">
        <v>7601</v>
      </c>
    </row>
    <row r="4702" spans="1:8">
      <c r="A4702" t="s">
        <v>238</v>
      </c>
      <c r="B4702" t="s">
        <v>221</v>
      </c>
      <c r="C4702">
        <v>93</v>
      </c>
      <c r="D4702" t="s">
        <v>9949</v>
      </c>
      <c r="E4702" t="s">
        <v>9950</v>
      </c>
      <c r="F4702" t="s">
        <v>221</v>
      </c>
      <c r="G4702" t="s">
        <v>9951</v>
      </c>
      <c r="H4702" t="s">
        <v>9952</v>
      </c>
    </row>
    <row r="4703" spans="1:8">
      <c r="A4703" t="s">
        <v>242</v>
      </c>
      <c r="B4703" t="s">
        <v>221</v>
      </c>
      <c r="C4703">
        <v>93</v>
      </c>
      <c r="D4703" t="s">
        <v>9953</v>
      </c>
      <c r="E4703" t="s">
        <v>9954</v>
      </c>
      <c r="F4703" t="s">
        <v>221</v>
      </c>
      <c r="H4703" t="s">
        <v>644</v>
      </c>
    </row>
    <row r="4704" spans="1:8">
      <c r="A4704" t="s">
        <v>244</v>
      </c>
      <c r="B4704" t="s">
        <v>221</v>
      </c>
      <c r="C4704">
        <v>93</v>
      </c>
      <c r="D4704" t="s">
        <v>1282</v>
      </c>
    </row>
    <row r="4705" spans="1:8">
      <c r="A4705" t="s">
        <v>241</v>
      </c>
      <c r="B4705" t="s">
        <v>149</v>
      </c>
      <c r="C4705">
        <v>93</v>
      </c>
      <c r="D4705" t="s">
        <v>14270</v>
      </c>
      <c r="E4705" t="s">
        <v>14271</v>
      </c>
      <c r="F4705" t="s">
        <v>149</v>
      </c>
      <c r="H4705" t="s">
        <v>14272</v>
      </c>
    </row>
    <row r="4706" spans="1:8">
      <c r="A4706" t="s">
        <v>240</v>
      </c>
      <c r="B4706" t="s">
        <v>149</v>
      </c>
      <c r="C4706">
        <v>93</v>
      </c>
      <c r="D4706" t="s">
        <v>14273</v>
      </c>
      <c r="E4706" t="s">
        <v>14274</v>
      </c>
      <c r="F4706" t="s">
        <v>149</v>
      </c>
      <c r="G4706" t="s">
        <v>14275</v>
      </c>
      <c r="H4706" t="s">
        <v>14276</v>
      </c>
    </row>
    <row r="4707" spans="1:8">
      <c r="A4707" t="s">
        <v>243</v>
      </c>
      <c r="B4707" t="s">
        <v>149</v>
      </c>
      <c r="C4707">
        <v>93</v>
      </c>
      <c r="D4707" t="s">
        <v>14277</v>
      </c>
      <c r="E4707" t="s">
        <v>14278</v>
      </c>
      <c r="H4707" t="s">
        <v>14279</v>
      </c>
    </row>
    <row r="4708" spans="1:8">
      <c r="A4708" t="s">
        <v>243</v>
      </c>
      <c r="B4708" t="s">
        <v>149</v>
      </c>
      <c r="C4708">
        <v>93</v>
      </c>
      <c r="D4708" t="s">
        <v>14280</v>
      </c>
      <c r="E4708" t="s">
        <v>14281</v>
      </c>
      <c r="H4708" t="s">
        <v>14282</v>
      </c>
    </row>
    <row r="4709" spans="1:8">
      <c r="A4709" t="s">
        <v>242</v>
      </c>
      <c r="B4709" t="s">
        <v>149</v>
      </c>
      <c r="C4709">
        <v>93</v>
      </c>
      <c r="D4709" t="s">
        <v>14283</v>
      </c>
      <c r="E4709" t="s">
        <v>14284</v>
      </c>
      <c r="H4709" t="s">
        <v>14285</v>
      </c>
    </row>
    <row r="4710" spans="1:8">
      <c r="A4710" t="s">
        <v>244</v>
      </c>
      <c r="B4710" t="s">
        <v>149</v>
      </c>
      <c r="C4710">
        <v>93</v>
      </c>
      <c r="D4710" t="s">
        <v>14286</v>
      </c>
    </row>
    <row r="4711" spans="1:8">
      <c r="A4711" t="s">
        <v>241</v>
      </c>
      <c r="B4711" t="s">
        <v>149</v>
      </c>
      <c r="C4711">
        <v>93</v>
      </c>
      <c r="D4711" t="s">
        <v>14287</v>
      </c>
      <c r="E4711" t="s">
        <v>14288</v>
      </c>
      <c r="G4711" t="s">
        <v>14289</v>
      </c>
      <c r="H4711" t="s">
        <v>14290</v>
      </c>
    </row>
    <row r="4712" spans="1:8">
      <c r="A4712" t="s">
        <v>241</v>
      </c>
      <c r="B4712" t="s">
        <v>149</v>
      </c>
      <c r="C4712">
        <v>93</v>
      </c>
      <c r="D4712" t="s">
        <v>14291</v>
      </c>
      <c r="E4712" t="s">
        <v>14292</v>
      </c>
      <c r="H4712" t="s">
        <v>14293</v>
      </c>
    </row>
    <row r="4713" spans="1:8">
      <c r="A4713" t="s">
        <v>241</v>
      </c>
      <c r="B4713" t="s">
        <v>149</v>
      </c>
      <c r="C4713">
        <v>93</v>
      </c>
      <c r="D4713" t="s">
        <v>14294</v>
      </c>
      <c r="E4713" t="s">
        <v>14295</v>
      </c>
      <c r="G4713" t="s">
        <v>14296</v>
      </c>
      <c r="H4713" t="s">
        <v>14297</v>
      </c>
    </row>
    <row r="4714" spans="1:8">
      <c r="A4714" t="s">
        <v>241</v>
      </c>
      <c r="B4714" t="s">
        <v>149</v>
      </c>
      <c r="C4714">
        <v>93</v>
      </c>
      <c r="D4714" t="s">
        <v>14298</v>
      </c>
      <c r="E4714" t="s">
        <v>14299</v>
      </c>
      <c r="F4714" t="s">
        <v>149</v>
      </c>
      <c r="H4714" t="s">
        <v>14300</v>
      </c>
    </row>
    <row r="4715" spans="1:8">
      <c r="A4715" t="s">
        <v>239</v>
      </c>
      <c r="B4715" t="s">
        <v>149</v>
      </c>
      <c r="C4715">
        <v>93</v>
      </c>
      <c r="D4715" t="s">
        <v>14301</v>
      </c>
      <c r="E4715" t="s">
        <v>14302</v>
      </c>
      <c r="F4715" t="s">
        <v>149</v>
      </c>
      <c r="H4715" t="s">
        <v>14303</v>
      </c>
    </row>
    <row r="4716" spans="1:8">
      <c r="A4716" t="s">
        <v>239</v>
      </c>
      <c r="B4716" t="s">
        <v>149</v>
      </c>
      <c r="C4716">
        <v>93</v>
      </c>
      <c r="D4716" t="s">
        <v>14304</v>
      </c>
      <c r="E4716" t="s">
        <v>14305</v>
      </c>
      <c r="F4716" t="s">
        <v>149</v>
      </c>
      <c r="H4716" t="s">
        <v>14306</v>
      </c>
    </row>
    <row r="4717" spans="1:8">
      <c r="A4717" t="s">
        <v>239</v>
      </c>
      <c r="B4717" t="s">
        <v>149</v>
      </c>
      <c r="C4717">
        <v>93</v>
      </c>
      <c r="D4717" t="s">
        <v>14307</v>
      </c>
      <c r="E4717" t="s">
        <v>14305</v>
      </c>
      <c r="F4717" t="s">
        <v>149</v>
      </c>
      <c r="H4717" t="s">
        <v>14306</v>
      </c>
    </row>
    <row r="4718" spans="1:8">
      <c r="A4718" t="s">
        <v>241</v>
      </c>
      <c r="B4718" t="s">
        <v>149</v>
      </c>
      <c r="C4718">
        <v>93</v>
      </c>
      <c r="D4718" t="s">
        <v>14308</v>
      </c>
      <c r="E4718" t="s">
        <v>14309</v>
      </c>
      <c r="G4718" t="s">
        <v>14310</v>
      </c>
      <c r="H4718" t="s">
        <v>14311</v>
      </c>
    </row>
    <row r="4719" spans="1:8">
      <c r="A4719" t="s">
        <v>242</v>
      </c>
      <c r="B4719" t="s">
        <v>149</v>
      </c>
      <c r="C4719">
        <v>93</v>
      </c>
      <c r="D4719" t="s">
        <v>14312</v>
      </c>
      <c r="E4719" t="s">
        <v>14313</v>
      </c>
      <c r="G4719" t="s">
        <v>14314</v>
      </c>
      <c r="H4719" t="s">
        <v>14315</v>
      </c>
    </row>
    <row r="4720" spans="1:8">
      <c r="A4720" t="s">
        <v>243</v>
      </c>
      <c r="B4720" t="s">
        <v>149</v>
      </c>
      <c r="C4720">
        <v>93</v>
      </c>
      <c r="D4720" t="s">
        <v>14316</v>
      </c>
      <c r="G4720" t="s">
        <v>14317</v>
      </c>
      <c r="H4720" t="s">
        <v>14318</v>
      </c>
    </row>
    <row r="4721" spans="1:8">
      <c r="A4721" t="s">
        <v>242</v>
      </c>
      <c r="B4721" t="s">
        <v>149</v>
      </c>
      <c r="C4721">
        <v>93</v>
      </c>
      <c r="D4721" t="s">
        <v>14319</v>
      </c>
      <c r="E4721" t="s">
        <v>14320</v>
      </c>
      <c r="F4721" t="s">
        <v>149</v>
      </c>
      <c r="G4721" t="s">
        <v>14321</v>
      </c>
      <c r="H4721" t="s">
        <v>14322</v>
      </c>
    </row>
    <row r="4722" spans="1:8">
      <c r="A4722" t="s">
        <v>245</v>
      </c>
      <c r="B4722" t="s">
        <v>149</v>
      </c>
      <c r="C4722">
        <v>93</v>
      </c>
      <c r="D4722" t="s">
        <v>14323</v>
      </c>
      <c r="E4722" t="s">
        <v>14324</v>
      </c>
      <c r="F4722" t="s">
        <v>149</v>
      </c>
      <c r="H4722" t="s">
        <v>14325</v>
      </c>
    </row>
    <row r="4723" spans="1:8">
      <c r="A4723" t="s">
        <v>241</v>
      </c>
      <c r="B4723" t="s">
        <v>149</v>
      </c>
      <c r="C4723">
        <v>93</v>
      </c>
      <c r="D4723" t="s">
        <v>14326</v>
      </c>
      <c r="E4723" t="s">
        <v>14327</v>
      </c>
      <c r="F4723" t="s">
        <v>149</v>
      </c>
      <c r="G4723" t="s">
        <v>14328</v>
      </c>
      <c r="H4723" t="s">
        <v>14329</v>
      </c>
    </row>
    <row r="4724" spans="1:8">
      <c r="A4724" t="s">
        <v>241</v>
      </c>
      <c r="B4724" t="s">
        <v>149</v>
      </c>
      <c r="C4724">
        <v>93</v>
      </c>
      <c r="D4724" t="s">
        <v>14330</v>
      </c>
      <c r="E4724" t="s">
        <v>14331</v>
      </c>
      <c r="F4724" t="s">
        <v>149</v>
      </c>
      <c r="G4724" t="s">
        <v>14332</v>
      </c>
      <c r="H4724" t="s">
        <v>14333</v>
      </c>
    </row>
    <row r="4725" spans="1:8">
      <c r="A4725" t="s">
        <v>241</v>
      </c>
      <c r="B4725" t="s">
        <v>149</v>
      </c>
      <c r="C4725">
        <v>93</v>
      </c>
      <c r="D4725" t="s">
        <v>14334</v>
      </c>
      <c r="E4725" t="s">
        <v>14335</v>
      </c>
      <c r="F4725" t="s">
        <v>149</v>
      </c>
      <c r="G4725" t="s">
        <v>14336</v>
      </c>
      <c r="H4725" t="s">
        <v>14337</v>
      </c>
    </row>
    <row r="4726" spans="1:8">
      <c r="A4726" t="s">
        <v>241</v>
      </c>
      <c r="B4726" t="s">
        <v>149</v>
      </c>
      <c r="C4726">
        <v>93</v>
      </c>
      <c r="D4726" t="s">
        <v>14338</v>
      </c>
      <c r="E4726" t="s">
        <v>14339</v>
      </c>
      <c r="F4726" t="s">
        <v>149</v>
      </c>
      <c r="G4726" t="s">
        <v>14340</v>
      </c>
      <c r="H4726" t="s">
        <v>14341</v>
      </c>
    </row>
    <row r="4727" spans="1:8">
      <c r="A4727" t="s">
        <v>240</v>
      </c>
      <c r="B4727" t="s">
        <v>149</v>
      </c>
      <c r="C4727">
        <v>93</v>
      </c>
      <c r="D4727" t="s">
        <v>14342</v>
      </c>
      <c r="E4727" t="s">
        <v>14343</v>
      </c>
      <c r="F4727" t="s">
        <v>149</v>
      </c>
      <c r="H4727" t="s">
        <v>14344</v>
      </c>
    </row>
    <row r="4728" spans="1:8">
      <c r="A4728" t="s">
        <v>240</v>
      </c>
      <c r="B4728" t="s">
        <v>149</v>
      </c>
      <c r="C4728">
        <v>93</v>
      </c>
      <c r="D4728" t="s">
        <v>14345</v>
      </c>
      <c r="E4728" t="s">
        <v>14346</v>
      </c>
      <c r="F4728" t="s">
        <v>149</v>
      </c>
      <c r="G4728" t="s">
        <v>14347</v>
      </c>
      <c r="H4728" t="s">
        <v>14348</v>
      </c>
    </row>
    <row r="4729" spans="1:8">
      <c r="A4729" t="s">
        <v>241</v>
      </c>
      <c r="B4729" t="s">
        <v>149</v>
      </c>
      <c r="C4729">
        <v>93</v>
      </c>
      <c r="D4729" t="s">
        <v>14349</v>
      </c>
      <c r="E4729" t="s">
        <v>14350</v>
      </c>
      <c r="F4729" t="s">
        <v>149</v>
      </c>
      <c r="H4729" t="s">
        <v>14351</v>
      </c>
    </row>
    <row r="4730" spans="1:8">
      <c r="A4730" t="s">
        <v>240</v>
      </c>
      <c r="B4730" t="s">
        <v>149</v>
      </c>
      <c r="C4730">
        <v>93</v>
      </c>
      <c r="D4730" t="s">
        <v>14352</v>
      </c>
      <c r="E4730" t="s">
        <v>14353</v>
      </c>
      <c r="F4730" t="s">
        <v>14354</v>
      </c>
      <c r="G4730" t="s">
        <v>14355</v>
      </c>
      <c r="H4730" t="s">
        <v>14355</v>
      </c>
    </row>
    <row r="4731" spans="1:8">
      <c r="A4731" t="s">
        <v>240</v>
      </c>
      <c r="B4731" t="s">
        <v>149</v>
      </c>
      <c r="C4731">
        <v>93</v>
      </c>
      <c r="D4731" t="s">
        <v>313</v>
      </c>
      <c r="E4731" t="s">
        <v>14356</v>
      </c>
      <c r="F4731" t="s">
        <v>149</v>
      </c>
      <c r="G4731" t="s">
        <v>14357</v>
      </c>
      <c r="H4731" t="s">
        <v>14358</v>
      </c>
    </row>
    <row r="4732" spans="1:8">
      <c r="A4732" t="s">
        <v>240</v>
      </c>
      <c r="B4732" t="s">
        <v>149</v>
      </c>
      <c r="C4732">
        <v>93</v>
      </c>
      <c r="D4732" t="s">
        <v>14359</v>
      </c>
      <c r="E4732" t="s">
        <v>14360</v>
      </c>
      <c r="F4732" t="s">
        <v>149</v>
      </c>
      <c r="G4732" t="s">
        <v>14361</v>
      </c>
      <c r="H4732" t="s">
        <v>14362</v>
      </c>
    </row>
    <row r="4733" spans="1:8">
      <c r="A4733" t="s">
        <v>242</v>
      </c>
      <c r="B4733" t="s">
        <v>149</v>
      </c>
      <c r="C4733">
        <v>93</v>
      </c>
      <c r="D4733" t="s">
        <v>14363</v>
      </c>
      <c r="E4733" t="s">
        <v>14364</v>
      </c>
      <c r="F4733" t="s">
        <v>149</v>
      </c>
      <c r="G4733" t="s">
        <v>14365</v>
      </c>
      <c r="H4733" t="s">
        <v>14366</v>
      </c>
    </row>
    <row r="4734" spans="1:8">
      <c r="A4734" t="s">
        <v>242</v>
      </c>
      <c r="B4734" t="s">
        <v>149</v>
      </c>
      <c r="C4734">
        <v>93</v>
      </c>
      <c r="D4734" t="s">
        <v>14367</v>
      </c>
      <c r="E4734" t="s">
        <v>14368</v>
      </c>
      <c r="F4734" t="s">
        <v>149</v>
      </c>
      <c r="G4734" t="s">
        <v>14369</v>
      </c>
      <c r="H4734" t="s">
        <v>14370</v>
      </c>
    </row>
    <row r="4735" spans="1:8">
      <c r="A4735" t="s">
        <v>242</v>
      </c>
      <c r="B4735" t="s">
        <v>149</v>
      </c>
      <c r="C4735">
        <v>93</v>
      </c>
      <c r="D4735" t="s">
        <v>14371</v>
      </c>
      <c r="E4735" t="s">
        <v>14372</v>
      </c>
      <c r="F4735" t="s">
        <v>149</v>
      </c>
      <c r="G4735" t="s">
        <v>14373</v>
      </c>
      <c r="H4735" t="s">
        <v>14374</v>
      </c>
    </row>
    <row r="4736" spans="1:8">
      <c r="A4736" t="s">
        <v>242</v>
      </c>
      <c r="B4736" t="s">
        <v>149</v>
      </c>
      <c r="C4736">
        <v>93</v>
      </c>
      <c r="D4736" t="s">
        <v>14375</v>
      </c>
      <c r="E4736" t="s">
        <v>14376</v>
      </c>
      <c r="F4736" t="s">
        <v>149</v>
      </c>
      <c r="G4736" t="s">
        <v>14377</v>
      </c>
      <c r="H4736" t="s">
        <v>14378</v>
      </c>
    </row>
    <row r="4737" spans="1:8">
      <c r="A4737" t="s">
        <v>242</v>
      </c>
      <c r="B4737" t="s">
        <v>149</v>
      </c>
      <c r="C4737">
        <v>93</v>
      </c>
      <c r="D4737" t="s">
        <v>14379</v>
      </c>
      <c r="E4737" t="s">
        <v>14380</v>
      </c>
      <c r="F4737" t="s">
        <v>149</v>
      </c>
      <c r="G4737" t="s">
        <v>14381</v>
      </c>
      <c r="H4737" t="s">
        <v>14382</v>
      </c>
    </row>
    <row r="4738" spans="1:8">
      <c r="A4738" t="s">
        <v>238</v>
      </c>
      <c r="B4738" t="s">
        <v>149</v>
      </c>
      <c r="C4738">
        <v>93</v>
      </c>
      <c r="D4738" t="s">
        <v>14383</v>
      </c>
      <c r="E4738" t="s">
        <v>14384</v>
      </c>
      <c r="F4738" t="s">
        <v>149</v>
      </c>
      <c r="G4738" t="s">
        <v>14385</v>
      </c>
      <c r="H4738" t="s">
        <v>14386</v>
      </c>
    </row>
    <row r="4739" spans="1:8">
      <c r="A4739" t="s">
        <v>241</v>
      </c>
      <c r="B4739" t="s">
        <v>149</v>
      </c>
      <c r="C4739">
        <v>93</v>
      </c>
      <c r="D4739" t="s">
        <v>14387</v>
      </c>
      <c r="E4739" t="s">
        <v>14388</v>
      </c>
      <c r="F4739" t="s">
        <v>149</v>
      </c>
      <c r="G4739" t="s">
        <v>14389</v>
      </c>
      <c r="H4739" t="s">
        <v>14390</v>
      </c>
    </row>
    <row r="4740" spans="1:8">
      <c r="A4740" t="s">
        <v>241</v>
      </c>
      <c r="B4740" t="s">
        <v>149</v>
      </c>
      <c r="C4740">
        <v>93</v>
      </c>
      <c r="D4740" t="s">
        <v>14391</v>
      </c>
      <c r="E4740" t="s">
        <v>14392</v>
      </c>
      <c r="F4740" t="s">
        <v>149</v>
      </c>
      <c r="G4740" t="s">
        <v>14393</v>
      </c>
      <c r="H4740" t="s">
        <v>14394</v>
      </c>
    </row>
    <row r="4741" spans="1:8">
      <c r="A4741" t="s">
        <v>238</v>
      </c>
      <c r="B4741" t="s">
        <v>149</v>
      </c>
      <c r="C4741">
        <v>93</v>
      </c>
      <c r="D4741" t="s">
        <v>14395</v>
      </c>
      <c r="E4741" t="s">
        <v>14396</v>
      </c>
      <c r="F4741" t="s">
        <v>149</v>
      </c>
      <c r="G4741" t="s">
        <v>14397</v>
      </c>
      <c r="H4741" t="s">
        <v>14398</v>
      </c>
    </row>
    <row r="4742" spans="1:8">
      <c r="A4742" t="s">
        <v>241</v>
      </c>
      <c r="B4742" t="s">
        <v>169</v>
      </c>
      <c r="C4742">
        <v>94</v>
      </c>
      <c r="D4742" t="s">
        <v>3156</v>
      </c>
      <c r="E4742" t="s">
        <v>3157</v>
      </c>
      <c r="F4742" t="s">
        <v>169</v>
      </c>
      <c r="G4742" t="s">
        <v>3158</v>
      </c>
      <c r="H4742" t="s">
        <v>3159</v>
      </c>
    </row>
    <row r="4743" spans="1:8">
      <c r="A4743" t="s">
        <v>241</v>
      </c>
      <c r="B4743" t="s">
        <v>169</v>
      </c>
      <c r="C4743">
        <v>94</v>
      </c>
      <c r="D4743" t="s">
        <v>3160</v>
      </c>
      <c r="E4743" t="s">
        <v>3161</v>
      </c>
      <c r="H4743" t="s">
        <v>3162</v>
      </c>
    </row>
    <row r="4744" spans="1:8">
      <c r="A4744" t="s">
        <v>241</v>
      </c>
      <c r="B4744" t="s">
        <v>169</v>
      </c>
      <c r="C4744">
        <v>94</v>
      </c>
      <c r="D4744" t="s">
        <v>3163</v>
      </c>
      <c r="E4744" t="s">
        <v>3164</v>
      </c>
      <c r="F4744" t="s">
        <v>169</v>
      </c>
      <c r="H4744" t="s">
        <v>3165</v>
      </c>
    </row>
    <row r="4745" spans="1:8">
      <c r="A4745" t="s">
        <v>241</v>
      </c>
      <c r="B4745" t="s">
        <v>169</v>
      </c>
      <c r="C4745">
        <v>94</v>
      </c>
      <c r="D4745" t="s">
        <v>3166</v>
      </c>
      <c r="E4745" t="s">
        <v>3167</v>
      </c>
      <c r="F4745" t="s">
        <v>169</v>
      </c>
      <c r="H4745" t="s">
        <v>3168</v>
      </c>
    </row>
    <row r="4746" spans="1:8">
      <c r="A4746" t="s">
        <v>241</v>
      </c>
      <c r="B4746" t="s">
        <v>169</v>
      </c>
      <c r="C4746">
        <v>94</v>
      </c>
      <c r="D4746" t="s">
        <v>3169</v>
      </c>
      <c r="E4746" t="s">
        <v>3170</v>
      </c>
      <c r="F4746" t="s">
        <v>169</v>
      </c>
    </row>
    <row r="4747" spans="1:8">
      <c r="A4747" t="s">
        <v>238</v>
      </c>
      <c r="B4747" t="s">
        <v>169</v>
      </c>
      <c r="C4747">
        <v>94</v>
      </c>
      <c r="D4747" t="s">
        <v>3171</v>
      </c>
      <c r="E4747" t="s">
        <v>3172</v>
      </c>
      <c r="F4747" t="s">
        <v>169</v>
      </c>
      <c r="G4747" t="s">
        <v>3173</v>
      </c>
      <c r="H4747" t="s">
        <v>3174</v>
      </c>
    </row>
    <row r="4748" spans="1:8">
      <c r="A4748" t="s">
        <v>241</v>
      </c>
      <c r="B4748" t="s">
        <v>169</v>
      </c>
      <c r="C4748">
        <v>94</v>
      </c>
      <c r="D4748" t="s">
        <v>3175</v>
      </c>
      <c r="E4748" t="s">
        <v>3164</v>
      </c>
      <c r="F4748" t="s">
        <v>169</v>
      </c>
    </row>
    <row r="4749" spans="1:8">
      <c r="A4749" t="s">
        <v>241</v>
      </c>
      <c r="B4749" t="s">
        <v>213</v>
      </c>
      <c r="C4749">
        <v>94</v>
      </c>
      <c r="D4749" t="s">
        <v>10480</v>
      </c>
      <c r="E4749" t="s">
        <v>10481</v>
      </c>
      <c r="H4749" t="s">
        <v>10482</v>
      </c>
    </row>
    <row r="4750" spans="1:8">
      <c r="A4750" t="s">
        <v>240</v>
      </c>
      <c r="B4750" t="s">
        <v>213</v>
      </c>
      <c r="C4750">
        <v>94</v>
      </c>
      <c r="D4750" t="s">
        <v>10483</v>
      </c>
      <c r="E4750" t="s">
        <v>10484</v>
      </c>
      <c r="F4750" t="s">
        <v>10485</v>
      </c>
      <c r="G4750" t="s">
        <v>10486</v>
      </c>
      <c r="H4750" t="s">
        <v>10487</v>
      </c>
    </row>
    <row r="4751" spans="1:8">
      <c r="A4751" t="s">
        <v>243</v>
      </c>
      <c r="B4751" t="s">
        <v>213</v>
      </c>
      <c r="C4751">
        <v>94</v>
      </c>
      <c r="D4751" t="s">
        <v>10488</v>
      </c>
      <c r="E4751" t="s">
        <v>10489</v>
      </c>
      <c r="F4751" t="s">
        <v>213</v>
      </c>
      <c r="G4751" t="s">
        <v>10490</v>
      </c>
      <c r="H4751" t="s">
        <v>10491</v>
      </c>
    </row>
    <row r="4752" spans="1:8">
      <c r="A4752" t="s">
        <v>238</v>
      </c>
      <c r="B4752" t="s">
        <v>213</v>
      </c>
      <c r="C4752">
        <v>94</v>
      </c>
      <c r="D4752" t="s">
        <v>10492</v>
      </c>
      <c r="E4752" t="s">
        <v>10493</v>
      </c>
      <c r="F4752" t="s">
        <v>213</v>
      </c>
      <c r="G4752" t="s">
        <v>10494</v>
      </c>
      <c r="H4752" t="s">
        <v>10495</v>
      </c>
    </row>
    <row r="4753" spans="1:8">
      <c r="A4753" t="s">
        <v>241</v>
      </c>
      <c r="B4753" t="s">
        <v>213</v>
      </c>
      <c r="C4753">
        <v>94</v>
      </c>
      <c r="D4753" t="s">
        <v>10496</v>
      </c>
      <c r="E4753" t="s">
        <v>10497</v>
      </c>
      <c r="F4753" t="s">
        <v>213</v>
      </c>
      <c r="H4753" t="s">
        <v>10498</v>
      </c>
    </row>
    <row r="4754" spans="1:8">
      <c r="A4754" t="s">
        <v>241</v>
      </c>
      <c r="B4754" t="s">
        <v>213</v>
      </c>
      <c r="C4754">
        <v>94</v>
      </c>
      <c r="D4754" t="s">
        <v>10499</v>
      </c>
      <c r="E4754" t="s">
        <v>10500</v>
      </c>
      <c r="G4754" t="s">
        <v>10501</v>
      </c>
      <c r="H4754" t="s">
        <v>10502</v>
      </c>
    </row>
    <row r="4755" spans="1:8">
      <c r="A4755" t="s">
        <v>239</v>
      </c>
      <c r="B4755" t="s">
        <v>213</v>
      </c>
      <c r="C4755">
        <v>94</v>
      </c>
      <c r="D4755" t="s">
        <v>10503</v>
      </c>
      <c r="E4755" t="s">
        <v>10504</v>
      </c>
      <c r="F4755" t="s">
        <v>10505</v>
      </c>
      <c r="H4755" t="s">
        <v>10506</v>
      </c>
    </row>
    <row r="4756" spans="1:8">
      <c r="A4756" t="s">
        <v>243</v>
      </c>
      <c r="B4756" t="s">
        <v>213</v>
      </c>
      <c r="C4756">
        <v>94</v>
      </c>
      <c r="D4756" t="s">
        <v>10507</v>
      </c>
      <c r="E4756" t="s">
        <v>10508</v>
      </c>
      <c r="F4756" t="s">
        <v>213</v>
      </c>
      <c r="H4756" t="s">
        <v>10509</v>
      </c>
    </row>
    <row r="4757" spans="1:8">
      <c r="A4757" t="s">
        <v>241</v>
      </c>
      <c r="B4757" t="s">
        <v>213</v>
      </c>
      <c r="C4757">
        <v>94</v>
      </c>
      <c r="D4757" t="s">
        <v>10510</v>
      </c>
      <c r="E4757" t="s">
        <v>10511</v>
      </c>
      <c r="F4757" t="s">
        <v>213</v>
      </c>
      <c r="H4757" t="s">
        <v>10512</v>
      </c>
    </row>
    <row r="4758" spans="1:8">
      <c r="A4758" t="s">
        <v>243</v>
      </c>
      <c r="B4758" t="s">
        <v>213</v>
      </c>
      <c r="C4758">
        <v>94</v>
      </c>
      <c r="D4758" t="s">
        <v>10513</v>
      </c>
      <c r="E4758" t="s">
        <v>10514</v>
      </c>
      <c r="F4758" t="s">
        <v>213</v>
      </c>
      <c r="H4758" t="s">
        <v>10515</v>
      </c>
    </row>
    <row r="4759" spans="1:8">
      <c r="A4759" t="s">
        <v>241</v>
      </c>
      <c r="B4759" t="s">
        <v>213</v>
      </c>
      <c r="C4759">
        <v>94</v>
      </c>
      <c r="D4759" t="s">
        <v>10516</v>
      </c>
      <c r="E4759" t="s">
        <v>10517</v>
      </c>
      <c r="H4759" t="s">
        <v>10518</v>
      </c>
    </row>
    <row r="4760" spans="1:8">
      <c r="A4760" t="s">
        <v>241</v>
      </c>
      <c r="B4760" t="s">
        <v>200</v>
      </c>
      <c r="C4760">
        <v>95</v>
      </c>
      <c r="D4760" t="s">
        <v>5211</v>
      </c>
      <c r="E4760" t="s">
        <v>5212</v>
      </c>
      <c r="F4760" t="s">
        <v>200</v>
      </c>
      <c r="G4760" t="s">
        <v>5213</v>
      </c>
      <c r="H4760" t="s">
        <v>5214</v>
      </c>
    </row>
    <row r="4761" spans="1:8">
      <c r="A4761" t="s">
        <v>241</v>
      </c>
      <c r="B4761" t="s">
        <v>200</v>
      </c>
      <c r="C4761">
        <v>95</v>
      </c>
      <c r="D4761" t="s">
        <v>5215</v>
      </c>
      <c r="E4761" t="s">
        <v>5216</v>
      </c>
      <c r="F4761" t="s">
        <v>200</v>
      </c>
    </row>
    <row r="4762" spans="1:8">
      <c r="A4762" t="s">
        <v>238</v>
      </c>
      <c r="B4762" t="s">
        <v>200</v>
      </c>
      <c r="C4762">
        <v>95</v>
      </c>
      <c r="D4762" t="s">
        <v>5217</v>
      </c>
      <c r="E4762" t="s">
        <v>5218</v>
      </c>
      <c r="F4762" t="s">
        <v>200</v>
      </c>
      <c r="G4762" t="s">
        <v>5219</v>
      </c>
      <c r="H4762" t="s">
        <v>5220</v>
      </c>
    </row>
    <row r="4763" spans="1:8">
      <c r="A4763" t="s">
        <v>241</v>
      </c>
      <c r="B4763" t="s">
        <v>200</v>
      </c>
      <c r="C4763">
        <v>95</v>
      </c>
      <c r="D4763" t="s">
        <v>5221</v>
      </c>
      <c r="E4763" t="s">
        <v>5222</v>
      </c>
      <c r="G4763" t="s">
        <v>5223</v>
      </c>
      <c r="H4763" t="s">
        <v>5224</v>
      </c>
    </row>
    <row r="4764" spans="1:8">
      <c r="A4764" t="s">
        <v>241</v>
      </c>
      <c r="B4764" t="s">
        <v>200</v>
      </c>
      <c r="C4764">
        <v>95</v>
      </c>
      <c r="D4764" t="s">
        <v>5225</v>
      </c>
      <c r="E4764" t="s">
        <v>5226</v>
      </c>
    </row>
    <row r="4765" spans="1:8">
      <c r="A4765" t="s">
        <v>242</v>
      </c>
      <c r="B4765" t="s">
        <v>200</v>
      </c>
      <c r="C4765">
        <v>95</v>
      </c>
      <c r="D4765" t="s">
        <v>5227</v>
      </c>
      <c r="E4765" t="s">
        <v>5228</v>
      </c>
      <c r="G4765" t="s">
        <v>5229</v>
      </c>
      <c r="H4765" t="s">
        <v>5230</v>
      </c>
    </row>
    <row r="4766" spans="1:8">
      <c r="A4766" t="s">
        <v>244</v>
      </c>
      <c r="B4766" t="s">
        <v>200</v>
      </c>
      <c r="C4766">
        <v>95</v>
      </c>
      <c r="D4766" t="s">
        <v>5231</v>
      </c>
      <c r="F4766" t="s">
        <v>5232</v>
      </c>
    </row>
    <row r="4767" spans="1:8">
      <c r="A4767" t="s">
        <v>238</v>
      </c>
      <c r="B4767" t="s">
        <v>50</v>
      </c>
      <c r="C4767">
        <v>95</v>
      </c>
      <c r="D4767" t="s">
        <v>15722</v>
      </c>
      <c r="E4767" t="s">
        <v>15723</v>
      </c>
      <c r="F4767" t="s">
        <v>50</v>
      </c>
      <c r="G4767" t="s">
        <v>15724</v>
      </c>
      <c r="H4767" t="s">
        <v>15725</v>
      </c>
    </row>
    <row r="4768" spans="1:8">
      <c r="A4768" t="s">
        <v>242</v>
      </c>
      <c r="B4768" t="s">
        <v>50</v>
      </c>
      <c r="C4768">
        <v>95</v>
      </c>
      <c r="D4768" t="s">
        <v>15726</v>
      </c>
      <c r="E4768" t="s">
        <v>15727</v>
      </c>
      <c r="F4768" t="s">
        <v>50</v>
      </c>
      <c r="H4768" t="s">
        <v>15728</v>
      </c>
    </row>
    <row r="4769" spans="1:8">
      <c r="A4769" t="s">
        <v>244</v>
      </c>
      <c r="B4769" t="s">
        <v>50</v>
      </c>
      <c r="C4769">
        <v>95</v>
      </c>
      <c r="D4769" t="s">
        <v>1282</v>
      </c>
    </row>
    <row r="4770" spans="1:8">
      <c r="A4770" t="s">
        <v>241</v>
      </c>
      <c r="B4770" t="s">
        <v>50</v>
      </c>
      <c r="C4770">
        <v>95</v>
      </c>
      <c r="D4770" t="s">
        <v>15729</v>
      </c>
      <c r="E4770" t="s">
        <v>15730</v>
      </c>
      <c r="F4770" t="s">
        <v>15731</v>
      </c>
      <c r="G4770" t="s">
        <v>15732</v>
      </c>
      <c r="H4770" t="s">
        <v>15733</v>
      </c>
    </row>
    <row r="4771" spans="1:8">
      <c r="A4771" t="s">
        <v>242</v>
      </c>
      <c r="B4771" t="s">
        <v>50</v>
      </c>
      <c r="C4771">
        <v>95</v>
      </c>
      <c r="D4771" t="s">
        <v>15734</v>
      </c>
      <c r="E4771" t="s">
        <v>15735</v>
      </c>
      <c r="F4771" t="s">
        <v>50</v>
      </c>
      <c r="H4771" t="s">
        <v>15736</v>
      </c>
    </row>
    <row r="4772" spans="1:8">
      <c r="A4772" t="s">
        <v>242</v>
      </c>
      <c r="B4772" t="s">
        <v>50</v>
      </c>
      <c r="C4772">
        <v>95</v>
      </c>
      <c r="D4772" t="s">
        <v>15737</v>
      </c>
      <c r="E4772" t="s">
        <v>15738</v>
      </c>
      <c r="F4772" t="s">
        <v>50</v>
      </c>
      <c r="G4772" t="s">
        <v>15739</v>
      </c>
      <c r="H4772" t="s">
        <v>15740</v>
      </c>
    </row>
    <row r="4773" spans="1:8">
      <c r="A4773" t="s">
        <v>240</v>
      </c>
      <c r="B4773" t="s">
        <v>50</v>
      </c>
      <c r="C4773">
        <v>95</v>
      </c>
      <c r="D4773" t="s">
        <v>15741</v>
      </c>
      <c r="E4773" t="s">
        <v>15742</v>
      </c>
      <c r="F4773" t="s">
        <v>50</v>
      </c>
      <c r="G4773" t="s">
        <v>15743</v>
      </c>
      <c r="H4773" t="s">
        <v>15744</v>
      </c>
    </row>
    <row r="4774" spans="1:8">
      <c r="A4774" t="s">
        <v>242</v>
      </c>
      <c r="B4774" t="s">
        <v>50</v>
      </c>
      <c r="C4774">
        <v>95</v>
      </c>
      <c r="D4774" t="s">
        <v>15745</v>
      </c>
      <c r="H4774" t="s">
        <v>15746</v>
      </c>
    </row>
    <row r="4775" spans="1:8">
      <c r="A4775" t="s">
        <v>241</v>
      </c>
      <c r="B4775" t="s">
        <v>50</v>
      </c>
      <c r="C4775">
        <v>95</v>
      </c>
      <c r="D4775" t="s">
        <v>15747</v>
      </c>
      <c r="E4775" t="s">
        <v>15748</v>
      </c>
      <c r="H4775" t="s">
        <v>15749</v>
      </c>
    </row>
    <row r="4776" spans="1:8">
      <c r="A4776" t="s">
        <v>241</v>
      </c>
      <c r="B4776" t="s">
        <v>50</v>
      </c>
      <c r="C4776">
        <v>95</v>
      </c>
      <c r="D4776" t="s">
        <v>15750</v>
      </c>
      <c r="E4776" t="s">
        <v>15751</v>
      </c>
    </row>
    <row r="4777" spans="1:8">
      <c r="A4777" t="s">
        <v>241</v>
      </c>
      <c r="B4777" t="s">
        <v>50</v>
      </c>
      <c r="C4777">
        <v>95</v>
      </c>
      <c r="D4777" t="s">
        <v>15752</v>
      </c>
      <c r="E4777" t="s">
        <v>15753</v>
      </c>
      <c r="F4777" t="s">
        <v>15731</v>
      </c>
      <c r="H4777" t="s">
        <v>15754</v>
      </c>
    </row>
    <row r="4778" spans="1:8">
      <c r="A4778" t="s">
        <v>242</v>
      </c>
      <c r="B4778" t="s">
        <v>50</v>
      </c>
      <c r="C4778">
        <v>95</v>
      </c>
      <c r="D4778" t="s">
        <v>15755</v>
      </c>
      <c r="E4778" t="s">
        <v>15756</v>
      </c>
      <c r="F4778" t="s">
        <v>10270</v>
      </c>
      <c r="H4778" t="s">
        <v>15757</v>
      </c>
    </row>
    <row r="4779" spans="1:8">
      <c r="A4779" t="s">
        <v>241</v>
      </c>
      <c r="B4779" t="s">
        <v>171</v>
      </c>
      <c r="C4779">
        <v>96</v>
      </c>
      <c r="D4779" t="s">
        <v>3445</v>
      </c>
      <c r="E4779" t="s">
        <v>3446</v>
      </c>
      <c r="F4779" t="s">
        <v>171</v>
      </c>
    </row>
    <row r="4780" spans="1:8">
      <c r="A4780" t="s">
        <v>241</v>
      </c>
      <c r="B4780" t="s">
        <v>171</v>
      </c>
      <c r="C4780">
        <v>96</v>
      </c>
      <c r="D4780" t="s">
        <v>3447</v>
      </c>
      <c r="E4780" t="s">
        <v>3448</v>
      </c>
      <c r="F4780" t="s">
        <v>3449</v>
      </c>
      <c r="G4780" t="s">
        <v>3450</v>
      </c>
      <c r="H4780" t="s">
        <v>3451</v>
      </c>
    </row>
    <row r="4781" spans="1:8">
      <c r="A4781" t="s">
        <v>241</v>
      </c>
      <c r="B4781" t="s">
        <v>171</v>
      </c>
      <c r="C4781">
        <v>96</v>
      </c>
      <c r="D4781" t="s">
        <v>3452</v>
      </c>
      <c r="E4781" t="s">
        <v>3453</v>
      </c>
      <c r="G4781" t="s">
        <v>3454</v>
      </c>
      <c r="H4781" t="s">
        <v>3455</v>
      </c>
    </row>
    <row r="4782" spans="1:8">
      <c r="A4782" t="s">
        <v>241</v>
      </c>
      <c r="B4782" t="s">
        <v>171</v>
      </c>
      <c r="C4782">
        <v>96</v>
      </c>
      <c r="D4782" t="s">
        <v>3456</v>
      </c>
      <c r="E4782" t="s">
        <v>3457</v>
      </c>
      <c r="F4782" t="s">
        <v>171</v>
      </c>
    </row>
    <row r="4783" spans="1:8">
      <c r="A4783" t="s">
        <v>242</v>
      </c>
      <c r="B4783" t="s">
        <v>171</v>
      </c>
      <c r="C4783">
        <v>96</v>
      </c>
      <c r="D4783" t="s">
        <v>3458</v>
      </c>
      <c r="E4783" t="s">
        <v>3459</v>
      </c>
      <c r="F4783" t="s">
        <v>171</v>
      </c>
      <c r="G4783" t="s">
        <v>3460</v>
      </c>
      <c r="H4783" t="s">
        <v>3461</v>
      </c>
    </row>
    <row r="4784" spans="1:8">
      <c r="A4784" t="s">
        <v>242</v>
      </c>
      <c r="B4784" t="s">
        <v>171</v>
      </c>
      <c r="C4784">
        <v>96</v>
      </c>
      <c r="D4784" t="s">
        <v>3462</v>
      </c>
      <c r="E4784" t="s">
        <v>3463</v>
      </c>
      <c r="F4784" t="s">
        <v>171</v>
      </c>
      <c r="H4784" t="s">
        <v>3464</v>
      </c>
    </row>
    <row r="4785" spans="1:8">
      <c r="A4785" t="s">
        <v>242</v>
      </c>
      <c r="B4785" t="s">
        <v>171</v>
      </c>
      <c r="C4785">
        <v>96</v>
      </c>
      <c r="D4785" t="s">
        <v>3465</v>
      </c>
      <c r="E4785" t="s">
        <v>3466</v>
      </c>
      <c r="H4785" t="s">
        <v>3467</v>
      </c>
    </row>
    <row r="4786" spans="1:8">
      <c r="A4786" t="s">
        <v>242</v>
      </c>
      <c r="B4786" t="s">
        <v>171</v>
      </c>
      <c r="C4786">
        <v>96</v>
      </c>
      <c r="D4786" t="s">
        <v>3468</v>
      </c>
      <c r="E4786" t="s">
        <v>3469</v>
      </c>
      <c r="F4786" t="s">
        <v>171</v>
      </c>
      <c r="G4786" t="s">
        <v>3470</v>
      </c>
      <c r="H4786" t="s">
        <v>3471</v>
      </c>
    </row>
    <row r="4787" spans="1:8">
      <c r="A4787" t="s">
        <v>243</v>
      </c>
      <c r="B4787" t="s">
        <v>124</v>
      </c>
      <c r="C4787">
        <v>97</v>
      </c>
      <c r="D4787" t="s">
        <v>6780</v>
      </c>
      <c r="E4787" t="s">
        <v>6781</v>
      </c>
      <c r="F4787" t="s">
        <v>124</v>
      </c>
    </row>
    <row r="4788" spans="1:8">
      <c r="A4788" t="s">
        <v>242</v>
      </c>
      <c r="B4788" t="s">
        <v>124</v>
      </c>
      <c r="C4788">
        <v>97</v>
      </c>
      <c r="D4788" t="s">
        <v>6782</v>
      </c>
      <c r="E4788" t="s">
        <v>6783</v>
      </c>
      <c r="F4788" t="s">
        <v>124</v>
      </c>
      <c r="G4788" t="s">
        <v>6784</v>
      </c>
      <c r="H4788" t="s">
        <v>6785</v>
      </c>
    </row>
    <row r="4789" spans="1:8">
      <c r="A4789" t="s">
        <v>244</v>
      </c>
      <c r="B4789" t="s">
        <v>124</v>
      </c>
      <c r="C4789">
        <v>97</v>
      </c>
      <c r="D4789" t="s">
        <v>6786</v>
      </c>
      <c r="F4789" t="s">
        <v>6787</v>
      </c>
      <c r="H4789" t="s">
        <v>6788</v>
      </c>
    </row>
    <row r="4790" spans="1:8">
      <c r="A4790" t="s">
        <v>242</v>
      </c>
      <c r="B4790" t="s">
        <v>124</v>
      </c>
      <c r="C4790">
        <v>97</v>
      </c>
      <c r="D4790" t="s">
        <v>6789</v>
      </c>
      <c r="E4790" t="s">
        <v>6790</v>
      </c>
      <c r="F4790" t="s">
        <v>124</v>
      </c>
      <c r="G4790" t="s">
        <v>6791</v>
      </c>
      <c r="H4790" t="s">
        <v>6792</v>
      </c>
    </row>
    <row r="4791" spans="1:8">
      <c r="A4791" t="s">
        <v>238</v>
      </c>
      <c r="B4791" t="s">
        <v>130</v>
      </c>
      <c r="C4791">
        <v>97</v>
      </c>
      <c r="D4791" t="s">
        <v>9189</v>
      </c>
      <c r="E4791" t="s">
        <v>9190</v>
      </c>
      <c r="G4791" t="s">
        <v>9191</v>
      </c>
      <c r="H4791" t="s">
        <v>9192</v>
      </c>
    </row>
    <row r="4792" spans="1:8">
      <c r="A4792" t="s">
        <v>241</v>
      </c>
      <c r="B4792" t="s">
        <v>130</v>
      </c>
      <c r="C4792">
        <v>97</v>
      </c>
      <c r="D4792" t="s">
        <v>9193</v>
      </c>
      <c r="E4792" t="s">
        <v>9194</v>
      </c>
      <c r="F4792" t="s">
        <v>130</v>
      </c>
      <c r="G4792" t="s">
        <v>9195</v>
      </c>
      <c r="H4792" t="s">
        <v>9196</v>
      </c>
    </row>
    <row r="4793" spans="1:8">
      <c r="A4793" t="s">
        <v>241</v>
      </c>
      <c r="B4793" t="s">
        <v>130</v>
      </c>
      <c r="C4793">
        <v>97</v>
      </c>
      <c r="D4793" t="s">
        <v>9197</v>
      </c>
      <c r="E4793" t="s">
        <v>9198</v>
      </c>
      <c r="G4793" t="s">
        <v>9199</v>
      </c>
      <c r="H4793" t="s">
        <v>9200</v>
      </c>
    </row>
    <row r="4794" spans="1:8">
      <c r="A4794" t="s">
        <v>239</v>
      </c>
      <c r="B4794" t="s">
        <v>130</v>
      </c>
      <c r="C4794">
        <v>97</v>
      </c>
      <c r="D4794" t="s">
        <v>9201</v>
      </c>
      <c r="E4794" t="s">
        <v>9202</v>
      </c>
      <c r="H4794" t="s">
        <v>9203</v>
      </c>
    </row>
    <row r="4795" spans="1:8">
      <c r="A4795" t="s">
        <v>239</v>
      </c>
      <c r="B4795" t="s">
        <v>130</v>
      </c>
      <c r="C4795">
        <v>97</v>
      </c>
      <c r="D4795" t="s">
        <v>9204</v>
      </c>
      <c r="E4795" t="s">
        <v>9205</v>
      </c>
      <c r="H4795" t="s">
        <v>9206</v>
      </c>
    </row>
    <row r="4796" spans="1:8">
      <c r="A4796" t="s">
        <v>242</v>
      </c>
      <c r="B4796" t="s">
        <v>130</v>
      </c>
      <c r="C4796">
        <v>97</v>
      </c>
      <c r="D4796" t="s">
        <v>9207</v>
      </c>
      <c r="E4796" t="s">
        <v>9208</v>
      </c>
      <c r="H4796" t="s">
        <v>9209</v>
      </c>
    </row>
    <row r="4797" spans="1:8">
      <c r="A4797" t="s">
        <v>239</v>
      </c>
      <c r="B4797" t="s">
        <v>130</v>
      </c>
      <c r="C4797">
        <v>97</v>
      </c>
      <c r="D4797" t="s">
        <v>9210</v>
      </c>
      <c r="E4797" t="s">
        <v>9211</v>
      </c>
      <c r="H4797" t="s">
        <v>9212</v>
      </c>
    </row>
    <row r="4798" spans="1:8">
      <c r="A4798" t="s">
        <v>239</v>
      </c>
      <c r="B4798" t="s">
        <v>130</v>
      </c>
      <c r="C4798">
        <v>97</v>
      </c>
      <c r="D4798" t="s">
        <v>9213</v>
      </c>
      <c r="E4798" t="s">
        <v>9214</v>
      </c>
      <c r="F4798" t="s">
        <v>130</v>
      </c>
      <c r="H4798" t="s">
        <v>9215</v>
      </c>
    </row>
    <row r="4799" spans="1:8">
      <c r="A4799" t="s">
        <v>239</v>
      </c>
      <c r="B4799" t="s">
        <v>130</v>
      </c>
      <c r="C4799">
        <v>97</v>
      </c>
      <c r="D4799" t="s">
        <v>9216</v>
      </c>
      <c r="E4799" t="s">
        <v>9217</v>
      </c>
      <c r="F4799" t="s">
        <v>130</v>
      </c>
      <c r="H4799" t="s">
        <v>9218</v>
      </c>
    </row>
    <row r="4800" spans="1:8">
      <c r="A4800" t="s">
        <v>239</v>
      </c>
      <c r="B4800" t="s">
        <v>130</v>
      </c>
      <c r="C4800">
        <v>97</v>
      </c>
      <c r="D4800" t="s">
        <v>9219</v>
      </c>
      <c r="E4800" t="s">
        <v>9220</v>
      </c>
      <c r="F4800" t="s">
        <v>130</v>
      </c>
      <c r="H4800" t="s">
        <v>9221</v>
      </c>
    </row>
    <row r="4801" spans="1:8">
      <c r="A4801" t="s">
        <v>239</v>
      </c>
      <c r="B4801" t="s">
        <v>130</v>
      </c>
      <c r="C4801">
        <v>97</v>
      </c>
      <c r="D4801" t="s">
        <v>9222</v>
      </c>
      <c r="E4801" t="s">
        <v>9223</v>
      </c>
      <c r="F4801" t="s">
        <v>130</v>
      </c>
      <c r="H4801" t="s">
        <v>9224</v>
      </c>
    </row>
    <row r="4802" spans="1:8">
      <c r="A4802" t="s">
        <v>239</v>
      </c>
      <c r="B4802" t="s">
        <v>130</v>
      </c>
      <c r="C4802">
        <v>97</v>
      </c>
      <c r="D4802" t="s">
        <v>9225</v>
      </c>
      <c r="E4802" t="s">
        <v>9226</v>
      </c>
      <c r="F4802" t="s">
        <v>128</v>
      </c>
      <c r="G4802" t="s">
        <v>9227</v>
      </c>
      <c r="H4802" t="s">
        <v>9228</v>
      </c>
    </row>
    <row r="4803" spans="1:8">
      <c r="A4803" t="s">
        <v>239</v>
      </c>
      <c r="B4803" t="s">
        <v>130</v>
      </c>
      <c r="C4803">
        <v>97</v>
      </c>
      <c r="D4803" t="s">
        <v>9229</v>
      </c>
    </row>
    <row r="4804" spans="1:8">
      <c r="A4804" t="s">
        <v>239</v>
      </c>
      <c r="B4804" t="s">
        <v>130</v>
      </c>
      <c r="C4804">
        <v>97</v>
      </c>
      <c r="D4804" t="s">
        <v>9230</v>
      </c>
      <c r="E4804" t="s">
        <v>9231</v>
      </c>
      <c r="F4804" t="s">
        <v>130</v>
      </c>
      <c r="H4804" t="s">
        <v>9232</v>
      </c>
    </row>
    <row r="4805" spans="1:8">
      <c r="A4805" t="s">
        <v>240</v>
      </c>
      <c r="B4805" t="s">
        <v>130</v>
      </c>
      <c r="C4805">
        <v>97</v>
      </c>
      <c r="D4805" t="s">
        <v>9233</v>
      </c>
      <c r="E4805" t="s">
        <v>9234</v>
      </c>
      <c r="F4805" t="s">
        <v>130</v>
      </c>
      <c r="G4805" t="s">
        <v>9235</v>
      </c>
      <c r="H4805" t="s">
        <v>9236</v>
      </c>
    </row>
    <row r="4806" spans="1:8">
      <c r="A4806" t="s">
        <v>241</v>
      </c>
      <c r="B4806" t="s">
        <v>130</v>
      </c>
      <c r="C4806">
        <v>97</v>
      </c>
      <c r="D4806" t="s">
        <v>9237</v>
      </c>
      <c r="E4806" t="s">
        <v>9238</v>
      </c>
      <c r="H4806" t="s">
        <v>9239</v>
      </c>
    </row>
    <row r="4807" spans="1:8">
      <c r="A4807" t="s">
        <v>241</v>
      </c>
      <c r="B4807" t="s">
        <v>163</v>
      </c>
      <c r="C4807">
        <v>98</v>
      </c>
      <c r="D4807" t="s">
        <v>339</v>
      </c>
      <c r="E4807" t="s">
        <v>340</v>
      </c>
      <c r="F4807" t="s">
        <v>163</v>
      </c>
      <c r="G4807" t="s">
        <v>341</v>
      </c>
      <c r="H4807" t="s">
        <v>342</v>
      </c>
    </row>
    <row r="4808" spans="1:8">
      <c r="A4808" t="s">
        <v>241</v>
      </c>
      <c r="B4808" t="s">
        <v>163</v>
      </c>
      <c r="C4808">
        <v>98</v>
      </c>
      <c r="D4808" t="s">
        <v>343</v>
      </c>
      <c r="E4808" t="s">
        <v>344</v>
      </c>
      <c r="F4808" t="s">
        <v>345</v>
      </c>
      <c r="G4808" t="s">
        <v>346</v>
      </c>
      <c r="H4808" t="s">
        <v>347</v>
      </c>
    </row>
    <row r="4809" spans="1:8">
      <c r="A4809" t="s">
        <v>242</v>
      </c>
      <c r="B4809" t="s">
        <v>163</v>
      </c>
      <c r="C4809">
        <v>98</v>
      </c>
      <c r="D4809" t="s">
        <v>348</v>
      </c>
      <c r="E4809" t="s">
        <v>349</v>
      </c>
      <c r="F4809" t="s">
        <v>350</v>
      </c>
      <c r="G4809" t="s">
        <v>351</v>
      </c>
      <c r="H4809" t="s">
        <v>352</v>
      </c>
    </row>
    <row r="4810" spans="1:8">
      <c r="A4810" t="s">
        <v>245</v>
      </c>
      <c r="B4810" t="s">
        <v>163</v>
      </c>
      <c r="C4810">
        <v>98</v>
      </c>
      <c r="D4810" t="s">
        <v>353</v>
      </c>
      <c r="E4810" t="s">
        <v>354</v>
      </c>
      <c r="F4810" t="s">
        <v>163</v>
      </c>
      <c r="G4810" t="s">
        <v>355</v>
      </c>
      <c r="H4810" t="s">
        <v>356</v>
      </c>
    </row>
    <row r="4811" spans="1:8">
      <c r="A4811" t="s">
        <v>241</v>
      </c>
      <c r="B4811" t="s">
        <v>163</v>
      </c>
      <c r="C4811">
        <v>98</v>
      </c>
      <c r="D4811" t="s">
        <v>357</v>
      </c>
      <c r="E4811" t="s">
        <v>358</v>
      </c>
      <c r="F4811" t="s">
        <v>359</v>
      </c>
      <c r="H4811" t="s">
        <v>360</v>
      </c>
    </row>
    <row r="4812" spans="1:8">
      <c r="A4812" t="s">
        <v>243</v>
      </c>
      <c r="B4812" t="s">
        <v>163</v>
      </c>
      <c r="C4812">
        <v>98</v>
      </c>
      <c r="D4812" t="s">
        <v>361</v>
      </c>
      <c r="E4812" t="s">
        <v>362</v>
      </c>
      <c r="F4812" t="s">
        <v>363</v>
      </c>
    </row>
    <row r="4813" spans="1:8">
      <c r="A4813" t="s">
        <v>241</v>
      </c>
      <c r="B4813" t="s">
        <v>163</v>
      </c>
      <c r="C4813">
        <v>98</v>
      </c>
      <c r="D4813" t="s">
        <v>364</v>
      </c>
      <c r="E4813" t="s">
        <v>365</v>
      </c>
      <c r="F4813" t="s">
        <v>359</v>
      </c>
      <c r="H4813" t="s">
        <v>366</v>
      </c>
    </row>
    <row r="4814" spans="1:8">
      <c r="A4814" t="s">
        <v>238</v>
      </c>
      <c r="B4814" t="s">
        <v>163</v>
      </c>
      <c r="C4814">
        <v>98</v>
      </c>
      <c r="D4814" t="s">
        <v>367</v>
      </c>
      <c r="E4814" t="s">
        <v>368</v>
      </c>
      <c r="F4814" t="s">
        <v>163</v>
      </c>
      <c r="G4814" t="s">
        <v>369</v>
      </c>
      <c r="H4814" t="s">
        <v>370</v>
      </c>
    </row>
    <row r="4815" spans="1:8">
      <c r="A4815" t="s">
        <v>241</v>
      </c>
      <c r="B4815" t="s">
        <v>163</v>
      </c>
      <c r="C4815">
        <v>98</v>
      </c>
      <c r="D4815" t="s">
        <v>371</v>
      </c>
      <c r="E4815" t="s">
        <v>372</v>
      </c>
      <c r="F4815" t="s">
        <v>373</v>
      </c>
      <c r="H4815" t="s">
        <v>374</v>
      </c>
    </row>
    <row r="4816" spans="1:8">
      <c r="A4816" t="s">
        <v>240</v>
      </c>
      <c r="B4816" t="s">
        <v>163</v>
      </c>
      <c r="C4816">
        <v>98</v>
      </c>
      <c r="D4816" t="s">
        <v>375</v>
      </c>
      <c r="E4816" t="s">
        <v>376</v>
      </c>
      <c r="F4816" t="s">
        <v>163</v>
      </c>
      <c r="G4816" t="s">
        <v>377</v>
      </c>
      <c r="H4816" t="s">
        <v>378</v>
      </c>
    </row>
    <row r="4817" spans="1:8">
      <c r="A4817" t="s">
        <v>241</v>
      </c>
      <c r="B4817" t="s">
        <v>163</v>
      </c>
      <c r="C4817">
        <v>98</v>
      </c>
      <c r="D4817" t="s">
        <v>379</v>
      </c>
      <c r="E4817" t="s">
        <v>380</v>
      </c>
      <c r="F4817" t="s">
        <v>163</v>
      </c>
      <c r="H4817" t="s">
        <v>381</v>
      </c>
    </row>
    <row r="4818" spans="1:8">
      <c r="A4818" t="s">
        <v>241</v>
      </c>
      <c r="B4818" t="s">
        <v>163</v>
      </c>
      <c r="C4818">
        <v>98</v>
      </c>
      <c r="D4818" t="s">
        <v>382</v>
      </c>
      <c r="E4818" t="s">
        <v>383</v>
      </c>
      <c r="F4818" t="s">
        <v>163</v>
      </c>
      <c r="G4818" t="s">
        <v>384</v>
      </c>
      <c r="H4818" t="s">
        <v>385</v>
      </c>
    </row>
    <row r="4819" spans="1:8">
      <c r="A4819" t="s">
        <v>241</v>
      </c>
      <c r="B4819" t="s">
        <v>163</v>
      </c>
      <c r="C4819">
        <v>98</v>
      </c>
      <c r="D4819" t="s">
        <v>386</v>
      </c>
      <c r="E4819" t="s">
        <v>387</v>
      </c>
      <c r="F4819" t="s">
        <v>163</v>
      </c>
      <c r="H4819" t="s">
        <v>388</v>
      </c>
    </row>
    <row r="4820" spans="1:8">
      <c r="A4820" t="s">
        <v>241</v>
      </c>
      <c r="B4820" t="s">
        <v>163</v>
      </c>
      <c r="C4820">
        <v>98</v>
      </c>
      <c r="D4820" t="s">
        <v>389</v>
      </c>
      <c r="E4820" t="s">
        <v>390</v>
      </c>
      <c r="F4820" t="s">
        <v>391</v>
      </c>
    </row>
    <row r="4821" spans="1:8">
      <c r="A4821" t="s">
        <v>241</v>
      </c>
      <c r="B4821" t="s">
        <v>163</v>
      </c>
      <c r="C4821">
        <v>98</v>
      </c>
      <c r="D4821" t="s">
        <v>392</v>
      </c>
      <c r="E4821" t="s">
        <v>393</v>
      </c>
      <c r="H4821" t="s">
        <v>394</v>
      </c>
    </row>
    <row r="4822" spans="1:8">
      <c r="A4822" t="s">
        <v>241</v>
      </c>
      <c r="B4822" t="s">
        <v>163</v>
      </c>
      <c r="C4822">
        <v>98</v>
      </c>
      <c r="D4822" t="s">
        <v>395</v>
      </c>
      <c r="E4822" t="s">
        <v>396</v>
      </c>
      <c r="F4822" t="s">
        <v>163</v>
      </c>
      <c r="H4822" t="s">
        <v>397</v>
      </c>
    </row>
    <row r="4823" spans="1:8">
      <c r="A4823" t="s">
        <v>241</v>
      </c>
      <c r="B4823" t="s">
        <v>163</v>
      </c>
      <c r="C4823">
        <v>98</v>
      </c>
      <c r="D4823" t="s">
        <v>398</v>
      </c>
      <c r="E4823" t="s">
        <v>390</v>
      </c>
      <c r="F4823" t="s">
        <v>399</v>
      </c>
    </row>
    <row r="4824" spans="1:8">
      <c r="A4824" t="s">
        <v>242</v>
      </c>
      <c r="B4824" t="s">
        <v>163</v>
      </c>
      <c r="C4824">
        <v>98</v>
      </c>
      <c r="D4824" t="s">
        <v>400</v>
      </c>
      <c r="E4824" t="s">
        <v>401</v>
      </c>
      <c r="F4824" t="s">
        <v>163</v>
      </c>
      <c r="G4824" t="s">
        <v>402</v>
      </c>
      <c r="H4824" t="s">
        <v>403</v>
      </c>
    </row>
    <row r="4825" spans="1:8">
      <c r="A4825" t="s">
        <v>240</v>
      </c>
      <c r="B4825" t="s">
        <v>163</v>
      </c>
      <c r="C4825">
        <v>98</v>
      </c>
      <c r="D4825" t="s">
        <v>404</v>
      </c>
      <c r="E4825" t="s">
        <v>354</v>
      </c>
      <c r="F4825" t="s">
        <v>163</v>
      </c>
      <c r="H4825" t="s">
        <v>405</v>
      </c>
    </row>
    <row r="4826" spans="1:8">
      <c r="A4826" t="s">
        <v>240</v>
      </c>
      <c r="B4826" t="s">
        <v>163</v>
      </c>
      <c r="C4826">
        <v>98</v>
      </c>
      <c r="D4826" t="s">
        <v>406</v>
      </c>
      <c r="E4826" t="s">
        <v>407</v>
      </c>
      <c r="F4826" t="s">
        <v>163</v>
      </c>
      <c r="G4826" t="s">
        <v>408</v>
      </c>
      <c r="H4826" t="s">
        <v>409</v>
      </c>
    </row>
    <row r="4827" spans="1:8">
      <c r="A4827" t="s">
        <v>240</v>
      </c>
      <c r="B4827" t="s">
        <v>163</v>
      </c>
      <c r="C4827">
        <v>98</v>
      </c>
      <c r="D4827" t="s">
        <v>410</v>
      </c>
      <c r="E4827" t="s">
        <v>411</v>
      </c>
      <c r="F4827" t="s">
        <v>163</v>
      </c>
      <c r="G4827" t="s">
        <v>412</v>
      </c>
      <c r="H4827" t="s">
        <v>413</v>
      </c>
    </row>
    <row r="4828" spans="1:8">
      <c r="A4828" t="s">
        <v>240</v>
      </c>
      <c r="B4828" t="s">
        <v>163</v>
      </c>
      <c r="C4828">
        <v>98</v>
      </c>
      <c r="D4828" t="s">
        <v>414</v>
      </c>
      <c r="E4828" t="s">
        <v>415</v>
      </c>
      <c r="F4828" t="s">
        <v>163</v>
      </c>
      <c r="G4828" t="s">
        <v>416</v>
      </c>
      <c r="H4828" t="s">
        <v>417</v>
      </c>
    </row>
    <row r="4829" spans="1:8">
      <c r="A4829" t="s">
        <v>241</v>
      </c>
      <c r="B4829" t="s">
        <v>163</v>
      </c>
      <c r="C4829">
        <v>98</v>
      </c>
      <c r="D4829" t="s">
        <v>418</v>
      </c>
      <c r="E4829" t="s">
        <v>419</v>
      </c>
      <c r="F4829" t="s">
        <v>163</v>
      </c>
    </row>
    <row r="4830" spans="1:8">
      <c r="A4830" t="s">
        <v>241</v>
      </c>
      <c r="B4830" t="s">
        <v>163</v>
      </c>
      <c r="C4830">
        <v>98</v>
      </c>
      <c r="D4830" t="s">
        <v>420</v>
      </c>
      <c r="E4830" t="s">
        <v>421</v>
      </c>
      <c r="F4830" t="s">
        <v>163</v>
      </c>
      <c r="G4830" t="s">
        <v>422</v>
      </c>
      <c r="H4830" t="s">
        <v>423</v>
      </c>
    </row>
    <row r="4831" spans="1:8">
      <c r="A4831" t="s">
        <v>242</v>
      </c>
      <c r="B4831" t="s">
        <v>163</v>
      </c>
      <c r="C4831">
        <v>98</v>
      </c>
      <c r="D4831" t="s">
        <v>424</v>
      </c>
      <c r="E4831" t="s">
        <v>425</v>
      </c>
      <c r="F4831" t="s">
        <v>426</v>
      </c>
    </row>
    <row r="4832" spans="1:8">
      <c r="A4832" t="s">
        <v>242</v>
      </c>
      <c r="B4832" t="s">
        <v>163</v>
      </c>
      <c r="C4832">
        <v>98</v>
      </c>
      <c r="D4832" t="s">
        <v>427</v>
      </c>
      <c r="E4832" t="s">
        <v>428</v>
      </c>
      <c r="F4832" t="s">
        <v>163</v>
      </c>
      <c r="H4832" t="s">
        <v>429</v>
      </c>
    </row>
    <row r="4833" spans="1:8">
      <c r="A4833" t="s">
        <v>242</v>
      </c>
      <c r="B4833" t="s">
        <v>107</v>
      </c>
      <c r="C4833">
        <v>100</v>
      </c>
      <c r="D4833" t="s">
        <v>1338</v>
      </c>
      <c r="E4833" t="s">
        <v>1339</v>
      </c>
      <c r="F4833" t="s">
        <v>107</v>
      </c>
      <c r="G4833" t="s">
        <v>1340</v>
      </c>
      <c r="H4833" t="s">
        <v>1341</v>
      </c>
    </row>
    <row r="4834" spans="1:8">
      <c r="A4834" t="s">
        <v>244</v>
      </c>
      <c r="B4834" t="s">
        <v>107</v>
      </c>
      <c r="C4834">
        <v>100</v>
      </c>
      <c r="D4834" t="s">
        <v>1342</v>
      </c>
      <c r="F4834" t="s">
        <v>1343</v>
      </c>
      <c r="H4834" t="s">
        <v>1344</v>
      </c>
    </row>
    <row r="4835" spans="1:8">
      <c r="A4835" t="s">
        <v>242</v>
      </c>
      <c r="B4835" t="s">
        <v>107</v>
      </c>
      <c r="C4835">
        <v>100</v>
      </c>
      <c r="D4835" t="s">
        <v>1345</v>
      </c>
      <c r="E4835" t="s">
        <v>1346</v>
      </c>
      <c r="G4835" t="s">
        <v>1347</v>
      </c>
      <c r="H4835" t="s">
        <v>1348</v>
      </c>
    </row>
    <row r="4836" spans="1:8">
      <c r="A4836" t="s">
        <v>242</v>
      </c>
      <c r="B4836" t="s">
        <v>107</v>
      </c>
      <c r="C4836">
        <v>100</v>
      </c>
      <c r="D4836" t="s">
        <v>1349</v>
      </c>
      <c r="E4836" t="s">
        <v>1350</v>
      </c>
      <c r="H4836" t="s">
        <v>1351</v>
      </c>
    </row>
    <row r="4837" spans="1:8">
      <c r="A4837" t="s">
        <v>241</v>
      </c>
      <c r="B4837" t="s">
        <v>107</v>
      </c>
      <c r="C4837">
        <v>100</v>
      </c>
      <c r="D4837" t="s">
        <v>1352</v>
      </c>
      <c r="E4837" t="s">
        <v>1353</v>
      </c>
      <c r="F4837" t="s">
        <v>1354</v>
      </c>
      <c r="G4837" t="s">
        <v>1355</v>
      </c>
      <c r="H4837" t="s">
        <v>1356</v>
      </c>
    </row>
    <row r="4838" spans="1:8">
      <c r="A4838" t="s">
        <v>241</v>
      </c>
      <c r="B4838" t="s">
        <v>107</v>
      </c>
      <c r="C4838">
        <v>100</v>
      </c>
      <c r="D4838" t="s">
        <v>1357</v>
      </c>
      <c r="E4838" t="s">
        <v>1358</v>
      </c>
      <c r="F4838" t="s">
        <v>1359</v>
      </c>
      <c r="H4838" t="s">
        <v>1360</v>
      </c>
    </row>
    <row r="4839" spans="1:8">
      <c r="A4839" t="s">
        <v>240</v>
      </c>
      <c r="B4839" t="s">
        <v>107</v>
      </c>
      <c r="C4839">
        <v>100</v>
      </c>
      <c r="D4839" t="s">
        <v>1361</v>
      </c>
      <c r="E4839" t="s">
        <v>1362</v>
      </c>
      <c r="F4839" t="s">
        <v>107</v>
      </c>
      <c r="G4839" t="s">
        <v>1363</v>
      </c>
      <c r="H4839" t="s">
        <v>1364</v>
      </c>
    </row>
    <row r="4840" spans="1:8">
      <c r="A4840" t="s">
        <v>242</v>
      </c>
      <c r="B4840" t="s">
        <v>107</v>
      </c>
      <c r="C4840">
        <v>100</v>
      </c>
      <c r="D4840" t="s">
        <v>1365</v>
      </c>
      <c r="E4840" t="s">
        <v>1366</v>
      </c>
      <c r="F4840" t="s">
        <v>107</v>
      </c>
      <c r="G4840" t="s">
        <v>1367</v>
      </c>
      <c r="H4840" t="s">
        <v>1368</v>
      </c>
    </row>
    <row r="4841" spans="1:8">
      <c r="A4841" t="s">
        <v>242</v>
      </c>
      <c r="B4841" t="s">
        <v>107</v>
      </c>
      <c r="C4841">
        <v>100</v>
      </c>
      <c r="D4841" t="s">
        <v>1369</v>
      </c>
      <c r="E4841" t="s">
        <v>1370</v>
      </c>
      <c r="F4841" t="s">
        <v>107</v>
      </c>
      <c r="G4841" t="s">
        <v>1371</v>
      </c>
      <c r="H4841" t="s">
        <v>1372</v>
      </c>
    </row>
    <row r="4842" spans="1:8">
      <c r="A4842" t="s">
        <v>238</v>
      </c>
      <c r="B4842" t="s">
        <v>107</v>
      </c>
      <c r="C4842">
        <v>100</v>
      </c>
      <c r="D4842" t="s">
        <v>1373</v>
      </c>
      <c r="E4842" t="s">
        <v>1374</v>
      </c>
      <c r="F4842" t="s">
        <v>107</v>
      </c>
      <c r="G4842" t="s">
        <v>1375</v>
      </c>
      <c r="H4842" t="s">
        <v>1376</v>
      </c>
    </row>
    <row r="4843" spans="1:8">
      <c r="A4843" t="s">
        <v>240</v>
      </c>
      <c r="B4843" t="s">
        <v>167</v>
      </c>
      <c r="C4843">
        <v>100</v>
      </c>
      <c r="D4843" t="s">
        <v>1689</v>
      </c>
      <c r="E4843" t="s">
        <v>1690</v>
      </c>
      <c r="F4843" t="s">
        <v>167</v>
      </c>
      <c r="H4843" t="s">
        <v>1691</v>
      </c>
    </row>
    <row r="4844" spans="1:8">
      <c r="A4844" t="s">
        <v>241</v>
      </c>
      <c r="B4844" t="s">
        <v>167</v>
      </c>
      <c r="C4844">
        <v>100</v>
      </c>
      <c r="D4844" t="s">
        <v>1692</v>
      </c>
      <c r="E4844" t="s">
        <v>1693</v>
      </c>
      <c r="F4844" t="s">
        <v>167</v>
      </c>
      <c r="H4844" t="s">
        <v>1694</v>
      </c>
    </row>
    <row r="4845" spans="1:8">
      <c r="A4845" t="s">
        <v>241</v>
      </c>
      <c r="B4845" t="s">
        <v>167</v>
      </c>
      <c r="C4845">
        <v>100</v>
      </c>
      <c r="D4845" t="s">
        <v>1695</v>
      </c>
      <c r="E4845" t="s">
        <v>1696</v>
      </c>
      <c r="F4845" t="s">
        <v>167</v>
      </c>
      <c r="G4845" t="s">
        <v>1697</v>
      </c>
      <c r="H4845" t="s">
        <v>1698</v>
      </c>
    </row>
    <row r="4846" spans="1:8">
      <c r="A4846" t="s">
        <v>241</v>
      </c>
      <c r="B4846" t="s">
        <v>167</v>
      </c>
      <c r="C4846">
        <v>100</v>
      </c>
      <c r="D4846" t="s">
        <v>1699</v>
      </c>
      <c r="E4846" t="s">
        <v>1700</v>
      </c>
      <c r="F4846" t="s">
        <v>167</v>
      </c>
      <c r="H4846" t="s">
        <v>1701</v>
      </c>
    </row>
    <row r="4847" spans="1:8">
      <c r="A4847" t="s">
        <v>241</v>
      </c>
      <c r="B4847" t="s">
        <v>167</v>
      </c>
      <c r="C4847">
        <v>100</v>
      </c>
      <c r="D4847" t="s">
        <v>1702</v>
      </c>
      <c r="E4847" t="s">
        <v>1703</v>
      </c>
      <c r="F4847" t="s">
        <v>167</v>
      </c>
      <c r="G4847" t="s">
        <v>1704</v>
      </c>
      <c r="H4847" t="s">
        <v>1705</v>
      </c>
    </row>
    <row r="4848" spans="1:8">
      <c r="A4848" t="s">
        <v>241</v>
      </c>
      <c r="B4848" t="s">
        <v>167</v>
      </c>
      <c r="C4848">
        <v>100</v>
      </c>
      <c r="D4848" t="s">
        <v>1706</v>
      </c>
      <c r="E4848" t="s">
        <v>1707</v>
      </c>
      <c r="F4848" t="s">
        <v>1708</v>
      </c>
      <c r="G4848" t="s">
        <v>1709</v>
      </c>
      <c r="H4848" t="s">
        <v>1710</v>
      </c>
    </row>
    <row r="4849" spans="1:8">
      <c r="A4849" t="s">
        <v>242</v>
      </c>
      <c r="B4849" t="s">
        <v>167</v>
      </c>
      <c r="C4849">
        <v>100</v>
      </c>
      <c r="D4849" t="s">
        <v>1711</v>
      </c>
      <c r="E4849" t="s">
        <v>1712</v>
      </c>
      <c r="F4849" t="s">
        <v>167</v>
      </c>
      <c r="G4849" t="s">
        <v>1713</v>
      </c>
      <c r="H4849" t="s">
        <v>1714</v>
      </c>
    </row>
    <row r="4850" spans="1:8">
      <c r="A4850" t="s">
        <v>242</v>
      </c>
      <c r="B4850" t="s">
        <v>167</v>
      </c>
      <c r="C4850">
        <v>100</v>
      </c>
      <c r="D4850" t="s">
        <v>1715</v>
      </c>
      <c r="E4850" t="s">
        <v>1716</v>
      </c>
      <c r="F4850" t="s">
        <v>167</v>
      </c>
      <c r="G4850" t="s">
        <v>1717</v>
      </c>
      <c r="H4850" t="s">
        <v>1718</v>
      </c>
    </row>
    <row r="4851" spans="1:8">
      <c r="A4851" t="s">
        <v>240</v>
      </c>
      <c r="B4851" t="s">
        <v>167</v>
      </c>
      <c r="C4851">
        <v>100</v>
      </c>
      <c r="D4851" t="s">
        <v>1719</v>
      </c>
      <c r="E4851" t="s">
        <v>1720</v>
      </c>
      <c r="F4851" t="s">
        <v>167</v>
      </c>
      <c r="G4851" t="s">
        <v>1721</v>
      </c>
      <c r="H4851" t="s">
        <v>1722</v>
      </c>
    </row>
    <row r="4852" spans="1:8">
      <c r="A4852" t="s">
        <v>240</v>
      </c>
      <c r="B4852" t="s">
        <v>167</v>
      </c>
      <c r="C4852">
        <v>100</v>
      </c>
      <c r="D4852" t="s">
        <v>1723</v>
      </c>
      <c r="E4852" t="s">
        <v>1724</v>
      </c>
      <c r="F4852" t="s">
        <v>167</v>
      </c>
      <c r="G4852" t="s">
        <v>1725</v>
      </c>
      <c r="H4852" t="s">
        <v>1726</v>
      </c>
    </row>
    <row r="4853" spans="1:8">
      <c r="A4853" t="s">
        <v>241</v>
      </c>
      <c r="B4853" t="s">
        <v>167</v>
      </c>
      <c r="C4853">
        <v>100</v>
      </c>
      <c r="D4853" t="s">
        <v>1727</v>
      </c>
      <c r="E4853" t="s">
        <v>1728</v>
      </c>
      <c r="F4853" t="s">
        <v>1729</v>
      </c>
      <c r="G4853" t="s">
        <v>1730</v>
      </c>
      <c r="H4853" t="s">
        <v>1731</v>
      </c>
    </row>
    <row r="4854" spans="1:8">
      <c r="A4854" t="s">
        <v>238</v>
      </c>
      <c r="B4854" t="s">
        <v>167</v>
      </c>
      <c r="C4854">
        <v>100</v>
      </c>
      <c r="D4854" t="s">
        <v>1732</v>
      </c>
      <c r="E4854" t="s">
        <v>1733</v>
      </c>
      <c r="F4854" t="s">
        <v>167</v>
      </c>
      <c r="G4854" t="s">
        <v>1734</v>
      </c>
      <c r="H4854" t="s">
        <v>1735</v>
      </c>
    </row>
    <row r="4855" spans="1:8">
      <c r="A4855" t="s">
        <v>243</v>
      </c>
      <c r="B4855" t="s">
        <v>167</v>
      </c>
      <c r="C4855">
        <v>100</v>
      </c>
      <c r="D4855" t="s">
        <v>1736</v>
      </c>
      <c r="E4855" t="s">
        <v>1737</v>
      </c>
      <c r="F4855" t="s">
        <v>1738</v>
      </c>
      <c r="G4855" t="s">
        <v>1739</v>
      </c>
      <c r="H4855" t="s">
        <v>1740</v>
      </c>
    </row>
    <row r="4856" spans="1:8">
      <c r="A4856" t="s">
        <v>241</v>
      </c>
      <c r="B4856" t="s">
        <v>167</v>
      </c>
      <c r="C4856">
        <v>100</v>
      </c>
      <c r="D4856" t="s">
        <v>1741</v>
      </c>
      <c r="E4856" t="s">
        <v>1742</v>
      </c>
    </row>
    <row r="4857" spans="1:8">
      <c r="A4857" t="s">
        <v>241</v>
      </c>
      <c r="B4857" t="s">
        <v>167</v>
      </c>
      <c r="C4857">
        <v>100</v>
      </c>
      <c r="D4857" t="s">
        <v>1743</v>
      </c>
      <c r="E4857" t="s">
        <v>1744</v>
      </c>
      <c r="F4857" t="s">
        <v>1745</v>
      </c>
      <c r="H4857" t="s">
        <v>1746</v>
      </c>
    </row>
    <row r="4858" spans="1:8">
      <c r="A4858" t="s">
        <v>243</v>
      </c>
      <c r="B4858" t="s">
        <v>167</v>
      </c>
      <c r="C4858">
        <v>100</v>
      </c>
      <c r="D4858" t="s">
        <v>1747</v>
      </c>
      <c r="E4858" t="s">
        <v>1748</v>
      </c>
      <c r="F4858" t="s">
        <v>1749</v>
      </c>
      <c r="H4858" t="s">
        <v>1750</v>
      </c>
    </row>
    <row r="4859" spans="1:8">
      <c r="A4859" t="s">
        <v>241</v>
      </c>
      <c r="B4859" t="s">
        <v>167</v>
      </c>
      <c r="C4859">
        <v>100</v>
      </c>
      <c r="D4859" t="s">
        <v>1751</v>
      </c>
      <c r="E4859" t="s">
        <v>1752</v>
      </c>
      <c r="G4859" t="s">
        <v>1753</v>
      </c>
      <c r="H4859" t="s">
        <v>1754</v>
      </c>
    </row>
    <row r="4860" spans="1:8">
      <c r="A4860" t="s">
        <v>241</v>
      </c>
      <c r="B4860" t="s">
        <v>167</v>
      </c>
      <c r="C4860">
        <v>100</v>
      </c>
      <c r="D4860" t="s">
        <v>1755</v>
      </c>
      <c r="E4860" t="s">
        <v>1756</v>
      </c>
      <c r="F4860" t="s">
        <v>167</v>
      </c>
      <c r="H4860" t="s">
        <v>1757</v>
      </c>
    </row>
    <row r="4861" spans="1:8">
      <c r="A4861" t="s">
        <v>243</v>
      </c>
      <c r="B4861" t="s">
        <v>167</v>
      </c>
      <c r="C4861">
        <v>100</v>
      </c>
      <c r="D4861" t="s">
        <v>1719</v>
      </c>
      <c r="E4861" t="s">
        <v>1720</v>
      </c>
      <c r="H4861" t="s">
        <v>1758</v>
      </c>
    </row>
    <row r="4862" spans="1:8">
      <c r="A4862" t="s">
        <v>240</v>
      </c>
      <c r="B4862" t="s">
        <v>167</v>
      </c>
      <c r="C4862">
        <v>100</v>
      </c>
      <c r="D4862" t="s">
        <v>1759</v>
      </c>
      <c r="E4862" t="s">
        <v>1760</v>
      </c>
      <c r="F4862" t="s">
        <v>167</v>
      </c>
      <c r="G4862" t="s">
        <v>1761</v>
      </c>
      <c r="H4862" t="s">
        <v>1762</v>
      </c>
    </row>
    <row r="4863" spans="1:8">
      <c r="A4863" t="s">
        <v>241</v>
      </c>
      <c r="B4863" t="s">
        <v>167</v>
      </c>
      <c r="C4863">
        <v>100</v>
      </c>
      <c r="D4863" t="s">
        <v>1763</v>
      </c>
      <c r="E4863" t="s">
        <v>1764</v>
      </c>
      <c r="F4863" t="s">
        <v>167</v>
      </c>
      <c r="H4863" t="s">
        <v>1765</v>
      </c>
    </row>
    <row r="4864" spans="1:8">
      <c r="A4864" t="s">
        <v>241</v>
      </c>
      <c r="B4864" t="s">
        <v>167</v>
      </c>
      <c r="C4864">
        <v>100</v>
      </c>
      <c r="D4864" t="s">
        <v>1766</v>
      </c>
      <c r="E4864" t="s">
        <v>1767</v>
      </c>
      <c r="F4864" t="s">
        <v>1768</v>
      </c>
      <c r="H4864" t="s">
        <v>1769</v>
      </c>
    </row>
    <row r="4865" spans="1:8">
      <c r="A4865" t="s">
        <v>241</v>
      </c>
      <c r="B4865" t="s">
        <v>167</v>
      </c>
      <c r="C4865">
        <v>100</v>
      </c>
      <c r="D4865" t="s">
        <v>1770</v>
      </c>
      <c r="E4865" t="s">
        <v>1771</v>
      </c>
      <c r="F4865" t="s">
        <v>167</v>
      </c>
      <c r="G4865" t="s">
        <v>1772</v>
      </c>
      <c r="H4865" t="s">
        <v>1773</v>
      </c>
    </row>
    <row r="4866" spans="1:8">
      <c r="A4866" t="s">
        <v>239</v>
      </c>
      <c r="B4866" t="s">
        <v>167</v>
      </c>
      <c r="C4866">
        <v>100</v>
      </c>
      <c r="D4866" t="s">
        <v>1774</v>
      </c>
      <c r="E4866" t="s">
        <v>1775</v>
      </c>
      <c r="F4866" t="s">
        <v>1776</v>
      </c>
      <c r="G4866" t="s">
        <v>1777</v>
      </c>
      <c r="H4866" t="s">
        <v>1778</v>
      </c>
    </row>
    <row r="4867" spans="1:8">
      <c r="A4867" t="s">
        <v>241</v>
      </c>
      <c r="B4867" t="s">
        <v>167</v>
      </c>
      <c r="C4867">
        <v>100</v>
      </c>
      <c r="D4867" t="s">
        <v>1779</v>
      </c>
      <c r="E4867" t="s">
        <v>1780</v>
      </c>
      <c r="F4867" t="s">
        <v>167</v>
      </c>
      <c r="G4867" t="s">
        <v>1781</v>
      </c>
      <c r="H4867" t="s">
        <v>1782</v>
      </c>
    </row>
    <row r="4868" spans="1:8">
      <c r="A4868" t="s">
        <v>241</v>
      </c>
      <c r="B4868" t="s">
        <v>167</v>
      </c>
      <c r="C4868">
        <v>100</v>
      </c>
      <c r="D4868" t="s">
        <v>1783</v>
      </c>
      <c r="E4868" t="s">
        <v>1784</v>
      </c>
      <c r="F4868" t="s">
        <v>167</v>
      </c>
      <c r="G4868" t="s">
        <v>1785</v>
      </c>
      <c r="H4868" t="s">
        <v>1786</v>
      </c>
    </row>
    <row r="4869" spans="1:8">
      <c r="A4869" t="s">
        <v>241</v>
      </c>
      <c r="B4869" t="s">
        <v>167</v>
      </c>
      <c r="C4869">
        <v>100</v>
      </c>
      <c r="D4869" t="s">
        <v>1787</v>
      </c>
      <c r="E4869" t="s">
        <v>1788</v>
      </c>
      <c r="F4869" t="s">
        <v>167</v>
      </c>
      <c r="H4869" t="s">
        <v>1789</v>
      </c>
    </row>
    <row r="4870" spans="1:8">
      <c r="A4870" t="s">
        <v>246</v>
      </c>
      <c r="B4870" t="s">
        <v>167</v>
      </c>
      <c r="C4870">
        <v>100</v>
      </c>
      <c r="D4870" t="s">
        <v>1790</v>
      </c>
      <c r="E4870" t="s">
        <v>1791</v>
      </c>
      <c r="H4870" t="s">
        <v>1792</v>
      </c>
    </row>
    <row r="4871" spans="1:8">
      <c r="A4871" t="s">
        <v>241</v>
      </c>
      <c r="B4871" t="s">
        <v>167</v>
      </c>
      <c r="C4871">
        <v>100</v>
      </c>
      <c r="D4871" t="s">
        <v>1793</v>
      </c>
      <c r="E4871" t="s">
        <v>1794</v>
      </c>
      <c r="F4871" t="s">
        <v>1795</v>
      </c>
      <c r="G4871" t="s">
        <v>1796</v>
      </c>
      <c r="H4871" t="s">
        <v>1797</v>
      </c>
    </row>
    <row r="4872" spans="1:8">
      <c r="A4872" t="s">
        <v>246</v>
      </c>
      <c r="B4872" t="s">
        <v>167</v>
      </c>
      <c r="C4872">
        <v>100</v>
      </c>
      <c r="D4872" t="s">
        <v>1798</v>
      </c>
      <c r="E4872" t="s">
        <v>1799</v>
      </c>
      <c r="F4872" t="s">
        <v>1800</v>
      </c>
      <c r="H4872" t="s">
        <v>1792</v>
      </c>
    </row>
    <row r="4873" spans="1:8">
      <c r="A4873" t="s">
        <v>240</v>
      </c>
      <c r="B4873" t="s">
        <v>167</v>
      </c>
      <c r="C4873">
        <v>100</v>
      </c>
      <c r="D4873" t="s">
        <v>1801</v>
      </c>
      <c r="E4873" t="s">
        <v>425</v>
      </c>
      <c r="F4873" t="s">
        <v>1802</v>
      </c>
      <c r="G4873" t="s">
        <v>1803</v>
      </c>
      <c r="H4873" t="s">
        <v>1804</v>
      </c>
    </row>
    <row r="4874" spans="1:8">
      <c r="A4874" t="s">
        <v>241</v>
      </c>
      <c r="B4874" t="s">
        <v>167</v>
      </c>
      <c r="C4874">
        <v>100</v>
      </c>
      <c r="D4874" t="s">
        <v>1805</v>
      </c>
      <c r="E4874" t="s">
        <v>1806</v>
      </c>
      <c r="F4874" t="s">
        <v>167</v>
      </c>
    </row>
    <row r="4875" spans="1:8">
      <c r="A4875" t="s">
        <v>242</v>
      </c>
      <c r="B4875" t="s">
        <v>167</v>
      </c>
      <c r="C4875">
        <v>100</v>
      </c>
      <c r="D4875" t="s">
        <v>1807</v>
      </c>
      <c r="E4875" t="s">
        <v>1808</v>
      </c>
      <c r="F4875" t="s">
        <v>167</v>
      </c>
      <c r="H4875" t="s">
        <v>1809</v>
      </c>
    </row>
    <row r="4876" spans="1:8">
      <c r="A4876" t="s">
        <v>241</v>
      </c>
      <c r="B4876" t="s">
        <v>167</v>
      </c>
      <c r="C4876">
        <v>100</v>
      </c>
      <c r="D4876" t="s">
        <v>1810</v>
      </c>
      <c r="E4876" t="s">
        <v>1811</v>
      </c>
      <c r="F4876" t="s">
        <v>167</v>
      </c>
      <c r="G4876" t="s">
        <v>1812</v>
      </c>
      <c r="H4876" t="s">
        <v>1813</v>
      </c>
    </row>
    <row r="4877" spans="1:8">
      <c r="A4877" t="s">
        <v>241</v>
      </c>
      <c r="B4877" t="s">
        <v>167</v>
      </c>
      <c r="C4877">
        <v>100</v>
      </c>
      <c r="D4877" t="s">
        <v>1814</v>
      </c>
      <c r="E4877" t="s">
        <v>1815</v>
      </c>
      <c r="F4877" t="s">
        <v>167</v>
      </c>
      <c r="G4877" t="s">
        <v>1816</v>
      </c>
      <c r="H4877" t="s">
        <v>1817</v>
      </c>
    </row>
    <row r="4878" spans="1:8">
      <c r="A4878" t="s">
        <v>242</v>
      </c>
      <c r="B4878" t="s">
        <v>167</v>
      </c>
      <c r="C4878">
        <v>100</v>
      </c>
      <c r="D4878" t="s">
        <v>1388</v>
      </c>
      <c r="E4878" t="s">
        <v>1818</v>
      </c>
      <c r="F4878" t="s">
        <v>167</v>
      </c>
      <c r="G4878" t="s">
        <v>1819</v>
      </c>
      <c r="H4878" t="s">
        <v>1820</v>
      </c>
    </row>
    <row r="4879" spans="1:8">
      <c r="A4879" t="s">
        <v>238</v>
      </c>
      <c r="B4879" t="s">
        <v>167</v>
      </c>
      <c r="C4879">
        <v>100</v>
      </c>
      <c r="D4879" t="s">
        <v>1821</v>
      </c>
      <c r="E4879" t="s">
        <v>1822</v>
      </c>
      <c r="F4879" t="s">
        <v>1823</v>
      </c>
      <c r="G4879" t="s">
        <v>1824</v>
      </c>
      <c r="H4879" t="s">
        <v>1825</v>
      </c>
    </row>
    <row r="4880" spans="1:8">
      <c r="A4880" t="s">
        <v>241</v>
      </c>
      <c r="B4880" t="s">
        <v>167</v>
      </c>
      <c r="C4880">
        <v>100</v>
      </c>
      <c r="D4880" t="s">
        <v>1826</v>
      </c>
      <c r="E4880" t="s">
        <v>1827</v>
      </c>
      <c r="F4880" t="s">
        <v>167</v>
      </c>
      <c r="G4880" t="s">
        <v>1828</v>
      </c>
      <c r="H4880" t="s">
        <v>1829</v>
      </c>
    </row>
    <row r="4881" spans="1:8">
      <c r="A4881" t="s">
        <v>241</v>
      </c>
      <c r="B4881" t="s">
        <v>167</v>
      </c>
      <c r="C4881">
        <v>100</v>
      </c>
      <c r="D4881" t="s">
        <v>1830</v>
      </c>
      <c r="E4881" t="s">
        <v>1831</v>
      </c>
      <c r="F4881" t="s">
        <v>167</v>
      </c>
      <c r="G4881" t="s">
        <v>1832</v>
      </c>
      <c r="H4881" t="s">
        <v>1833</v>
      </c>
    </row>
    <row r="4882" spans="1:8">
      <c r="A4882" t="s">
        <v>241</v>
      </c>
      <c r="B4882" t="s">
        <v>167</v>
      </c>
      <c r="C4882">
        <v>100</v>
      </c>
      <c r="D4882" t="s">
        <v>1834</v>
      </c>
      <c r="E4882" t="s">
        <v>1835</v>
      </c>
      <c r="F4882" t="s">
        <v>167</v>
      </c>
      <c r="G4882" t="s">
        <v>1836</v>
      </c>
      <c r="H4882" t="s">
        <v>1836</v>
      </c>
    </row>
    <row r="4883" spans="1:8">
      <c r="A4883" t="s">
        <v>243</v>
      </c>
      <c r="B4883" t="s">
        <v>167</v>
      </c>
      <c r="C4883">
        <v>100</v>
      </c>
      <c r="D4883" t="s">
        <v>1837</v>
      </c>
      <c r="E4883" t="s">
        <v>1838</v>
      </c>
      <c r="F4883" t="s">
        <v>167</v>
      </c>
      <c r="H4883" t="s">
        <v>1839</v>
      </c>
    </row>
    <row r="4884" spans="1:8">
      <c r="A4884" t="s">
        <v>238</v>
      </c>
      <c r="B4884" t="s">
        <v>167</v>
      </c>
      <c r="C4884">
        <v>100</v>
      </c>
      <c r="D4884" t="s">
        <v>1840</v>
      </c>
      <c r="E4884" t="s">
        <v>1841</v>
      </c>
      <c r="F4884" t="s">
        <v>167</v>
      </c>
      <c r="G4884" t="s">
        <v>1842</v>
      </c>
      <c r="H4884" t="s">
        <v>1843</v>
      </c>
    </row>
    <row r="4885" spans="1:8">
      <c r="A4885" t="s">
        <v>242</v>
      </c>
      <c r="B4885" t="s">
        <v>167</v>
      </c>
      <c r="C4885">
        <v>100</v>
      </c>
      <c r="D4885" t="s">
        <v>1844</v>
      </c>
      <c r="E4885" t="s">
        <v>1845</v>
      </c>
      <c r="F4885" t="s">
        <v>1846</v>
      </c>
      <c r="G4885" t="s">
        <v>1847</v>
      </c>
      <c r="H4885" t="s">
        <v>1848</v>
      </c>
    </row>
    <row r="4886" spans="1:8">
      <c r="A4886" t="s">
        <v>241</v>
      </c>
      <c r="B4886" t="s">
        <v>167</v>
      </c>
      <c r="C4886">
        <v>100</v>
      </c>
      <c r="D4886" t="s">
        <v>1849</v>
      </c>
      <c r="E4886" t="s">
        <v>1850</v>
      </c>
      <c r="F4886" t="s">
        <v>1851</v>
      </c>
      <c r="G4886" t="s">
        <v>1852</v>
      </c>
      <c r="H4886" t="s">
        <v>1853</v>
      </c>
    </row>
    <row r="4887" spans="1:8">
      <c r="A4887" t="s">
        <v>247</v>
      </c>
      <c r="B4887" t="s">
        <v>167</v>
      </c>
      <c r="C4887">
        <v>100</v>
      </c>
      <c r="D4887" t="s">
        <v>1854</v>
      </c>
      <c r="E4887" t="s">
        <v>1855</v>
      </c>
      <c r="F4887" t="s">
        <v>1856</v>
      </c>
      <c r="G4887" t="s">
        <v>1857</v>
      </c>
      <c r="H4887" t="s">
        <v>1858</v>
      </c>
    </row>
    <row r="4888" spans="1:8">
      <c r="A4888" t="s">
        <v>241</v>
      </c>
      <c r="B4888" t="s">
        <v>167</v>
      </c>
      <c r="C4888">
        <v>100</v>
      </c>
      <c r="D4888" t="s">
        <v>1859</v>
      </c>
      <c r="E4888" t="s">
        <v>1860</v>
      </c>
      <c r="F4888" t="s">
        <v>167</v>
      </c>
      <c r="H4888" t="s">
        <v>1861</v>
      </c>
    </row>
    <row r="4889" spans="1:8">
      <c r="A4889" t="s">
        <v>241</v>
      </c>
      <c r="B4889" t="s">
        <v>167</v>
      </c>
      <c r="C4889">
        <v>100</v>
      </c>
      <c r="D4889" t="s">
        <v>1862</v>
      </c>
      <c r="E4889" t="s">
        <v>1863</v>
      </c>
      <c r="H4889" t="s">
        <v>1864</v>
      </c>
    </row>
    <row r="4890" spans="1:8">
      <c r="A4890" t="s">
        <v>241</v>
      </c>
      <c r="B4890" t="s">
        <v>167</v>
      </c>
      <c r="C4890">
        <v>100</v>
      </c>
      <c r="D4890" t="s">
        <v>1865</v>
      </c>
      <c r="E4890" t="s">
        <v>1866</v>
      </c>
      <c r="F4890" t="s">
        <v>167</v>
      </c>
      <c r="G4890" t="s">
        <v>1867</v>
      </c>
      <c r="H4890" t="s">
        <v>1868</v>
      </c>
    </row>
    <row r="4891" spans="1:8">
      <c r="A4891" t="s">
        <v>241</v>
      </c>
      <c r="B4891" t="s">
        <v>167</v>
      </c>
      <c r="C4891">
        <v>100</v>
      </c>
      <c r="D4891" t="s">
        <v>1869</v>
      </c>
      <c r="E4891" t="s">
        <v>1870</v>
      </c>
      <c r="H4891" t="s">
        <v>1871</v>
      </c>
    </row>
    <row r="4892" spans="1:8">
      <c r="A4892" t="s">
        <v>246</v>
      </c>
      <c r="B4892" t="s">
        <v>167</v>
      </c>
      <c r="C4892">
        <v>100</v>
      </c>
      <c r="D4892" t="s">
        <v>1872</v>
      </c>
      <c r="E4892" t="s">
        <v>1873</v>
      </c>
      <c r="F4892" t="s">
        <v>167</v>
      </c>
    </row>
    <row r="4893" spans="1:8">
      <c r="A4893" t="s">
        <v>241</v>
      </c>
      <c r="B4893" t="s">
        <v>167</v>
      </c>
      <c r="C4893">
        <v>100</v>
      </c>
      <c r="D4893" t="s">
        <v>1874</v>
      </c>
      <c r="E4893" t="s">
        <v>1875</v>
      </c>
    </row>
    <row r="4894" spans="1:8">
      <c r="A4894" t="s">
        <v>241</v>
      </c>
      <c r="B4894" t="s">
        <v>167</v>
      </c>
      <c r="C4894">
        <v>100</v>
      </c>
      <c r="D4894" t="s">
        <v>1876</v>
      </c>
      <c r="E4894" t="s">
        <v>1877</v>
      </c>
      <c r="F4894" t="s">
        <v>167</v>
      </c>
      <c r="H4894" t="s">
        <v>1878</v>
      </c>
    </row>
    <row r="4895" spans="1:8">
      <c r="A4895" t="s">
        <v>241</v>
      </c>
      <c r="B4895" t="s">
        <v>167</v>
      </c>
      <c r="C4895">
        <v>100</v>
      </c>
      <c r="D4895" t="s">
        <v>1879</v>
      </c>
      <c r="E4895" t="s">
        <v>1880</v>
      </c>
      <c r="H4895" t="s">
        <v>1881</v>
      </c>
    </row>
    <row r="4896" spans="1:8">
      <c r="A4896" t="s">
        <v>241</v>
      </c>
      <c r="B4896" t="s">
        <v>167</v>
      </c>
      <c r="C4896">
        <v>100</v>
      </c>
      <c r="D4896" t="s">
        <v>1882</v>
      </c>
      <c r="E4896" t="s">
        <v>1883</v>
      </c>
      <c r="H4896" t="s">
        <v>1884</v>
      </c>
    </row>
    <row r="4897" spans="1:8">
      <c r="A4897" t="s">
        <v>241</v>
      </c>
      <c r="B4897" t="s">
        <v>167</v>
      </c>
      <c r="C4897">
        <v>100</v>
      </c>
      <c r="D4897" t="s">
        <v>167</v>
      </c>
      <c r="E4897" t="s">
        <v>1885</v>
      </c>
      <c r="H4897" t="s">
        <v>1886</v>
      </c>
    </row>
    <row r="4898" spans="1:8">
      <c r="A4898" t="s">
        <v>240</v>
      </c>
      <c r="B4898" t="s">
        <v>167</v>
      </c>
      <c r="C4898">
        <v>100</v>
      </c>
      <c r="D4898" t="s">
        <v>1887</v>
      </c>
      <c r="E4898" t="s">
        <v>1888</v>
      </c>
      <c r="F4898" t="s">
        <v>167</v>
      </c>
      <c r="G4898" t="s">
        <v>1889</v>
      </c>
      <c r="H4898" t="s">
        <v>1890</v>
      </c>
    </row>
    <row r="4899" spans="1:8">
      <c r="A4899" t="s">
        <v>241</v>
      </c>
      <c r="B4899" t="s">
        <v>167</v>
      </c>
      <c r="C4899">
        <v>100</v>
      </c>
      <c r="D4899" t="s">
        <v>1891</v>
      </c>
      <c r="E4899" t="s">
        <v>1892</v>
      </c>
      <c r="F4899" t="s">
        <v>167</v>
      </c>
      <c r="G4899" t="s">
        <v>1893</v>
      </c>
      <c r="H4899" t="s">
        <v>1894</v>
      </c>
    </row>
    <row r="4900" spans="1:8">
      <c r="A4900" t="s">
        <v>241</v>
      </c>
      <c r="B4900" t="s">
        <v>167</v>
      </c>
      <c r="C4900">
        <v>100</v>
      </c>
      <c r="D4900" t="s">
        <v>1895</v>
      </c>
      <c r="E4900" t="s">
        <v>1896</v>
      </c>
      <c r="H4900" t="s">
        <v>1897</v>
      </c>
    </row>
    <row r="4901" spans="1:8">
      <c r="A4901" t="s">
        <v>239</v>
      </c>
      <c r="B4901" t="s">
        <v>167</v>
      </c>
      <c r="C4901">
        <v>100</v>
      </c>
      <c r="D4901" t="s">
        <v>1898</v>
      </c>
      <c r="E4901" t="s">
        <v>1899</v>
      </c>
      <c r="H4901" t="s">
        <v>1900</v>
      </c>
    </row>
    <row r="4902" spans="1:8">
      <c r="A4902" t="s">
        <v>241</v>
      </c>
      <c r="B4902" t="s">
        <v>167</v>
      </c>
      <c r="C4902">
        <v>100</v>
      </c>
      <c r="D4902" t="s">
        <v>1901</v>
      </c>
      <c r="E4902" t="s">
        <v>1902</v>
      </c>
      <c r="H4902" t="s">
        <v>1903</v>
      </c>
    </row>
    <row r="4903" spans="1:8">
      <c r="A4903" t="s">
        <v>239</v>
      </c>
      <c r="B4903" t="s">
        <v>167</v>
      </c>
      <c r="C4903">
        <v>100</v>
      </c>
      <c r="D4903" t="s">
        <v>1904</v>
      </c>
      <c r="E4903" t="s">
        <v>1905</v>
      </c>
      <c r="F4903" t="s">
        <v>167</v>
      </c>
      <c r="G4903" t="s">
        <v>1906</v>
      </c>
      <c r="H4903" t="s">
        <v>1907</v>
      </c>
    </row>
    <row r="4904" spans="1:8">
      <c r="A4904" t="s">
        <v>239</v>
      </c>
      <c r="B4904" t="s">
        <v>167</v>
      </c>
      <c r="C4904">
        <v>100</v>
      </c>
      <c r="D4904" t="s">
        <v>1908</v>
      </c>
      <c r="E4904" t="s">
        <v>1909</v>
      </c>
      <c r="H4904" t="s">
        <v>1910</v>
      </c>
    </row>
    <row r="4905" spans="1:8">
      <c r="A4905" t="s">
        <v>239</v>
      </c>
      <c r="B4905" t="s">
        <v>167</v>
      </c>
      <c r="C4905">
        <v>100</v>
      </c>
      <c r="D4905" t="s">
        <v>1911</v>
      </c>
      <c r="E4905" t="s">
        <v>1912</v>
      </c>
      <c r="H4905" t="s">
        <v>1913</v>
      </c>
    </row>
    <row r="4906" spans="1:8">
      <c r="A4906" t="s">
        <v>241</v>
      </c>
      <c r="B4906" t="s">
        <v>167</v>
      </c>
      <c r="C4906">
        <v>100</v>
      </c>
      <c r="D4906" t="s">
        <v>1914</v>
      </c>
      <c r="E4906" t="s">
        <v>1915</v>
      </c>
      <c r="H4906" t="s">
        <v>1916</v>
      </c>
    </row>
    <row r="4907" spans="1:8">
      <c r="A4907" t="s">
        <v>241</v>
      </c>
      <c r="B4907" t="s">
        <v>167</v>
      </c>
      <c r="C4907">
        <v>100</v>
      </c>
      <c r="D4907" t="s">
        <v>1917</v>
      </c>
      <c r="E4907" t="s">
        <v>1918</v>
      </c>
      <c r="F4907" t="s">
        <v>1919</v>
      </c>
      <c r="H4907" t="s">
        <v>1920</v>
      </c>
    </row>
    <row r="4908" spans="1:8">
      <c r="A4908" t="s">
        <v>240</v>
      </c>
      <c r="B4908" t="s">
        <v>167</v>
      </c>
      <c r="C4908">
        <v>100</v>
      </c>
      <c r="D4908" t="s">
        <v>1921</v>
      </c>
      <c r="E4908" t="s">
        <v>1922</v>
      </c>
      <c r="F4908" t="s">
        <v>167</v>
      </c>
      <c r="G4908" t="s">
        <v>1923</v>
      </c>
      <c r="H4908" t="s">
        <v>1924</v>
      </c>
    </row>
    <row r="4909" spans="1:8">
      <c r="A4909" t="s">
        <v>241</v>
      </c>
      <c r="B4909" t="s">
        <v>167</v>
      </c>
      <c r="C4909">
        <v>100</v>
      </c>
      <c r="D4909" t="s">
        <v>1925</v>
      </c>
      <c r="E4909" t="s">
        <v>1926</v>
      </c>
      <c r="F4909" t="s">
        <v>167</v>
      </c>
      <c r="H4909" t="s">
        <v>1927</v>
      </c>
    </row>
    <row r="4910" spans="1:8">
      <c r="A4910" t="s">
        <v>241</v>
      </c>
      <c r="B4910" t="s">
        <v>167</v>
      </c>
      <c r="C4910">
        <v>100</v>
      </c>
      <c r="D4910" t="s">
        <v>1928</v>
      </c>
      <c r="E4910" t="s">
        <v>1929</v>
      </c>
      <c r="F4910" t="s">
        <v>167</v>
      </c>
      <c r="G4910" t="s">
        <v>1930</v>
      </c>
      <c r="H4910" t="s">
        <v>1931</v>
      </c>
    </row>
    <row r="4911" spans="1:8">
      <c r="A4911" t="s">
        <v>239</v>
      </c>
      <c r="B4911" t="s">
        <v>167</v>
      </c>
      <c r="C4911">
        <v>100</v>
      </c>
      <c r="D4911" t="s">
        <v>1932</v>
      </c>
      <c r="E4911" t="s">
        <v>1933</v>
      </c>
      <c r="F4911" t="s">
        <v>1934</v>
      </c>
      <c r="H4911" t="s">
        <v>1935</v>
      </c>
    </row>
    <row r="4912" spans="1:8">
      <c r="A4912" t="s">
        <v>239</v>
      </c>
      <c r="B4912" t="s">
        <v>167</v>
      </c>
      <c r="C4912">
        <v>100</v>
      </c>
      <c r="D4912" t="s">
        <v>1936</v>
      </c>
      <c r="E4912" t="s">
        <v>1937</v>
      </c>
      <c r="F4912" t="s">
        <v>167</v>
      </c>
    </row>
    <row r="4913" spans="1:8">
      <c r="A4913" t="s">
        <v>241</v>
      </c>
      <c r="B4913" t="s">
        <v>167</v>
      </c>
      <c r="C4913">
        <v>100</v>
      </c>
      <c r="D4913" t="s">
        <v>1938</v>
      </c>
      <c r="E4913" t="s">
        <v>1939</v>
      </c>
      <c r="H4913" t="s">
        <v>1698</v>
      </c>
    </row>
    <row r="4914" spans="1:8">
      <c r="A4914" t="s">
        <v>239</v>
      </c>
      <c r="B4914" t="s">
        <v>167</v>
      </c>
      <c r="C4914">
        <v>100</v>
      </c>
      <c r="D4914" t="s">
        <v>1940</v>
      </c>
      <c r="E4914" t="s">
        <v>1941</v>
      </c>
      <c r="F4914" t="s">
        <v>167</v>
      </c>
      <c r="H4914" t="s">
        <v>1942</v>
      </c>
    </row>
    <row r="4915" spans="1:8">
      <c r="A4915" t="s">
        <v>241</v>
      </c>
      <c r="B4915" t="s">
        <v>167</v>
      </c>
      <c r="C4915">
        <v>100</v>
      </c>
      <c r="D4915" t="s">
        <v>1943</v>
      </c>
      <c r="E4915" t="s">
        <v>1944</v>
      </c>
      <c r="H4915" t="s">
        <v>1769</v>
      </c>
    </row>
    <row r="4916" spans="1:8">
      <c r="A4916" t="s">
        <v>241</v>
      </c>
      <c r="B4916" t="s">
        <v>167</v>
      </c>
      <c r="C4916">
        <v>100</v>
      </c>
      <c r="D4916" t="s">
        <v>1945</v>
      </c>
      <c r="E4916" t="s">
        <v>1946</v>
      </c>
      <c r="F4916" t="s">
        <v>167</v>
      </c>
    </row>
    <row r="4917" spans="1:8">
      <c r="A4917" t="s">
        <v>241</v>
      </c>
      <c r="B4917" t="s">
        <v>167</v>
      </c>
      <c r="C4917">
        <v>100</v>
      </c>
      <c r="D4917" t="s">
        <v>1947</v>
      </c>
      <c r="E4917" t="s">
        <v>1948</v>
      </c>
      <c r="F4917" t="s">
        <v>167</v>
      </c>
      <c r="H4917" t="s">
        <v>1949</v>
      </c>
    </row>
    <row r="4918" spans="1:8">
      <c r="A4918" t="s">
        <v>241</v>
      </c>
      <c r="B4918" t="s">
        <v>167</v>
      </c>
      <c r="C4918">
        <v>100</v>
      </c>
      <c r="D4918" t="s">
        <v>1950</v>
      </c>
      <c r="E4918" t="s">
        <v>1951</v>
      </c>
      <c r="F4918" t="s">
        <v>167</v>
      </c>
      <c r="H4918" t="s">
        <v>1952</v>
      </c>
    </row>
    <row r="4919" spans="1:8">
      <c r="A4919" t="s">
        <v>241</v>
      </c>
      <c r="B4919" t="s">
        <v>167</v>
      </c>
      <c r="C4919">
        <v>100</v>
      </c>
      <c r="D4919" t="s">
        <v>1953</v>
      </c>
      <c r="E4919" t="s">
        <v>1954</v>
      </c>
      <c r="F4919" t="s">
        <v>167</v>
      </c>
      <c r="G4919" t="s">
        <v>1955</v>
      </c>
      <c r="H4919" t="s">
        <v>1956</v>
      </c>
    </row>
    <row r="4920" spans="1:8">
      <c r="A4920" t="s">
        <v>241</v>
      </c>
      <c r="B4920" t="s">
        <v>167</v>
      </c>
      <c r="C4920">
        <v>100</v>
      </c>
      <c r="D4920" t="s">
        <v>1957</v>
      </c>
      <c r="E4920" t="s">
        <v>1954</v>
      </c>
      <c r="F4920" t="s">
        <v>167</v>
      </c>
      <c r="G4920" t="s">
        <v>1958</v>
      </c>
      <c r="H4920" t="s">
        <v>1956</v>
      </c>
    </row>
    <row r="4921" spans="1:8">
      <c r="A4921" t="s">
        <v>241</v>
      </c>
      <c r="B4921" t="s">
        <v>167</v>
      </c>
      <c r="C4921">
        <v>100</v>
      </c>
      <c r="D4921" t="s">
        <v>1959</v>
      </c>
      <c r="E4921" t="s">
        <v>1960</v>
      </c>
      <c r="F4921" t="s">
        <v>167</v>
      </c>
      <c r="H4921" t="s">
        <v>1961</v>
      </c>
    </row>
    <row r="4922" spans="1:8">
      <c r="A4922" t="s">
        <v>241</v>
      </c>
      <c r="B4922" t="s">
        <v>167</v>
      </c>
      <c r="C4922">
        <v>100</v>
      </c>
      <c r="D4922" t="s">
        <v>1962</v>
      </c>
      <c r="E4922" t="s">
        <v>1963</v>
      </c>
      <c r="F4922" t="s">
        <v>167</v>
      </c>
      <c r="G4922" t="s">
        <v>1964</v>
      </c>
      <c r="H4922" t="s">
        <v>1965</v>
      </c>
    </row>
    <row r="4923" spans="1:8">
      <c r="A4923" t="s">
        <v>239</v>
      </c>
      <c r="B4923" t="s">
        <v>167</v>
      </c>
      <c r="C4923">
        <v>100</v>
      </c>
      <c r="D4923" t="s">
        <v>1966</v>
      </c>
      <c r="F4923" t="s">
        <v>1967</v>
      </c>
      <c r="G4923" t="s">
        <v>1968</v>
      </c>
      <c r="H4923" t="s">
        <v>1969</v>
      </c>
    </row>
    <row r="4924" spans="1:8">
      <c r="A4924" t="s">
        <v>246</v>
      </c>
      <c r="B4924" t="s">
        <v>167</v>
      </c>
      <c r="C4924">
        <v>100</v>
      </c>
      <c r="D4924" t="s">
        <v>1970</v>
      </c>
      <c r="F4924" t="s">
        <v>1971</v>
      </c>
      <c r="G4924" t="s">
        <v>1972</v>
      </c>
      <c r="H4924" t="s">
        <v>1973</v>
      </c>
    </row>
    <row r="4925" spans="1:8">
      <c r="A4925" t="s">
        <v>241</v>
      </c>
      <c r="B4925" t="s">
        <v>167</v>
      </c>
      <c r="C4925">
        <v>100</v>
      </c>
      <c r="D4925" t="s">
        <v>1974</v>
      </c>
      <c r="E4925" t="s">
        <v>1975</v>
      </c>
      <c r="F4925" t="s">
        <v>167</v>
      </c>
      <c r="H4925" t="s">
        <v>1976</v>
      </c>
    </row>
    <row r="4926" spans="1:8">
      <c r="A4926" t="s">
        <v>241</v>
      </c>
      <c r="B4926" t="s">
        <v>167</v>
      </c>
      <c r="C4926">
        <v>100</v>
      </c>
      <c r="D4926" t="s">
        <v>1977</v>
      </c>
      <c r="E4926" t="s">
        <v>1978</v>
      </c>
    </row>
    <row r="4927" spans="1:8">
      <c r="A4927" t="s">
        <v>241</v>
      </c>
      <c r="B4927" t="s">
        <v>167</v>
      </c>
      <c r="C4927">
        <v>100</v>
      </c>
      <c r="D4927" t="s">
        <v>1979</v>
      </c>
      <c r="E4927" t="s">
        <v>1980</v>
      </c>
      <c r="F4927" t="s">
        <v>167</v>
      </c>
      <c r="H4927" t="s">
        <v>1981</v>
      </c>
    </row>
    <row r="4928" spans="1:8">
      <c r="A4928" t="s">
        <v>241</v>
      </c>
      <c r="B4928" t="s">
        <v>167</v>
      </c>
      <c r="C4928">
        <v>100</v>
      </c>
      <c r="D4928" t="s">
        <v>1982</v>
      </c>
      <c r="E4928" t="s">
        <v>1983</v>
      </c>
      <c r="F4928" t="s">
        <v>167</v>
      </c>
    </row>
    <row r="4929" spans="1:8">
      <c r="A4929" t="s">
        <v>241</v>
      </c>
      <c r="B4929" t="s">
        <v>167</v>
      </c>
      <c r="C4929">
        <v>100</v>
      </c>
      <c r="D4929" t="s">
        <v>1984</v>
      </c>
      <c r="F4929" t="s">
        <v>1985</v>
      </c>
    </row>
    <row r="4930" spans="1:8">
      <c r="A4930" t="s">
        <v>241</v>
      </c>
      <c r="B4930" t="s">
        <v>167</v>
      </c>
      <c r="C4930">
        <v>100</v>
      </c>
      <c r="D4930" t="s">
        <v>1986</v>
      </c>
      <c r="E4930" t="s">
        <v>1987</v>
      </c>
      <c r="F4930" t="s">
        <v>167</v>
      </c>
    </row>
    <row r="4931" spans="1:8">
      <c r="A4931" t="s">
        <v>241</v>
      </c>
      <c r="B4931" t="s">
        <v>167</v>
      </c>
      <c r="C4931">
        <v>100</v>
      </c>
      <c r="D4931" t="s">
        <v>1988</v>
      </c>
      <c r="E4931" t="s">
        <v>1989</v>
      </c>
      <c r="F4931" t="s">
        <v>167</v>
      </c>
    </row>
    <row r="4932" spans="1:8">
      <c r="A4932" t="s">
        <v>241</v>
      </c>
      <c r="B4932" t="s">
        <v>167</v>
      </c>
      <c r="C4932">
        <v>100</v>
      </c>
      <c r="D4932" t="s">
        <v>1990</v>
      </c>
      <c r="E4932" t="s">
        <v>1991</v>
      </c>
      <c r="F4932" t="s">
        <v>1992</v>
      </c>
    </row>
    <row r="4933" spans="1:8">
      <c r="A4933" t="s">
        <v>243</v>
      </c>
      <c r="B4933" t="s">
        <v>167</v>
      </c>
      <c r="C4933">
        <v>100</v>
      </c>
      <c r="D4933" t="s">
        <v>1993</v>
      </c>
      <c r="E4933" t="s">
        <v>1994</v>
      </c>
      <c r="F4933" t="s">
        <v>167</v>
      </c>
      <c r="H4933" t="s">
        <v>1995</v>
      </c>
    </row>
    <row r="4934" spans="1:8">
      <c r="A4934" t="s">
        <v>241</v>
      </c>
      <c r="B4934" t="s">
        <v>167</v>
      </c>
      <c r="C4934">
        <v>100</v>
      </c>
      <c r="D4934" t="s">
        <v>1996</v>
      </c>
      <c r="E4934" t="s">
        <v>1997</v>
      </c>
      <c r="F4934" t="s">
        <v>167</v>
      </c>
      <c r="H4934" t="s">
        <v>1998</v>
      </c>
    </row>
    <row r="4935" spans="1:8">
      <c r="A4935" t="s">
        <v>241</v>
      </c>
      <c r="B4935" t="s">
        <v>167</v>
      </c>
      <c r="C4935">
        <v>100</v>
      </c>
      <c r="D4935" t="s">
        <v>1999</v>
      </c>
      <c r="E4935" t="s">
        <v>2000</v>
      </c>
      <c r="F4935" t="s">
        <v>167</v>
      </c>
      <c r="G4935" t="s">
        <v>2001</v>
      </c>
    </row>
    <row r="4936" spans="1:8">
      <c r="A4936" t="s">
        <v>241</v>
      </c>
      <c r="B4936" t="s">
        <v>167</v>
      </c>
      <c r="C4936">
        <v>100</v>
      </c>
      <c r="D4936" t="s">
        <v>2002</v>
      </c>
      <c r="E4936" t="s">
        <v>2003</v>
      </c>
      <c r="F4936" t="s">
        <v>167</v>
      </c>
      <c r="G4936" t="s">
        <v>2004</v>
      </c>
    </row>
    <row r="4937" spans="1:8">
      <c r="A4937" t="s">
        <v>241</v>
      </c>
      <c r="B4937" t="s">
        <v>167</v>
      </c>
      <c r="C4937">
        <v>100</v>
      </c>
      <c r="D4937" t="s">
        <v>2005</v>
      </c>
      <c r="E4937" t="s">
        <v>2006</v>
      </c>
      <c r="F4937" t="s">
        <v>2007</v>
      </c>
      <c r="H4937" t="s">
        <v>2008</v>
      </c>
    </row>
    <row r="4938" spans="1:8">
      <c r="A4938" t="s">
        <v>239</v>
      </c>
      <c r="B4938" t="s">
        <v>167</v>
      </c>
      <c r="C4938">
        <v>100</v>
      </c>
      <c r="D4938" t="s">
        <v>2009</v>
      </c>
      <c r="E4938" t="s">
        <v>2010</v>
      </c>
      <c r="F4938" t="s">
        <v>167</v>
      </c>
      <c r="H4938" t="s">
        <v>2011</v>
      </c>
    </row>
    <row r="4939" spans="1:8">
      <c r="A4939" t="s">
        <v>241</v>
      </c>
      <c r="B4939" t="s">
        <v>167</v>
      </c>
      <c r="C4939">
        <v>100</v>
      </c>
      <c r="D4939" t="s">
        <v>2012</v>
      </c>
      <c r="E4939" t="s">
        <v>2013</v>
      </c>
      <c r="F4939" t="s">
        <v>167</v>
      </c>
      <c r="H4939" t="s">
        <v>2014</v>
      </c>
    </row>
    <row r="4940" spans="1:8">
      <c r="A4940" t="s">
        <v>241</v>
      </c>
      <c r="B4940" t="s">
        <v>167</v>
      </c>
      <c r="C4940">
        <v>100</v>
      </c>
      <c r="D4940" t="s">
        <v>2015</v>
      </c>
      <c r="E4940" t="s">
        <v>2016</v>
      </c>
      <c r="F4940" t="s">
        <v>167</v>
      </c>
    </row>
    <row r="4941" spans="1:8">
      <c r="A4941" t="s">
        <v>239</v>
      </c>
      <c r="B4941" t="s">
        <v>167</v>
      </c>
      <c r="C4941">
        <v>100</v>
      </c>
      <c r="D4941" t="s">
        <v>2017</v>
      </c>
    </row>
    <row r="4942" spans="1:8">
      <c r="A4942" t="s">
        <v>239</v>
      </c>
      <c r="B4942" t="s">
        <v>167</v>
      </c>
      <c r="C4942">
        <v>100</v>
      </c>
      <c r="D4942" t="s">
        <v>2018</v>
      </c>
      <c r="E4942" t="s">
        <v>2019</v>
      </c>
    </row>
    <row r="4943" spans="1:8">
      <c r="A4943" t="s">
        <v>241</v>
      </c>
      <c r="B4943" t="s">
        <v>167</v>
      </c>
      <c r="C4943">
        <v>100</v>
      </c>
      <c r="D4943" t="s">
        <v>2020</v>
      </c>
      <c r="E4943" t="s">
        <v>2021</v>
      </c>
      <c r="F4943" t="s">
        <v>1738</v>
      </c>
      <c r="G4943" t="s">
        <v>2022</v>
      </c>
      <c r="H4943" t="s">
        <v>2023</v>
      </c>
    </row>
    <row r="4944" spans="1:8">
      <c r="A4944" t="s">
        <v>246</v>
      </c>
      <c r="B4944" t="s">
        <v>167</v>
      </c>
      <c r="C4944">
        <v>100</v>
      </c>
      <c r="D4944" t="s">
        <v>2024</v>
      </c>
      <c r="E4944" t="s">
        <v>2025</v>
      </c>
      <c r="H4944" t="s">
        <v>1792</v>
      </c>
    </row>
    <row r="4945" spans="1:8">
      <c r="A4945" t="s">
        <v>241</v>
      </c>
      <c r="B4945" t="s">
        <v>167</v>
      </c>
      <c r="C4945">
        <v>100</v>
      </c>
      <c r="D4945" t="s">
        <v>2026</v>
      </c>
      <c r="E4945" t="s">
        <v>2027</v>
      </c>
      <c r="G4945" t="s">
        <v>2028</v>
      </c>
      <c r="H4945" t="s">
        <v>2029</v>
      </c>
    </row>
    <row r="4946" spans="1:8">
      <c r="A4946" t="s">
        <v>238</v>
      </c>
      <c r="B4946" t="s">
        <v>167</v>
      </c>
      <c r="C4946">
        <v>100</v>
      </c>
      <c r="D4946" t="s">
        <v>2030</v>
      </c>
      <c r="F4946" t="s">
        <v>2031</v>
      </c>
      <c r="H4946" t="s">
        <v>2032</v>
      </c>
    </row>
    <row r="4947" spans="1:8">
      <c r="A4947" t="s">
        <v>241</v>
      </c>
      <c r="B4947" t="s">
        <v>167</v>
      </c>
      <c r="C4947">
        <v>100</v>
      </c>
      <c r="D4947" t="s">
        <v>2033</v>
      </c>
      <c r="E4947" t="s">
        <v>2034</v>
      </c>
      <c r="H4947" t="s">
        <v>2035</v>
      </c>
    </row>
    <row r="4948" spans="1:8">
      <c r="A4948" t="s">
        <v>241</v>
      </c>
      <c r="B4948" t="s">
        <v>167</v>
      </c>
      <c r="C4948">
        <v>100</v>
      </c>
      <c r="D4948" t="s">
        <v>2036</v>
      </c>
      <c r="E4948" t="s">
        <v>2037</v>
      </c>
      <c r="F4948" t="s">
        <v>167</v>
      </c>
      <c r="G4948" t="s">
        <v>2038</v>
      </c>
      <c r="H4948" t="s">
        <v>2039</v>
      </c>
    </row>
    <row r="4949" spans="1:8">
      <c r="A4949" t="s">
        <v>241</v>
      </c>
      <c r="B4949" t="s">
        <v>167</v>
      </c>
      <c r="C4949">
        <v>100</v>
      </c>
      <c r="D4949" t="s">
        <v>2040</v>
      </c>
      <c r="E4949" t="s">
        <v>2041</v>
      </c>
    </row>
    <row r="4950" spans="1:8">
      <c r="A4950" t="s">
        <v>241</v>
      </c>
      <c r="B4950" t="s">
        <v>167</v>
      </c>
      <c r="C4950">
        <v>100</v>
      </c>
      <c r="D4950" t="s">
        <v>2042</v>
      </c>
      <c r="E4950" t="s">
        <v>2043</v>
      </c>
      <c r="F4950" t="s">
        <v>167</v>
      </c>
      <c r="G4950" t="s">
        <v>2044</v>
      </c>
      <c r="H4950" t="s">
        <v>2045</v>
      </c>
    </row>
    <row r="4951" spans="1:8">
      <c r="A4951" t="s">
        <v>246</v>
      </c>
      <c r="B4951" t="s">
        <v>167</v>
      </c>
      <c r="C4951">
        <v>100</v>
      </c>
      <c r="D4951" t="s">
        <v>2046</v>
      </c>
      <c r="E4951" t="s">
        <v>2047</v>
      </c>
      <c r="H4951" t="s">
        <v>2048</v>
      </c>
    </row>
    <row r="4952" spans="1:8">
      <c r="A4952" t="s">
        <v>241</v>
      </c>
      <c r="B4952" t="s">
        <v>167</v>
      </c>
      <c r="C4952">
        <v>100</v>
      </c>
      <c r="D4952" t="s">
        <v>2049</v>
      </c>
      <c r="E4952" t="s">
        <v>2050</v>
      </c>
      <c r="H4952" t="s">
        <v>2051</v>
      </c>
    </row>
    <row r="4953" spans="1:8">
      <c r="A4953" t="s">
        <v>241</v>
      </c>
      <c r="B4953" t="s">
        <v>167</v>
      </c>
      <c r="C4953">
        <v>100</v>
      </c>
      <c r="D4953" t="s">
        <v>2052</v>
      </c>
      <c r="E4953" t="s">
        <v>2053</v>
      </c>
      <c r="F4953" t="s">
        <v>1823</v>
      </c>
    </row>
    <row r="4954" spans="1:8">
      <c r="A4954" t="s">
        <v>241</v>
      </c>
      <c r="B4954" t="s">
        <v>167</v>
      </c>
      <c r="C4954">
        <v>100</v>
      </c>
      <c r="D4954" t="s">
        <v>2054</v>
      </c>
      <c r="E4954" t="s">
        <v>2055</v>
      </c>
      <c r="H4954" t="s">
        <v>2056</v>
      </c>
    </row>
    <row r="4955" spans="1:8">
      <c r="A4955" t="s">
        <v>241</v>
      </c>
      <c r="B4955" t="s">
        <v>167</v>
      </c>
      <c r="C4955">
        <v>100</v>
      </c>
      <c r="D4955" t="s">
        <v>2057</v>
      </c>
      <c r="E4955" t="s">
        <v>2058</v>
      </c>
      <c r="H4955" t="s">
        <v>2059</v>
      </c>
    </row>
    <row r="4956" spans="1:8">
      <c r="A4956" t="s">
        <v>241</v>
      </c>
      <c r="B4956" t="s">
        <v>167</v>
      </c>
      <c r="C4956">
        <v>100</v>
      </c>
      <c r="D4956" t="s">
        <v>2060</v>
      </c>
      <c r="E4956" t="s">
        <v>2061</v>
      </c>
      <c r="H4956" t="s">
        <v>2062</v>
      </c>
    </row>
    <row r="4957" spans="1:8">
      <c r="A4957" t="s">
        <v>241</v>
      </c>
      <c r="B4957" t="s">
        <v>167</v>
      </c>
      <c r="C4957">
        <v>100</v>
      </c>
      <c r="D4957" t="s">
        <v>2063</v>
      </c>
      <c r="E4957" t="s">
        <v>2064</v>
      </c>
      <c r="F4957" t="s">
        <v>2065</v>
      </c>
      <c r="G4957" t="s">
        <v>2066</v>
      </c>
      <c r="H4957" t="s">
        <v>2067</v>
      </c>
    </row>
    <row r="4958" spans="1:8">
      <c r="A4958" t="s">
        <v>241</v>
      </c>
      <c r="B4958" t="s">
        <v>167</v>
      </c>
      <c r="C4958">
        <v>100</v>
      </c>
      <c r="D4958" t="s">
        <v>2068</v>
      </c>
      <c r="E4958" t="s">
        <v>2069</v>
      </c>
      <c r="F4958" t="s">
        <v>2070</v>
      </c>
      <c r="G4958" t="s">
        <v>2071</v>
      </c>
      <c r="H4958" t="s">
        <v>2072</v>
      </c>
    </row>
    <row r="4959" spans="1:8">
      <c r="A4959" t="s">
        <v>243</v>
      </c>
      <c r="B4959" t="s">
        <v>167</v>
      </c>
      <c r="C4959">
        <v>100</v>
      </c>
      <c r="D4959" t="s">
        <v>2073</v>
      </c>
      <c r="E4959" t="s">
        <v>1960</v>
      </c>
      <c r="F4959" t="s">
        <v>167</v>
      </c>
      <c r="G4959" t="s">
        <v>2074</v>
      </c>
      <c r="H4959" t="s">
        <v>2075</v>
      </c>
    </row>
    <row r="4960" spans="1:8">
      <c r="A4960" t="s">
        <v>245</v>
      </c>
      <c r="B4960" t="s">
        <v>167</v>
      </c>
      <c r="C4960">
        <v>100</v>
      </c>
      <c r="D4960" t="s">
        <v>2076</v>
      </c>
      <c r="E4960" t="s">
        <v>2077</v>
      </c>
      <c r="F4960" t="s">
        <v>167</v>
      </c>
      <c r="G4960" t="s">
        <v>2078</v>
      </c>
      <c r="H4960" t="s">
        <v>2079</v>
      </c>
    </row>
    <row r="4961" spans="1:8">
      <c r="A4961" t="s">
        <v>239</v>
      </c>
      <c r="B4961" t="s">
        <v>167</v>
      </c>
      <c r="C4961">
        <v>100</v>
      </c>
      <c r="D4961" t="s">
        <v>2080</v>
      </c>
      <c r="E4961" t="s">
        <v>2081</v>
      </c>
    </row>
    <row r="4962" spans="1:8">
      <c r="A4962" t="s">
        <v>241</v>
      </c>
      <c r="B4962" t="s">
        <v>167</v>
      </c>
      <c r="C4962">
        <v>100</v>
      </c>
      <c r="D4962" t="s">
        <v>2082</v>
      </c>
      <c r="E4962" t="s">
        <v>2083</v>
      </c>
      <c r="F4962" t="s">
        <v>167</v>
      </c>
    </row>
    <row r="4963" spans="1:8">
      <c r="A4963" t="s">
        <v>241</v>
      </c>
      <c r="B4963" t="s">
        <v>167</v>
      </c>
      <c r="C4963">
        <v>100</v>
      </c>
      <c r="D4963" t="s">
        <v>2084</v>
      </c>
      <c r="E4963" t="s">
        <v>2085</v>
      </c>
      <c r="F4963" t="s">
        <v>2086</v>
      </c>
      <c r="G4963" t="s">
        <v>2087</v>
      </c>
      <c r="H4963" t="s">
        <v>2088</v>
      </c>
    </row>
    <row r="4964" spans="1:8">
      <c r="A4964" t="s">
        <v>241</v>
      </c>
      <c r="B4964" t="s">
        <v>167</v>
      </c>
      <c r="C4964">
        <v>100</v>
      </c>
      <c r="D4964" t="s">
        <v>2089</v>
      </c>
      <c r="E4964" t="s">
        <v>2090</v>
      </c>
      <c r="F4964" t="s">
        <v>167</v>
      </c>
      <c r="G4964" t="s">
        <v>2091</v>
      </c>
      <c r="H4964" t="s">
        <v>2092</v>
      </c>
    </row>
    <row r="4965" spans="1:8">
      <c r="A4965" t="s">
        <v>241</v>
      </c>
      <c r="B4965" t="s">
        <v>167</v>
      </c>
      <c r="C4965">
        <v>100</v>
      </c>
      <c r="D4965" t="s">
        <v>2093</v>
      </c>
      <c r="E4965" t="s">
        <v>1866</v>
      </c>
      <c r="F4965" t="s">
        <v>167</v>
      </c>
    </row>
    <row r="4966" spans="1:8">
      <c r="A4966" t="s">
        <v>241</v>
      </c>
      <c r="B4966" t="s">
        <v>167</v>
      </c>
      <c r="C4966">
        <v>100</v>
      </c>
      <c r="D4966" t="s">
        <v>2094</v>
      </c>
      <c r="E4966" t="s">
        <v>2095</v>
      </c>
      <c r="F4966" t="s">
        <v>167</v>
      </c>
      <c r="H4966" t="s">
        <v>2096</v>
      </c>
    </row>
    <row r="4967" spans="1:8">
      <c r="A4967" t="s">
        <v>241</v>
      </c>
      <c r="B4967" t="s">
        <v>167</v>
      </c>
      <c r="C4967">
        <v>100</v>
      </c>
      <c r="D4967" t="s">
        <v>2097</v>
      </c>
      <c r="E4967" t="s">
        <v>2098</v>
      </c>
      <c r="F4967" t="s">
        <v>167</v>
      </c>
    </row>
    <row r="4968" spans="1:8">
      <c r="A4968" t="s">
        <v>241</v>
      </c>
      <c r="B4968" t="s">
        <v>167</v>
      </c>
      <c r="C4968">
        <v>100</v>
      </c>
      <c r="D4968" t="s">
        <v>2099</v>
      </c>
      <c r="E4968" t="s">
        <v>2100</v>
      </c>
      <c r="F4968" t="s">
        <v>167</v>
      </c>
    </row>
    <row r="4969" spans="1:8">
      <c r="A4969" t="s">
        <v>241</v>
      </c>
      <c r="B4969" t="s">
        <v>167</v>
      </c>
      <c r="C4969">
        <v>100</v>
      </c>
      <c r="D4969" t="s">
        <v>2101</v>
      </c>
      <c r="E4969" t="s">
        <v>2102</v>
      </c>
      <c r="F4969" t="s">
        <v>167</v>
      </c>
      <c r="H4969" t="s">
        <v>2103</v>
      </c>
    </row>
    <row r="4970" spans="1:8">
      <c r="A4970" t="s">
        <v>241</v>
      </c>
      <c r="B4970" t="s">
        <v>167</v>
      </c>
      <c r="C4970">
        <v>100</v>
      </c>
      <c r="D4970" t="s">
        <v>2104</v>
      </c>
      <c r="E4970" t="s">
        <v>1815</v>
      </c>
      <c r="F4970" t="s">
        <v>167</v>
      </c>
    </row>
    <row r="4971" spans="1:8">
      <c r="A4971" t="s">
        <v>241</v>
      </c>
      <c r="B4971" t="s">
        <v>167</v>
      </c>
      <c r="C4971">
        <v>100</v>
      </c>
      <c r="D4971" t="s">
        <v>2105</v>
      </c>
      <c r="E4971" t="s">
        <v>2106</v>
      </c>
      <c r="F4971" t="s">
        <v>167</v>
      </c>
      <c r="H4971" t="s">
        <v>2107</v>
      </c>
    </row>
    <row r="4972" spans="1:8">
      <c r="A4972" t="s">
        <v>241</v>
      </c>
      <c r="B4972" t="s">
        <v>167</v>
      </c>
      <c r="C4972">
        <v>100</v>
      </c>
      <c r="D4972" t="s">
        <v>2108</v>
      </c>
      <c r="E4972" t="s">
        <v>2109</v>
      </c>
      <c r="F4972" t="s">
        <v>2110</v>
      </c>
      <c r="H4972" t="s">
        <v>2111</v>
      </c>
    </row>
    <row r="4973" spans="1:8">
      <c r="A4973" t="s">
        <v>241</v>
      </c>
      <c r="B4973" t="s">
        <v>167</v>
      </c>
      <c r="C4973">
        <v>100</v>
      </c>
      <c r="D4973" t="s">
        <v>2112</v>
      </c>
      <c r="E4973" t="s">
        <v>2113</v>
      </c>
      <c r="F4973" t="s">
        <v>167</v>
      </c>
    </row>
    <row r="4974" spans="1:8">
      <c r="A4974" t="s">
        <v>241</v>
      </c>
      <c r="B4974" t="s">
        <v>167</v>
      </c>
      <c r="C4974">
        <v>100</v>
      </c>
      <c r="D4974" t="s">
        <v>2114</v>
      </c>
      <c r="E4974" t="s">
        <v>2115</v>
      </c>
      <c r="F4974" t="s">
        <v>167</v>
      </c>
      <c r="H4974" t="s">
        <v>2116</v>
      </c>
    </row>
    <row r="4975" spans="1:8">
      <c r="A4975" t="s">
        <v>241</v>
      </c>
      <c r="B4975" t="s">
        <v>167</v>
      </c>
      <c r="C4975">
        <v>100</v>
      </c>
      <c r="D4975" t="s">
        <v>2117</v>
      </c>
      <c r="E4975" t="s">
        <v>2118</v>
      </c>
      <c r="F4975" t="s">
        <v>167</v>
      </c>
      <c r="H4975" t="s">
        <v>2119</v>
      </c>
    </row>
    <row r="4976" spans="1:8">
      <c r="A4976" t="s">
        <v>239</v>
      </c>
      <c r="B4976" t="s">
        <v>167</v>
      </c>
      <c r="C4976">
        <v>100</v>
      </c>
      <c r="D4976" t="s">
        <v>2120</v>
      </c>
      <c r="E4976" t="s">
        <v>2121</v>
      </c>
      <c r="F4976" t="s">
        <v>167</v>
      </c>
    </row>
    <row r="4977" spans="1:8">
      <c r="A4977" t="s">
        <v>243</v>
      </c>
      <c r="B4977" t="s">
        <v>167</v>
      </c>
      <c r="C4977">
        <v>100</v>
      </c>
      <c r="D4977" t="s">
        <v>2122</v>
      </c>
      <c r="E4977" t="s">
        <v>2123</v>
      </c>
      <c r="F4977" t="s">
        <v>167</v>
      </c>
    </row>
    <row r="4978" spans="1:8">
      <c r="A4978" t="s">
        <v>243</v>
      </c>
      <c r="B4978" t="s">
        <v>167</v>
      </c>
      <c r="C4978">
        <v>100</v>
      </c>
      <c r="D4978" t="s">
        <v>2124</v>
      </c>
      <c r="E4978" t="s">
        <v>2125</v>
      </c>
      <c r="F4978" t="s">
        <v>167</v>
      </c>
      <c r="H4978" t="s">
        <v>2126</v>
      </c>
    </row>
    <row r="4979" spans="1:8">
      <c r="A4979" t="s">
        <v>243</v>
      </c>
      <c r="B4979" t="s">
        <v>167</v>
      </c>
      <c r="C4979">
        <v>100</v>
      </c>
      <c r="D4979" t="s">
        <v>2127</v>
      </c>
      <c r="E4979" t="s">
        <v>2128</v>
      </c>
      <c r="F4979" t="s">
        <v>167</v>
      </c>
      <c r="H4979" t="s">
        <v>2129</v>
      </c>
    </row>
    <row r="4980" spans="1:8">
      <c r="A4980" t="s">
        <v>241</v>
      </c>
      <c r="B4980" t="s">
        <v>167</v>
      </c>
      <c r="C4980">
        <v>100</v>
      </c>
      <c r="D4980" t="s">
        <v>2130</v>
      </c>
      <c r="E4980" t="s">
        <v>2131</v>
      </c>
      <c r="F4980" t="s">
        <v>167</v>
      </c>
      <c r="H4980" t="s">
        <v>2129</v>
      </c>
    </row>
    <row r="4981" spans="1:8">
      <c r="A4981" t="s">
        <v>241</v>
      </c>
      <c r="B4981" t="s">
        <v>167</v>
      </c>
      <c r="C4981">
        <v>100</v>
      </c>
      <c r="D4981" t="s">
        <v>2132</v>
      </c>
      <c r="E4981" t="s">
        <v>2133</v>
      </c>
      <c r="F4981" t="s">
        <v>167</v>
      </c>
      <c r="G4981" t="s">
        <v>2134</v>
      </c>
      <c r="H4981" t="s">
        <v>2135</v>
      </c>
    </row>
    <row r="4982" spans="1:8">
      <c r="A4982" t="s">
        <v>241</v>
      </c>
      <c r="B4982" t="s">
        <v>167</v>
      </c>
      <c r="C4982">
        <v>100</v>
      </c>
      <c r="D4982" t="s">
        <v>2136</v>
      </c>
      <c r="E4982" t="s">
        <v>2137</v>
      </c>
      <c r="F4982" t="s">
        <v>2138</v>
      </c>
      <c r="G4982" t="s">
        <v>2139</v>
      </c>
      <c r="H4982" t="s">
        <v>2140</v>
      </c>
    </row>
    <row r="4983" spans="1:8">
      <c r="A4983" t="s">
        <v>241</v>
      </c>
      <c r="B4983" t="s">
        <v>167</v>
      </c>
      <c r="C4983">
        <v>100</v>
      </c>
      <c r="D4983" t="s">
        <v>2141</v>
      </c>
      <c r="E4983" t="s">
        <v>2142</v>
      </c>
      <c r="F4983" t="s">
        <v>167</v>
      </c>
      <c r="G4983" t="s">
        <v>2143</v>
      </c>
      <c r="H4983" t="s">
        <v>2144</v>
      </c>
    </row>
    <row r="4984" spans="1:8">
      <c r="A4984" t="s">
        <v>241</v>
      </c>
      <c r="B4984" t="s">
        <v>167</v>
      </c>
      <c r="C4984">
        <v>100</v>
      </c>
      <c r="D4984" t="s">
        <v>2145</v>
      </c>
      <c r="E4984" t="s">
        <v>2146</v>
      </c>
      <c r="F4984" t="s">
        <v>167</v>
      </c>
      <c r="G4984" t="s">
        <v>2147</v>
      </c>
      <c r="H4984" t="s">
        <v>2148</v>
      </c>
    </row>
    <row r="4985" spans="1:8">
      <c r="A4985" t="s">
        <v>241</v>
      </c>
      <c r="B4985" t="s">
        <v>167</v>
      </c>
      <c r="C4985">
        <v>100</v>
      </c>
      <c r="D4985" t="s">
        <v>2149</v>
      </c>
      <c r="E4985" t="s">
        <v>2150</v>
      </c>
      <c r="F4985" t="s">
        <v>167</v>
      </c>
      <c r="G4985" t="s">
        <v>2151</v>
      </c>
      <c r="H4985" t="s">
        <v>2152</v>
      </c>
    </row>
    <row r="4986" spans="1:8">
      <c r="A4986" t="s">
        <v>241</v>
      </c>
      <c r="B4986" t="s">
        <v>167</v>
      </c>
      <c r="C4986">
        <v>100</v>
      </c>
      <c r="D4986" t="s">
        <v>2153</v>
      </c>
      <c r="F4986" t="s">
        <v>167</v>
      </c>
      <c r="H4986" t="s">
        <v>2154</v>
      </c>
    </row>
    <row r="4987" spans="1:8">
      <c r="A4987" t="s">
        <v>248</v>
      </c>
      <c r="B4987" t="s">
        <v>167</v>
      </c>
      <c r="C4987">
        <v>100</v>
      </c>
      <c r="D4987" t="s">
        <v>2155</v>
      </c>
      <c r="E4987" t="s">
        <v>2156</v>
      </c>
      <c r="F4987" t="s">
        <v>167</v>
      </c>
      <c r="G4987" t="s">
        <v>1761</v>
      </c>
      <c r="H4987" t="s">
        <v>1762</v>
      </c>
    </row>
    <row r="4988" spans="1:8">
      <c r="A4988" t="s">
        <v>241</v>
      </c>
      <c r="B4988" t="s">
        <v>167</v>
      </c>
      <c r="C4988">
        <v>100</v>
      </c>
      <c r="D4988" t="s">
        <v>2157</v>
      </c>
      <c r="E4988" t="s">
        <v>2158</v>
      </c>
    </row>
    <row r="4989" spans="1:8">
      <c r="A4989" t="s">
        <v>240</v>
      </c>
      <c r="B4989" t="s">
        <v>167</v>
      </c>
      <c r="C4989">
        <v>100</v>
      </c>
      <c r="D4989" t="s">
        <v>2159</v>
      </c>
      <c r="E4989" t="s">
        <v>2160</v>
      </c>
      <c r="F4989" t="s">
        <v>167</v>
      </c>
      <c r="G4989" t="s">
        <v>2161</v>
      </c>
      <c r="H4989" t="s">
        <v>2162</v>
      </c>
    </row>
    <row r="4990" spans="1:8">
      <c r="A4990" t="s">
        <v>241</v>
      </c>
      <c r="B4990" t="s">
        <v>167</v>
      </c>
      <c r="C4990">
        <v>100</v>
      </c>
      <c r="D4990" t="s">
        <v>2163</v>
      </c>
      <c r="E4990" t="s">
        <v>2164</v>
      </c>
      <c r="F4990" t="s">
        <v>167</v>
      </c>
      <c r="G4990" t="s">
        <v>2165</v>
      </c>
      <c r="H4990" t="s">
        <v>2166</v>
      </c>
    </row>
    <row r="4991" spans="1:8">
      <c r="A4991" t="s">
        <v>241</v>
      </c>
      <c r="B4991" t="s">
        <v>167</v>
      </c>
      <c r="C4991">
        <v>100</v>
      </c>
      <c r="D4991" t="s">
        <v>2167</v>
      </c>
      <c r="E4991" t="s">
        <v>2168</v>
      </c>
      <c r="F4991" t="s">
        <v>167</v>
      </c>
    </row>
    <row r="4992" spans="1:8">
      <c r="A4992" t="s">
        <v>241</v>
      </c>
      <c r="B4992" t="s">
        <v>167</v>
      </c>
      <c r="C4992">
        <v>100</v>
      </c>
      <c r="D4992" t="s">
        <v>2169</v>
      </c>
      <c r="E4992" t="s">
        <v>2170</v>
      </c>
      <c r="F4992" t="s">
        <v>167</v>
      </c>
      <c r="H4992" t="s">
        <v>2171</v>
      </c>
    </row>
    <row r="4993" spans="1:8">
      <c r="A4993" t="s">
        <v>241</v>
      </c>
      <c r="B4993" t="s">
        <v>167</v>
      </c>
      <c r="C4993">
        <v>100</v>
      </c>
      <c r="D4993" t="s">
        <v>2172</v>
      </c>
      <c r="E4993" t="s">
        <v>2173</v>
      </c>
      <c r="F4993" t="s">
        <v>167</v>
      </c>
      <c r="H4993" t="s">
        <v>2174</v>
      </c>
    </row>
    <row r="4994" spans="1:8">
      <c r="A4994" t="s">
        <v>241</v>
      </c>
      <c r="B4994" t="s">
        <v>167</v>
      </c>
      <c r="C4994">
        <v>100</v>
      </c>
      <c r="D4994" t="s">
        <v>2175</v>
      </c>
      <c r="E4994" t="s">
        <v>2176</v>
      </c>
      <c r="F4994" t="s">
        <v>2177</v>
      </c>
      <c r="G4994" t="s">
        <v>2178</v>
      </c>
      <c r="H4994" t="s">
        <v>2179</v>
      </c>
    </row>
    <row r="4995" spans="1:8">
      <c r="A4995" t="s">
        <v>241</v>
      </c>
      <c r="B4995" t="s">
        <v>167</v>
      </c>
      <c r="C4995">
        <v>100</v>
      </c>
      <c r="D4995" t="s">
        <v>2180</v>
      </c>
      <c r="E4995" t="s">
        <v>2181</v>
      </c>
      <c r="F4995" t="s">
        <v>167</v>
      </c>
    </row>
    <row r="4996" spans="1:8">
      <c r="A4996" t="s">
        <v>241</v>
      </c>
      <c r="B4996" t="s">
        <v>167</v>
      </c>
      <c r="C4996">
        <v>100</v>
      </c>
      <c r="D4996" t="s">
        <v>2182</v>
      </c>
      <c r="E4996" t="s">
        <v>2183</v>
      </c>
      <c r="F4996" t="s">
        <v>167</v>
      </c>
      <c r="G4996" t="s">
        <v>2184</v>
      </c>
      <c r="H4996" t="s">
        <v>2185</v>
      </c>
    </row>
    <row r="4997" spans="1:8">
      <c r="A4997" t="s">
        <v>240</v>
      </c>
      <c r="B4997" t="s">
        <v>167</v>
      </c>
      <c r="C4997">
        <v>100</v>
      </c>
      <c r="D4997" t="s">
        <v>2186</v>
      </c>
      <c r="E4997" t="s">
        <v>2187</v>
      </c>
      <c r="F4997" t="s">
        <v>167</v>
      </c>
      <c r="G4997" t="s">
        <v>2188</v>
      </c>
      <c r="H4997" t="s">
        <v>2189</v>
      </c>
    </row>
    <row r="4998" spans="1:8">
      <c r="A4998" t="s">
        <v>241</v>
      </c>
      <c r="B4998" t="s">
        <v>167</v>
      </c>
      <c r="C4998">
        <v>100</v>
      </c>
      <c r="D4998" t="s">
        <v>2190</v>
      </c>
      <c r="E4998" t="s">
        <v>2191</v>
      </c>
      <c r="F4998" t="s">
        <v>167</v>
      </c>
      <c r="G4998" t="s">
        <v>2192</v>
      </c>
      <c r="H4998" t="s">
        <v>2193</v>
      </c>
    </row>
    <row r="4999" spans="1:8">
      <c r="A4999" t="s">
        <v>241</v>
      </c>
      <c r="B4999" t="s">
        <v>167</v>
      </c>
      <c r="C4999">
        <v>100</v>
      </c>
      <c r="D4999" t="s">
        <v>2194</v>
      </c>
      <c r="E4999" t="s">
        <v>2195</v>
      </c>
      <c r="F4999" t="s">
        <v>167</v>
      </c>
      <c r="G4999" t="s">
        <v>2196</v>
      </c>
      <c r="H4999" t="s">
        <v>2197</v>
      </c>
    </row>
    <row r="5000" spans="1:8">
      <c r="A5000" t="s">
        <v>241</v>
      </c>
      <c r="B5000" t="s">
        <v>167</v>
      </c>
      <c r="C5000">
        <v>100</v>
      </c>
      <c r="D5000" t="s">
        <v>2198</v>
      </c>
      <c r="E5000" t="s">
        <v>2199</v>
      </c>
      <c r="F5000" t="s">
        <v>167</v>
      </c>
      <c r="H5000" t="s">
        <v>1757</v>
      </c>
    </row>
    <row r="5001" spans="1:8">
      <c r="A5001" t="s">
        <v>241</v>
      </c>
      <c r="B5001" t="s">
        <v>167</v>
      </c>
      <c r="C5001">
        <v>100</v>
      </c>
      <c r="D5001" t="s">
        <v>2200</v>
      </c>
      <c r="E5001" t="s">
        <v>2201</v>
      </c>
      <c r="F5001" t="s">
        <v>167</v>
      </c>
    </row>
    <row r="5002" spans="1:8">
      <c r="A5002" t="s">
        <v>241</v>
      </c>
      <c r="B5002" t="s">
        <v>167</v>
      </c>
      <c r="C5002">
        <v>100</v>
      </c>
      <c r="D5002" t="s">
        <v>2202</v>
      </c>
      <c r="E5002" t="s">
        <v>2203</v>
      </c>
      <c r="F5002" t="s">
        <v>167</v>
      </c>
      <c r="G5002" t="s">
        <v>2204</v>
      </c>
      <c r="H5002" t="s">
        <v>2205</v>
      </c>
    </row>
    <row r="5003" spans="1:8">
      <c r="A5003" t="s">
        <v>245</v>
      </c>
      <c r="B5003" t="s">
        <v>167</v>
      </c>
      <c r="C5003">
        <v>100</v>
      </c>
      <c r="D5003" t="s">
        <v>2206</v>
      </c>
      <c r="F5003" t="s">
        <v>2207</v>
      </c>
      <c r="G5003" t="s">
        <v>2208</v>
      </c>
      <c r="H5003" t="s">
        <v>2209</v>
      </c>
    </row>
    <row r="5004" spans="1:8">
      <c r="A5004" t="s">
        <v>241</v>
      </c>
      <c r="B5004" t="s">
        <v>185</v>
      </c>
      <c r="C5004">
        <v>101</v>
      </c>
      <c r="D5004" t="s">
        <v>10417</v>
      </c>
      <c r="E5004" t="s">
        <v>10418</v>
      </c>
      <c r="F5004" t="s">
        <v>185</v>
      </c>
    </row>
    <row r="5005" spans="1:8">
      <c r="A5005" t="s">
        <v>249</v>
      </c>
      <c r="B5005" t="s">
        <v>185</v>
      </c>
      <c r="C5005">
        <v>101</v>
      </c>
      <c r="D5005" t="s">
        <v>10419</v>
      </c>
      <c r="E5005" t="s">
        <v>10420</v>
      </c>
      <c r="F5005" t="s">
        <v>10421</v>
      </c>
      <c r="G5005" t="s">
        <v>10422</v>
      </c>
      <c r="H5005" t="s">
        <v>10423</v>
      </c>
    </row>
    <row r="5006" spans="1:8">
      <c r="A5006" t="s">
        <v>240</v>
      </c>
      <c r="B5006" t="s">
        <v>185</v>
      </c>
      <c r="C5006">
        <v>101</v>
      </c>
      <c r="D5006" t="s">
        <v>10419</v>
      </c>
      <c r="E5006" t="s">
        <v>10424</v>
      </c>
      <c r="F5006" t="s">
        <v>185</v>
      </c>
      <c r="G5006" t="s">
        <v>10425</v>
      </c>
      <c r="H5006" t="s">
        <v>10426</v>
      </c>
    </row>
    <row r="5007" spans="1:8">
      <c r="A5007" t="s">
        <v>241</v>
      </c>
      <c r="B5007" t="s">
        <v>185</v>
      </c>
      <c r="C5007">
        <v>101</v>
      </c>
      <c r="D5007" t="s">
        <v>10427</v>
      </c>
      <c r="E5007" t="s">
        <v>10428</v>
      </c>
      <c r="F5007" t="s">
        <v>185</v>
      </c>
      <c r="G5007" t="s">
        <v>10429</v>
      </c>
      <c r="H5007" t="s">
        <v>10430</v>
      </c>
    </row>
    <row r="5008" spans="1:8">
      <c r="A5008" t="s">
        <v>245</v>
      </c>
      <c r="B5008" t="s">
        <v>185</v>
      </c>
      <c r="C5008">
        <v>101</v>
      </c>
      <c r="D5008" t="s">
        <v>10431</v>
      </c>
      <c r="E5008" t="s">
        <v>10432</v>
      </c>
      <c r="F5008" t="s">
        <v>185</v>
      </c>
    </row>
    <row r="5009" spans="1:8">
      <c r="A5009" t="s">
        <v>242</v>
      </c>
      <c r="B5009" t="s">
        <v>185</v>
      </c>
      <c r="C5009">
        <v>101</v>
      </c>
      <c r="D5009" t="s">
        <v>10433</v>
      </c>
      <c r="E5009" t="s">
        <v>10434</v>
      </c>
      <c r="F5009" t="s">
        <v>185</v>
      </c>
      <c r="G5009" t="s">
        <v>10435</v>
      </c>
      <c r="H5009" t="s">
        <v>10436</v>
      </c>
    </row>
    <row r="5010" spans="1:8">
      <c r="A5010" t="s">
        <v>241</v>
      </c>
      <c r="B5010" t="s">
        <v>185</v>
      </c>
      <c r="C5010">
        <v>101</v>
      </c>
      <c r="D5010" t="s">
        <v>10437</v>
      </c>
      <c r="E5010" t="s">
        <v>10438</v>
      </c>
      <c r="H5010" t="s">
        <v>10439</v>
      </c>
    </row>
    <row r="5011" spans="1:8">
      <c r="A5011" t="s">
        <v>247</v>
      </c>
      <c r="B5011" t="s">
        <v>185</v>
      </c>
      <c r="C5011">
        <v>101</v>
      </c>
      <c r="D5011" t="s">
        <v>10440</v>
      </c>
      <c r="E5011" t="s">
        <v>10441</v>
      </c>
      <c r="F5011" t="s">
        <v>185</v>
      </c>
      <c r="G5011" t="s">
        <v>10435</v>
      </c>
      <c r="H5011" t="s">
        <v>10436</v>
      </c>
    </row>
    <row r="5012" spans="1:8">
      <c r="A5012" t="s">
        <v>242</v>
      </c>
      <c r="B5012" t="s">
        <v>185</v>
      </c>
      <c r="C5012">
        <v>101</v>
      </c>
      <c r="D5012" t="s">
        <v>10442</v>
      </c>
      <c r="E5012" t="s">
        <v>10443</v>
      </c>
      <c r="F5012" t="s">
        <v>10444</v>
      </c>
      <c r="G5012" t="s">
        <v>10445</v>
      </c>
      <c r="H5012" t="s">
        <v>10446</v>
      </c>
    </row>
    <row r="5013" spans="1:8">
      <c r="A5013" t="s">
        <v>242</v>
      </c>
      <c r="B5013" t="s">
        <v>222</v>
      </c>
      <c r="C5013">
        <v>101</v>
      </c>
      <c r="D5013" t="s">
        <v>10934</v>
      </c>
      <c r="E5013" t="s">
        <v>10935</v>
      </c>
      <c r="F5013" t="s">
        <v>222</v>
      </c>
      <c r="H5013" t="s">
        <v>10936</v>
      </c>
    </row>
    <row r="5014" spans="1:8">
      <c r="A5014" t="s">
        <v>241</v>
      </c>
      <c r="B5014" t="s">
        <v>222</v>
      </c>
      <c r="C5014">
        <v>101</v>
      </c>
      <c r="D5014" t="s">
        <v>10937</v>
      </c>
      <c r="E5014" t="s">
        <v>10938</v>
      </c>
      <c r="H5014" t="s">
        <v>10939</v>
      </c>
    </row>
    <row r="5015" spans="1:8">
      <c r="A5015" t="s">
        <v>241</v>
      </c>
      <c r="B5015" t="s">
        <v>222</v>
      </c>
      <c r="C5015">
        <v>101</v>
      </c>
      <c r="D5015" t="s">
        <v>10940</v>
      </c>
      <c r="E5015" t="s">
        <v>10941</v>
      </c>
      <c r="H5015" t="s">
        <v>10942</v>
      </c>
    </row>
    <row r="5016" spans="1:8">
      <c r="A5016" t="s">
        <v>241</v>
      </c>
      <c r="B5016" t="s">
        <v>222</v>
      </c>
      <c r="C5016">
        <v>101</v>
      </c>
      <c r="D5016" t="s">
        <v>10943</v>
      </c>
      <c r="E5016" t="s">
        <v>10944</v>
      </c>
      <c r="G5016" t="s">
        <v>10945</v>
      </c>
      <c r="H5016" t="s">
        <v>10946</v>
      </c>
    </row>
    <row r="5017" spans="1:8">
      <c r="A5017" t="s">
        <v>241</v>
      </c>
      <c r="B5017" t="s">
        <v>222</v>
      </c>
      <c r="C5017">
        <v>101</v>
      </c>
      <c r="D5017" t="s">
        <v>10947</v>
      </c>
      <c r="E5017" t="s">
        <v>10948</v>
      </c>
      <c r="H5017" t="s">
        <v>10949</v>
      </c>
    </row>
    <row r="5018" spans="1:8">
      <c r="A5018" t="s">
        <v>241</v>
      </c>
      <c r="B5018" t="s">
        <v>222</v>
      </c>
      <c r="C5018">
        <v>101</v>
      </c>
      <c r="D5018" t="s">
        <v>10950</v>
      </c>
      <c r="E5018" t="s">
        <v>10951</v>
      </c>
      <c r="F5018" t="s">
        <v>222</v>
      </c>
    </row>
    <row r="5019" spans="1:8">
      <c r="A5019" t="s">
        <v>242</v>
      </c>
      <c r="B5019" t="s">
        <v>222</v>
      </c>
      <c r="C5019">
        <v>101</v>
      </c>
      <c r="D5019" t="s">
        <v>10952</v>
      </c>
      <c r="E5019" t="s">
        <v>10953</v>
      </c>
      <c r="F5019" t="s">
        <v>222</v>
      </c>
    </row>
    <row r="5020" spans="1:8">
      <c r="A5020" t="s">
        <v>241</v>
      </c>
      <c r="B5020" t="s">
        <v>92</v>
      </c>
      <c r="C5020">
        <v>101</v>
      </c>
      <c r="D5020" t="s">
        <v>11982</v>
      </c>
      <c r="E5020" t="s">
        <v>11983</v>
      </c>
      <c r="F5020" t="s">
        <v>92</v>
      </c>
      <c r="H5020" t="s">
        <v>11984</v>
      </c>
    </row>
    <row r="5021" spans="1:8">
      <c r="A5021" t="s">
        <v>238</v>
      </c>
      <c r="B5021" t="s">
        <v>92</v>
      </c>
      <c r="C5021">
        <v>101</v>
      </c>
      <c r="D5021" t="s">
        <v>11985</v>
      </c>
      <c r="E5021" t="s">
        <v>11986</v>
      </c>
      <c r="G5021" t="s">
        <v>11987</v>
      </c>
      <c r="H5021" t="s">
        <v>11988</v>
      </c>
    </row>
    <row r="5022" spans="1:8">
      <c r="A5022" t="s">
        <v>239</v>
      </c>
      <c r="B5022" t="s">
        <v>92</v>
      </c>
      <c r="C5022">
        <v>101</v>
      </c>
      <c r="D5022" t="s">
        <v>11989</v>
      </c>
      <c r="E5022" t="s">
        <v>11990</v>
      </c>
      <c r="F5022" t="s">
        <v>92</v>
      </c>
      <c r="H5022" t="s">
        <v>11991</v>
      </c>
    </row>
    <row r="5023" spans="1:8">
      <c r="A5023" t="s">
        <v>241</v>
      </c>
      <c r="B5023" t="s">
        <v>92</v>
      </c>
      <c r="C5023">
        <v>101</v>
      </c>
      <c r="D5023" t="s">
        <v>11992</v>
      </c>
      <c r="E5023" t="s">
        <v>11993</v>
      </c>
      <c r="H5023" t="s">
        <v>11994</v>
      </c>
    </row>
    <row r="5024" spans="1:8">
      <c r="A5024" t="s">
        <v>243</v>
      </c>
      <c r="B5024" t="s">
        <v>92</v>
      </c>
      <c r="C5024">
        <v>101</v>
      </c>
      <c r="D5024" t="s">
        <v>11995</v>
      </c>
      <c r="E5024" t="s">
        <v>11996</v>
      </c>
      <c r="F5024" t="s">
        <v>92</v>
      </c>
      <c r="G5024" t="s">
        <v>11997</v>
      </c>
      <c r="H5024" t="s">
        <v>11998</v>
      </c>
    </row>
    <row r="5025" spans="1:8">
      <c r="A5025" t="s">
        <v>249</v>
      </c>
      <c r="B5025" t="s">
        <v>92</v>
      </c>
      <c r="C5025">
        <v>101</v>
      </c>
      <c r="D5025" t="s">
        <v>11999</v>
      </c>
      <c r="E5025" t="s">
        <v>12000</v>
      </c>
      <c r="F5025" t="s">
        <v>92</v>
      </c>
      <c r="G5025" t="s">
        <v>12001</v>
      </c>
      <c r="H5025" t="s">
        <v>12002</v>
      </c>
    </row>
    <row r="5026" spans="1:8">
      <c r="A5026" t="s">
        <v>242</v>
      </c>
      <c r="B5026" t="s">
        <v>92</v>
      </c>
      <c r="C5026">
        <v>101</v>
      </c>
      <c r="D5026" t="s">
        <v>12003</v>
      </c>
      <c r="E5026" t="s">
        <v>12004</v>
      </c>
      <c r="F5026" t="s">
        <v>92</v>
      </c>
    </row>
    <row r="5027" spans="1:8">
      <c r="A5027" t="s">
        <v>238</v>
      </c>
      <c r="B5027" t="s">
        <v>92</v>
      </c>
      <c r="C5027">
        <v>101</v>
      </c>
      <c r="D5027" t="s">
        <v>12005</v>
      </c>
      <c r="E5027" t="s">
        <v>12006</v>
      </c>
      <c r="F5027" t="s">
        <v>92</v>
      </c>
      <c r="G5027" t="s">
        <v>12007</v>
      </c>
      <c r="H5027" t="s">
        <v>12008</v>
      </c>
    </row>
    <row r="5028" spans="1:8">
      <c r="A5028" t="s">
        <v>241</v>
      </c>
      <c r="B5028" t="s">
        <v>92</v>
      </c>
      <c r="C5028">
        <v>101</v>
      </c>
      <c r="D5028" t="s">
        <v>12009</v>
      </c>
      <c r="E5028" t="s">
        <v>12010</v>
      </c>
      <c r="F5028" t="s">
        <v>92</v>
      </c>
      <c r="H5028" t="s">
        <v>12011</v>
      </c>
    </row>
    <row r="5029" spans="1:8">
      <c r="A5029" t="s">
        <v>239</v>
      </c>
      <c r="B5029" t="s">
        <v>92</v>
      </c>
      <c r="C5029">
        <v>101</v>
      </c>
      <c r="D5029" t="s">
        <v>12012</v>
      </c>
      <c r="E5029" t="s">
        <v>12013</v>
      </c>
      <c r="F5029" t="s">
        <v>92</v>
      </c>
      <c r="H5029" t="s">
        <v>12014</v>
      </c>
    </row>
    <row r="5030" spans="1:8">
      <c r="A5030" t="s">
        <v>240</v>
      </c>
      <c r="B5030" t="s">
        <v>92</v>
      </c>
      <c r="C5030">
        <v>101</v>
      </c>
      <c r="D5030" t="s">
        <v>12015</v>
      </c>
      <c r="E5030" t="s">
        <v>12016</v>
      </c>
      <c r="F5030" t="s">
        <v>92</v>
      </c>
      <c r="G5030" t="s">
        <v>12017</v>
      </c>
      <c r="H5030" t="s">
        <v>12018</v>
      </c>
    </row>
    <row r="5031" spans="1:8">
      <c r="A5031" t="s">
        <v>241</v>
      </c>
      <c r="B5031" t="s">
        <v>92</v>
      </c>
      <c r="C5031">
        <v>101</v>
      </c>
      <c r="D5031" t="s">
        <v>12019</v>
      </c>
      <c r="E5031" t="s">
        <v>12020</v>
      </c>
      <c r="F5031" t="s">
        <v>92</v>
      </c>
      <c r="G5031" t="s">
        <v>12021</v>
      </c>
      <c r="H5031" t="s">
        <v>12022</v>
      </c>
    </row>
    <row r="5032" spans="1:8">
      <c r="A5032" t="s">
        <v>241</v>
      </c>
      <c r="B5032" t="s">
        <v>92</v>
      </c>
      <c r="C5032">
        <v>101</v>
      </c>
      <c r="D5032" t="s">
        <v>12023</v>
      </c>
      <c r="E5032" t="s">
        <v>12024</v>
      </c>
      <c r="H5032" t="s">
        <v>12025</v>
      </c>
    </row>
    <row r="5033" spans="1:8">
      <c r="A5033" t="s">
        <v>239</v>
      </c>
      <c r="B5033" t="s">
        <v>92</v>
      </c>
      <c r="C5033">
        <v>101</v>
      </c>
      <c r="D5033" t="s">
        <v>12026</v>
      </c>
      <c r="E5033" t="s">
        <v>12027</v>
      </c>
      <c r="H5033" t="s">
        <v>12028</v>
      </c>
    </row>
    <row r="5034" spans="1:8">
      <c r="A5034" t="s">
        <v>243</v>
      </c>
      <c r="B5034" t="s">
        <v>92</v>
      </c>
      <c r="C5034">
        <v>101</v>
      </c>
      <c r="D5034" t="s">
        <v>12029</v>
      </c>
      <c r="E5034" t="s">
        <v>12030</v>
      </c>
      <c r="F5034" t="s">
        <v>92</v>
      </c>
      <c r="H5034" t="s">
        <v>12031</v>
      </c>
    </row>
    <row r="5035" spans="1:8">
      <c r="A5035" t="s">
        <v>241</v>
      </c>
      <c r="B5035" t="s">
        <v>92</v>
      </c>
      <c r="C5035">
        <v>101</v>
      </c>
      <c r="D5035" t="s">
        <v>12032</v>
      </c>
      <c r="E5035" t="s">
        <v>12033</v>
      </c>
      <c r="F5035" t="s">
        <v>12034</v>
      </c>
      <c r="G5035" t="s">
        <v>12035</v>
      </c>
      <c r="H5035" t="s">
        <v>12036</v>
      </c>
    </row>
    <row r="5036" spans="1:8">
      <c r="A5036" t="s">
        <v>241</v>
      </c>
      <c r="B5036" t="s">
        <v>92</v>
      </c>
      <c r="C5036">
        <v>101</v>
      </c>
      <c r="D5036" t="s">
        <v>12037</v>
      </c>
      <c r="E5036" t="s">
        <v>12038</v>
      </c>
      <c r="H5036" t="s">
        <v>12039</v>
      </c>
    </row>
    <row r="5037" spans="1:8">
      <c r="A5037" t="s">
        <v>241</v>
      </c>
      <c r="B5037" t="s">
        <v>92</v>
      </c>
      <c r="C5037">
        <v>101</v>
      </c>
      <c r="D5037" t="s">
        <v>6602</v>
      </c>
      <c r="E5037" t="s">
        <v>12040</v>
      </c>
      <c r="F5037" t="s">
        <v>12041</v>
      </c>
      <c r="G5037" t="s">
        <v>12042</v>
      </c>
      <c r="H5037" t="s">
        <v>12043</v>
      </c>
    </row>
    <row r="5038" spans="1:8">
      <c r="A5038" t="s">
        <v>241</v>
      </c>
      <c r="B5038" t="s">
        <v>92</v>
      </c>
      <c r="C5038">
        <v>101</v>
      </c>
      <c r="D5038" t="s">
        <v>12044</v>
      </c>
      <c r="E5038" t="s">
        <v>12045</v>
      </c>
      <c r="G5038" t="s">
        <v>12046</v>
      </c>
      <c r="H5038" t="s">
        <v>12047</v>
      </c>
    </row>
    <row r="5039" spans="1:8">
      <c r="A5039" t="s">
        <v>241</v>
      </c>
      <c r="B5039" t="s">
        <v>92</v>
      </c>
      <c r="C5039">
        <v>101</v>
      </c>
      <c r="D5039" t="s">
        <v>12048</v>
      </c>
      <c r="E5039" t="s">
        <v>12049</v>
      </c>
      <c r="H5039" t="s">
        <v>12050</v>
      </c>
    </row>
    <row r="5040" spans="1:8">
      <c r="A5040" t="s">
        <v>242</v>
      </c>
      <c r="B5040" t="s">
        <v>92</v>
      </c>
      <c r="C5040">
        <v>101</v>
      </c>
      <c r="D5040" t="s">
        <v>12051</v>
      </c>
      <c r="E5040" t="s">
        <v>12052</v>
      </c>
      <c r="F5040" t="s">
        <v>92</v>
      </c>
      <c r="G5040" t="s">
        <v>12053</v>
      </c>
      <c r="H5040" t="s">
        <v>12054</v>
      </c>
    </row>
    <row r="5041" spans="1:8">
      <c r="A5041" t="s">
        <v>238</v>
      </c>
      <c r="B5041" t="s">
        <v>175</v>
      </c>
      <c r="C5041">
        <v>102</v>
      </c>
      <c r="D5041" t="s">
        <v>4490</v>
      </c>
      <c r="E5041" t="s">
        <v>4491</v>
      </c>
      <c r="F5041" t="s">
        <v>175</v>
      </c>
      <c r="G5041" t="s">
        <v>4492</v>
      </c>
      <c r="H5041" t="s">
        <v>4493</v>
      </c>
    </row>
    <row r="5042" spans="1:8">
      <c r="A5042" t="s">
        <v>249</v>
      </c>
      <c r="B5042" t="s">
        <v>175</v>
      </c>
      <c r="C5042">
        <v>102</v>
      </c>
      <c r="D5042" t="s">
        <v>4494</v>
      </c>
      <c r="E5042" t="s">
        <v>4495</v>
      </c>
      <c r="F5042" t="s">
        <v>175</v>
      </c>
      <c r="G5042" t="s">
        <v>4496</v>
      </c>
      <c r="H5042" t="s">
        <v>4497</v>
      </c>
    </row>
    <row r="5043" spans="1:8">
      <c r="A5043" t="s">
        <v>249</v>
      </c>
      <c r="B5043" t="s">
        <v>175</v>
      </c>
      <c r="C5043">
        <v>102</v>
      </c>
      <c r="D5043" t="s">
        <v>4498</v>
      </c>
      <c r="E5043" t="s">
        <v>4499</v>
      </c>
      <c r="F5043" t="s">
        <v>175</v>
      </c>
      <c r="G5043" t="s">
        <v>4500</v>
      </c>
      <c r="H5043" t="s">
        <v>4501</v>
      </c>
    </row>
    <row r="5044" spans="1:8">
      <c r="A5044" t="s">
        <v>242</v>
      </c>
      <c r="B5044" t="s">
        <v>175</v>
      </c>
      <c r="C5044">
        <v>102</v>
      </c>
      <c r="D5044" t="s">
        <v>4502</v>
      </c>
      <c r="E5044" t="s">
        <v>4503</v>
      </c>
      <c r="F5044" t="s">
        <v>175</v>
      </c>
      <c r="G5044" t="s">
        <v>4504</v>
      </c>
      <c r="H5044" t="s">
        <v>4505</v>
      </c>
    </row>
    <row r="5045" spans="1:8">
      <c r="A5045" t="s">
        <v>242</v>
      </c>
      <c r="B5045" t="s">
        <v>175</v>
      </c>
      <c r="C5045">
        <v>102</v>
      </c>
      <c r="D5045" t="s">
        <v>4506</v>
      </c>
      <c r="F5045" t="s">
        <v>175</v>
      </c>
      <c r="G5045" t="s">
        <v>4507</v>
      </c>
      <c r="H5045" t="s">
        <v>4508</v>
      </c>
    </row>
    <row r="5046" spans="1:8">
      <c r="A5046" t="s">
        <v>242</v>
      </c>
      <c r="B5046" t="s">
        <v>175</v>
      </c>
      <c r="C5046">
        <v>102</v>
      </c>
      <c r="D5046" t="s">
        <v>4509</v>
      </c>
      <c r="E5046" t="s">
        <v>4510</v>
      </c>
      <c r="F5046" t="s">
        <v>175</v>
      </c>
    </row>
    <row r="5047" spans="1:8">
      <c r="A5047" t="s">
        <v>240</v>
      </c>
      <c r="B5047" t="s">
        <v>175</v>
      </c>
      <c r="C5047">
        <v>102</v>
      </c>
      <c r="D5047" t="s">
        <v>4511</v>
      </c>
      <c r="E5047" t="s">
        <v>4512</v>
      </c>
      <c r="F5047" t="s">
        <v>175</v>
      </c>
      <c r="G5047" t="s">
        <v>4513</v>
      </c>
      <c r="H5047" t="s">
        <v>4514</v>
      </c>
    </row>
    <row r="5048" spans="1:8">
      <c r="A5048" t="s">
        <v>240</v>
      </c>
      <c r="B5048" t="s">
        <v>175</v>
      </c>
      <c r="C5048">
        <v>102</v>
      </c>
      <c r="D5048" t="s">
        <v>2628</v>
      </c>
      <c r="F5048" t="s">
        <v>175</v>
      </c>
      <c r="G5048" t="s">
        <v>4515</v>
      </c>
      <c r="H5048" t="s">
        <v>4516</v>
      </c>
    </row>
    <row r="5049" spans="1:8">
      <c r="A5049" t="s">
        <v>240</v>
      </c>
      <c r="B5049" t="s">
        <v>175</v>
      </c>
      <c r="C5049">
        <v>102</v>
      </c>
      <c r="D5049" t="s">
        <v>4517</v>
      </c>
      <c r="E5049" t="s">
        <v>4518</v>
      </c>
      <c r="F5049" t="s">
        <v>175</v>
      </c>
      <c r="G5049" t="s">
        <v>4519</v>
      </c>
      <c r="H5049" t="s">
        <v>4520</v>
      </c>
    </row>
    <row r="5050" spans="1:8">
      <c r="A5050" t="s">
        <v>240</v>
      </c>
      <c r="B5050" t="s">
        <v>175</v>
      </c>
      <c r="C5050">
        <v>102</v>
      </c>
      <c r="D5050" t="s">
        <v>4521</v>
      </c>
      <c r="E5050" t="s">
        <v>4522</v>
      </c>
      <c r="F5050" t="s">
        <v>175</v>
      </c>
      <c r="G5050" t="s">
        <v>4523</v>
      </c>
      <c r="H5050" t="s">
        <v>4524</v>
      </c>
    </row>
    <row r="5051" spans="1:8">
      <c r="A5051" t="s">
        <v>240</v>
      </c>
      <c r="B5051" t="s">
        <v>175</v>
      </c>
      <c r="C5051">
        <v>102</v>
      </c>
      <c r="D5051" t="s">
        <v>4525</v>
      </c>
      <c r="E5051" t="s">
        <v>4526</v>
      </c>
      <c r="F5051" t="s">
        <v>175</v>
      </c>
      <c r="G5051" t="s">
        <v>4527</v>
      </c>
      <c r="H5051" t="s">
        <v>4528</v>
      </c>
    </row>
    <row r="5052" spans="1:8">
      <c r="A5052" t="s">
        <v>240</v>
      </c>
      <c r="B5052" t="s">
        <v>175</v>
      </c>
      <c r="C5052">
        <v>102</v>
      </c>
      <c r="D5052" t="s">
        <v>4529</v>
      </c>
      <c r="E5052" t="s">
        <v>4530</v>
      </c>
      <c r="F5052" t="s">
        <v>175</v>
      </c>
    </row>
    <row r="5053" spans="1:8">
      <c r="A5053" t="s">
        <v>240</v>
      </c>
      <c r="B5053" t="s">
        <v>175</v>
      </c>
      <c r="C5053">
        <v>102</v>
      </c>
      <c r="D5053" t="s">
        <v>4531</v>
      </c>
      <c r="E5053" t="s">
        <v>4532</v>
      </c>
      <c r="F5053" t="s">
        <v>175</v>
      </c>
      <c r="G5053" t="s">
        <v>4533</v>
      </c>
      <c r="H5053" t="s">
        <v>4534</v>
      </c>
    </row>
    <row r="5054" spans="1:8">
      <c r="A5054" t="s">
        <v>249</v>
      </c>
      <c r="B5054" t="s">
        <v>175</v>
      </c>
      <c r="C5054">
        <v>102</v>
      </c>
      <c r="D5054" t="s">
        <v>2628</v>
      </c>
      <c r="E5054" t="s">
        <v>4535</v>
      </c>
      <c r="F5054" t="s">
        <v>175</v>
      </c>
      <c r="G5054" t="s">
        <v>4515</v>
      </c>
      <c r="H5054" t="s">
        <v>4516</v>
      </c>
    </row>
    <row r="5055" spans="1:8">
      <c r="A5055" t="s">
        <v>243</v>
      </c>
      <c r="B5055" t="s">
        <v>175</v>
      </c>
      <c r="C5055">
        <v>102</v>
      </c>
      <c r="D5055" t="s">
        <v>4536</v>
      </c>
      <c r="E5055" t="s">
        <v>4537</v>
      </c>
      <c r="F5055" t="s">
        <v>175</v>
      </c>
      <c r="G5055" t="s">
        <v>4538</v>
      </c>
      <c r="H5055" t="s">
        <v>4539</v>
      </c>
    </row>
    <row r="5056" spans="1:8">
      <c r="A5056" t="s">
        <v>249</v>
      </c>
      <c r="B5056" t="s">
        <v>175</v>
      </c>
      <c r="C5056">
        <v>102</v>
      </c>
      <c r="D5056" t="s">
        <v>4540</v>
      </c>
      <c r="E5056" t="s">
        <v>4541</v>
      </c>
      <c r="F5056" t="s">
        <v>175</v>
      </c>
      <c r="G5056" t="s">
        <v>4542</v>
      </c>
      <c r="H5056" t="s">
        <v>4543</v>
      </c>
    </row>
    <row r="5057" spans="1:8">
      <c r="A5057" t="s">
        <v>249</v>
      </c>
      <c r="B5057" t="s">
        <v>175</v>
      </c>
      <c r="C5057">
        <v>102</v>
      </c>
      <c r="D5057" t="s">
        <v>4544</v>
      </c>
      <c r="E5057" t="s">
        <v>4545</v>
      </c>
      <c r="F5057" t="s">
        <v>175</v>
      </c>
      <c r="G5057" t="s">
        <v>4546</v>
      </c>
      <c r="H5057" t="s">
        <v>4547</v>
      </c>
    </row>
    <row r="5058" spans="1:8">
      <c r="A5058" t="s">
        <v>250</v>
      </c>
      <c r="B5058" t="s">
        <v>175</v>
      </c>
      <c r="C5058">
        <v>102</v>
      </c>
      <c r="D5058" t="s">
        <v>4548</v>
      </c>
      <c r="E5058" t="s">
        <v>4549</v>
      </c>
    </row>
    <row r="5059" spans="1:8">
      <c r="A5059" t="s">
        <v>250</v>
      </c>
      <c r="B5059" t="s">
        <v>175</v>
      </c>
      <c r="C5059">
        <v>102</v>
      </c>
      <c r="D5059" t="s">
        <v>4550</v>
      </c>
      <c r="E5059" t="s">
        <v>4551</v>
      </c>
      <c r="F5059" t="s">
        <v>175</v>
      </c>
      <c r="G5059" t="s">
        <v>4552</v>
      </c>
    </row>
    <row r="5060" spans="1:8">
      <c r="A5060" t="s">
        <v>241</v>
      </c>
      <c r="B5060" t="s">
        <v>175</v>
      </c>
      <c r="C5060">
        <v>102</v>
      </c>
      <c r="D5060" t="s">
        <v>4553</v>
      </c>
      <c r="E5060" t="s">
        <v>4554</v>
      </c>
      <c r="F5060" t="s">
        <v>175</v>
      </c>
    </row>
    <row r="5061" spans="1:8">
      <c r="A5061" t="s">
        <v>249</v>
      </c>
      <c r="B5061" t="s">
        <v>175</v>
      </c>
      <c r="C5061">
        <v>102</v>
      </c>
      <c r="D5061" t="s">
        <v>4555</v>
      </c>
      <c r="E5061" t="s">
        <v>4556</v>
      </c>
      <c r="F5061" t="s">
        <v>175</v>
      </c>
    </row>
    <row r="5062" spans="1:8">
      <c r="A5062" t="s">
        <v>240</v>
      </c>
      <c r="B5062" t="s">
        <v>175</v>
      </c>
      <c r="C5062">
        <v>102</v>
      </c>
      <c r="D5062" t="s">
        <v>4557</v>
      </c>
      <c r="E5062" t="s">
        <v>4558</v>
      </c>
      <c r="G5062" t="s">
        <v>4559</v>
      </c>
      <c r="H5062" t="s">
        <v>4560</v>
      </c>
    </row>
    <row r="5063" spans="1:8">
      <c r="A5063" t="s">
        <v>250</v>
      </c>
      <c r="B5063" t="s">
        <v>175</v>
      </c>
      <c r="C5063">
        <v>102</v>
      </c>
      <c r="D5063" t="s">
        <v>4521</v>
      </c>
      <c r="G5063" t="s">
        <v>4524</v>
      </c>
      <c r="H5063" t="s">
        <v>4523</v>
      </c>
    </row>
    <row r="5064" spans="1:8">
      <c r="A5064" t="s">
        <v>250</v>
      </c>
      <c r="B5064" t="s">
        <v>175</v>
      </c>
      <c r="C5064">
        <v>102</v>
      </c>
      <c r="D5064" t="s">
        <v>4561</v>
      </c>
      <c r="E5064" t="s">
        <v>4562</v>
      </c>
      <c r="G5064" t="s">
        <v>4563</v>
      </c>
    </row>
    <row r="5065" spans="1:8">
      <c r="A5065" t="s">
        <v>250</v>
      </c>
      <c r="B5065" t="s">
        <v>175</v>
      </c>
      <c r="C5065">
        <v>102</v>
      </c>
      <c r="D5065" t="s">
        <v>4564</v>
      </c>
      <c r="E5065" t="s">
        <v>4565</v>
      </c>
      <c r="G5065" t="s">
        <v>4560</v>
      </c>
      <c r="H5065" t="s">
        <v>4559</v>
      </c>
    </row>
    <row r="5066" spans="1:8">
      <c r="A5066" t="s">
        <v>246</v>
      </c>
      <c r="B5066" t="s">
        <v>175</v>
      </c>
      <c r="C5066">
        <v>102</v>
      </c>
      <c r="D5066" t="s">
        <v>1872</v>
      </c>
      <c r="E5066" t="s">
        <v>4566</v>
      </c>
      <c r="F5066" t="s">
        <v>175</v>
      </c>
      <c r="G5066" t="s">
        <v>4567</v>
      </c>
      <c r="H5066" t="s">
        <v>4568</v>
      </c>
    </row>
    <row r="5067" spans="1:8">
      <c r="A5067" t="s">
        <v>239</v>
      </c>
      <c r="B5067" t="s">
        <v>175</v>
      </c>
      <c r="C5067">
        <v>102</v>
      </c>
      <c r="D5067" t="s">
        <v>4569</v>
      </c>
      <c r="E5067" t="s">
        <v>4570</v>
      </c>
      <c r="H5067" t="s">
        <v>4571</v>
      </c>
    </row>
    <row r="5068" spans="1:8">
      <c r="A5068" t="s">
        <v>250</v>
      </c>
      <c r="B5068" t="s">
        <v>175</v>
      </c>
      <c r="C5068">
        <v>102</v>
      </c>
      <c r="D5068" t="s">
        <v>4572</v>
      </c>
      <c r="G5068" t="s">
        <v>4552</v>
      </c>
      <c r="H5068" t="s">
        <v>4573</v>
      </c>
    </row>
    <row r="5069" spans="1:8">
      <c r="A5069" t="s">
        <v>241</v>
      </c>
      <c r="B5069" t="s">
        <v>175</v>
      </c>
      <c r="C5069">
        <v>102</v>
      </c>
      <c r="D5069" t="s">
        <v>4574</v>
      </c>
      <c r="E5069" t="s">
        <v>4575</v>
      </c>
      <c r="H5069" t="s">
        <v>4576</v>
      </c>
    </row>
    <row r="5070" spans="1:8">
      <c r="A5070" t="s">
        <v>252</v>
      </c>
      <c r="B5070" t="s">
        <v>175</v>
      </c>
      <c r="C5070">
        <v>102</v>
      </c>
      <c r="D5070" t="s">
        <v>4577</v>
      </c>
      <c r="E5070" t="s">
        <v>4578</v>
      </c>
      <c r="F5070" t="s">
        <v>175</v>
      </c>
      <c r="G5070" t="s">
        <v>4579</v>
      </c>
      <c r="H5070" t="s">
        <v>4580</v>
      </c>
    </row>
    <row r="5071" spans="1:8">
      <c r="A5071" t="s">
        <v>240</v>
      </c>
      <c r="B5071" t="s">
        <v>175</v>
      </c>
      <c r="C5071">
        <v>102</v>
      </c>
      <c r="D5071" t="s">
        <v>4581</v>
      </c>
      <c r="E5071" t="s">
        <v>4582</v>
      </c>
      <c r="F5071" t="s">
        <v>175</v>
      </c>
      <c r="G5071" t="s">
        <v>4583</v>
      </c>
      <c r="H5071" t="s">
        <v>4584</v>
      </c>
    </row>
    <row r="5072" spans="1:8">
      <c r="A5072" t="s">
        <v>240</v>
      </c>
      <c r="B5072" t="s">
        <v>175</v>
      </c>
      <c r="C5072">
        <v>102</v>
      </c>
      <c r="D5072" t="s">
        <v>4585</v>
      </c>
      <c r="E5072" t="s">
        <v>4586</v>
      </c>
      <c r="F5072" t="s">
        <v>175</v>
      </c>
      <c r="G5072" t="s">
        <v>4587</v>
      </c>
      <c r="H5072" t="s">
        <v>4588</v>
      </c>
    </row>
    <row r="5073" spans="1:8">
      <c r="A5073" t="s">
        <v>243</v>
      </c>
      <c r="B5073" t="s">
        <v>175</v>
      </c>
      <c r="C5073">
        <v>102</v>
      </c>
      <c r="D5073" t="s">
        <v>4589</v>
      </c>
      <c r="E5073" t="s">
        <v>4590</v>
      </c>
      <c r="F5073" t="s">
        <v>175</v>
      </c>
      <c r="G5073" t="s">
        <v>4591</v>
      </c>
      <c r="H5073" t="s">
        <v>4592</v>
      </c>
    </row>
    <row r="5074" spans="1:8">
      <c r="A5074" t="s">
        <v>249</v>
      </c>
      <c r="B5074" t="s">
        <v>175</v>
      </c>
      <c r="C5074">
        <v>102</v>
      </c>
      <c r="D5074" t="s">
        <v>4593</v>
      </c>
      <c r="E5074" t="s">
        <v>4495</v>
      </c>
      <c r="F5074" t="s">
        <v>175</v>
      </c>
      <c r="G5074" t="s">
        <v>4496</v>
      </c>
      <c r="H5074" t="s">
        <v>4497</v>
      </c>
    </row>
    <row r="5075" spans="1:8">
      <c r="A5075" t="s">
        <v>250</v>
      </c>
      <c r="B5075" t="s">
        <v>175</v>
      </c>
      <c r="C5075">
        <v>102</v>
      </c>
      <c r="D5075" t="s">
        <v>1094</v>
      </c>
      <c r="E5075" t="s">
        <v>4594</v>
      </c>
      <c r="F5075" t="s">
        <v>175</v>
      </c>
      <c r="G5075" t="s">
        <v>4595</v>
      </c>
    </row>
    <row r="5076" spans="1:8">
      <c r="A5076" t="s">
        <v>250</v>
      </c>
      <c r="B5076" t="s">
        <v>175</v>
      </c>
      <c r="C5076">
        <v>102</v>
      </c>
      <c r="D5076" t="s">
        <v>4596</v>
      </c>
      <c r="E5076" t="s">
        <v>4597</v>
      </c>
      <c r="F5076" t="s">
        <v>175</v>
      </c>
    </row>
    <row r="5077" spans="1:8">
      <c r="A5077" t="s">
        <v>241</v>
      </c>
      <c r="B5077" t="s">
        <v>175</v>
      </c>
      <c r="C5077">
        <v>102</v>
      </c>
      <c r="D5077" t="s">
        <v>4598</v>
      </c>
      <c r="E5077" t="s">
        <v>4599</v>
      </c>
      <c r="F5077" t="s">
        <v>175</v>
      </c>
      <c r="G5077" t="s">
        <v>4600</v>
      </c>
      <c r="H5077" t="s">
        <v>4601</v>
      </c>
    </row>
    <row r="5078" spans="1:8">
      <c r="A5078" t="s">
        <v>243</v>
      </c>
      <c r="B5078" t="s">
        <v>175</v>
      </c>
      <c r="C5078">
        <v>102</v>
      </c>
      <c r="D5078" t="s">
        <v>4602</v>
      </c>
      <c r="E5078" t="s">
        <v>4603</v>
      </c>
      <c r="F5078" t="s">
        <v>175</v>
      </c>
      <c r="G5078" t="s">
        <v>4604</v>
      </c>
      <c r="H5078" t="s">
        <v>4605</v>
      </c>
    </row>
    <row r="5079" spans="1:8">
      <c r="A5079" t="s">
        <v>250</v>
      </c>
      <c r="B5079" t="s">
        <v>175</v>
      </c>
      <c r="C5079">
        <v>102</v>
      </c>
      <c r="D5079" t="s">
        <v>1243</v>
      </c>
      <c r="E5079" t="s">
        <v>4606</v>
      </c>
      <c r="G5079" t="s">
        <v>4607</v>
      </c>
    </row>
    <row r="5080" spans="1:8">
      <c r="A5080" t="s">
        <v>250</v>
      </c>
      <c r="B5080" t="s">
        <v>175</v>
      </c>
      <c r="C5080">
        <v>102</v>
      </c>
      <c r="D5080" t="s">
        <v>4529</v>
      </c>
      <c r="E5080" t="s">
        <v>4608</v>
      </c>
      <c r="F5080" t="s">
        <v>74</v>
      </c>
    </row>
    <row r="5081" spans="1:8">
      <c r="A5081" t="s">
        <v>250</v>
      </c>
      <c r="B5081" t="s">
        <v>175</v>
      </c>
      <c r="C5081">
        <v>102</v>
      </c>
      <c r="D5081" t="s">
        <v>3816</v>
      </c>
      <c r="E5081" t="s">
        <v>4609</v>
      </c>
      <c r="F5081" t="s">
        <v>4610</v>
      </c>
      <c r="H5081" t="s">
        <v>4611</v>
      </c>
    </row>
    <row r="5082" spans="1:8">
      <c r="A5082" t="s">
        <v>250</v>
      </c>
      <c r="B5082" t="s">
        <v>175</v>
      </c>
      <c r="C5082">
        <v>102</v>
      </c>
      <c r="D5082" t="s">
        <v>4531</v>
      </c>
      <c r="E5082" t="s">
        <v>4612</v>
      </c>
    </row>
    <row r="5083" spans="1:8">
      <c r="A5083" t="s">
        <v>242</v>
      </c>
      <c r="B5083" t="s">
        <v>175</v>
      </c>
      <c r="C5083">
        <v>102</v>
      </c>
      <c r="D5083" t="s">
        <v>4613</v>
      </c>
      <c r="E5083" t="s">
        <v>4614</v>
      </c>
      <c r="F5083" t="s">
        <v>175</v>
      </c>
      <c r="G5083" t="s">
        <v>4615</v>
      </c>
    </row>
    <row r="5084" spans="1:8">
      <c r="A5084" t="s">
        <v>243</v>
      </c>
      <c r="B5084" t="s">
        <v>175</v>
      </c>
      <c r="C5084">
        <v>102</v>
      </c>
      <c r="D5084" t="s">
        <v>4616</v>
      </c>
      <c r="E5084" t="s">
        <v>4617</v>
      </c>
      <c r="F5084" t="s">
        <v>175</v>
      </c>
    </row>
    <row r="5085" spans="1:8">
      <c r="A5085" t="s">
        <v>243</v>
      </c>
      <c r="B5085" t="s">
        <v>175</v>
      </c>
      <c r="C5085">
        <v>102</v>
      </c>
      <c r="D5085" t="s">
        <v>4618</v>
      </c>
      <c r="E5085" t="s">
        <v>4619</v>
      </c>
      <c r="F5085" t="s">
        <v>175</v>
      </c>
      <c r="H5085" t="s">
        <v>4620</v>
      </c>
    </row>
    <row r="5086" spans="1:8">
      <c r="A5086" t="s">
        <v>243</v>
      </c>
      <c r="B5086" t="s">
        <v>175</v>
      </c>
      <c r="C5086">
        <v>102</v>
      </c>
      <c r="D5086" t="s">
        <v>4621</v>
      </c>
      <c r="E5086" t="s">
        <v>4622</v>
      </c>
      <c r="F5086" t="s">
        <v>175</v>
      </c>
      <c r="H5086" t="s">
        <v>4623</v>
      </c>
    </row>
    <row r="5087" spans="1:8">
      <c r="A5087" t="s">
        <v>241</v>
      </c>
      <c r="B5087" t="s">
        <v>175</v>
      </c>
      <c r="C5087">
        <v>102</v>
      </c>
      <c r="D5087" t="s">
        <v>4624</v>
      </c>
      <c r="E5087" t="s">
        <v>4625</v>
      </c>
      <c r="F5087" t="s">
        <v>175</v>
      </c>
      <c r="G5087" t="s">
        <v>4626</v>
      </c>
      <c r="H5087" t="s">
        <v>4627</v>
      </c>
    </row>
    <row r="5088" spans="1:8">
      <c r="A5088" t="s">
        <v>240</v>
      </c>
      <c r="B5088" t="s">
        <v>175</v>
      </c>
      <c r="C5088">
        <v>102</v>
      </c>
      <c r="D5088" t="s">
        <v>2910</v>
      </c>
      <c r="E5088" t="s">
        <v>4628</v>
      </c>
      <c r="F5088" t="s">
        <v>175</v>
      </c>
      <c r="H5088" t="s">
        <v>4629</v>
      </c>
    </row>
    <row r="5089" spans="1:8">
      <c r="A5089" t="s">
        <v>241</v>
      </c>
      <c r="B5089" t="s">
        <v>175</v>
      </c>
      <c r="C5089">
        <v>102</v>
      </c>
      <c r="D5089" t="s">
        <v>4630</v>
      </c>
      <c r="E5089" t="s">
        <v>4631</v>
      </c>
      <c r="F5089" t="s">
        <v>175</v>
      </c>
      <c r="G5089" t="s">
        <v>4632</v>
      </c>
      <c r="H5089" t="s">
        <v>4633</v>
      </c>
    </row>
    <row r="5090" spans="1:8">
      <c r="A5090" t="s">
        <v>240</v>
      </c>
      <c r="B5090" t="s">
        <v>175</v>
      </c>
      <c r="C5090">
        <v>102</v>
      </c>
      <c r="D5090" t="s">
        <v>4634</v>
      </c>
      <c r="E5090" t="s">
        <v>4635</v>
      </c>
      <c r="F5090" t="s">
        <v>175</v>
      </c>
      <c r="H5090" t="s">
        <v>4636</v>
      </c>
    </row>
    <row r="5091" spans="1:8">
      <c r="A5091" t="s">
        <v>243</v>
      </c>
      <c r="B5091" t="s">
        <v>175</v>
      </c>
      <c r="C5091">
        <v>102</v>
      </c>
      <c r="D5091" t="s">
        <v>4637</v>
      </c>
      <c r="E5091" t="s">
        <v>4638</v>
      </c>
      <c r="F5091" t="s">
        <v>4639</v>
      </c>
      <c r="G5091" t="s">
        <v>4640</v>
      </c>
      <c r="H5091" t="s">
        <v>4641</v>
      </c>
    </row>
    <row r="5092" spans="1:8">
      <c r="A5092" t="s">
        <v>248</v>
      </c>
      <c r="B5092" t="s">
        <v>175</v>
      </c>
      <c r="C5092">
        <v>102</v>
      </c>
      <c r="D5092" t="s">
        <v>4642</v>
      </c>
      <c r="E5092" t="s">
        <v>4643</v>
      </c>
      <c r="F5092" t="s">
        <v>175</v>
      </c>
      <c r="G5092" t="s">
        <v>4644</v>
      </c>
      <c r="H5092" t="s">
        <v>4645</v>
      </c>
    </row>
    <row r="5093" spans="1:8">
      <c r="A5093" t="s">
        <v>250</v>
      </c>
      <c r="B5093" t="s">
        <v>175</v>
      </c>
      <c r="C5093">
        <v>102</v>
      </c>
      <c r="D5093" t="s">
        <v>4646</v>
      </c>
      <c r="E5093" t="s">
        <v>4647</v>
      </c>
      <c r="G5093" t="s">
        <v>4648</v>
      </c>
      <c r="H5093" t="s">
        <v>4649</v>
      </c>
    </row>
    <row r="5094" spans="1:8">
      <c r="A5094" t="s">
        <v>250</v>
      </c>
      <c r="B5094" t="s">
        <v>175</v>
      </c>
      <c r="C5094">
        <v>102</v>
      </c>
      <c r="D5094" t="s">
        <v>4650</v>
      </c>
      <c r="E5094" t="s">
        <v>4651</v>
      </c>
      <c r="F5094" t="s">
        <v>175</v>
      </c>
      <c r="G5094" t="s">
        <v>4552</v>
      </c>
    </row>
    <row r="5095" spans="1:8">
      <c r="A5095" t="s">
        <v>250</v>
      </c>
      <c r="B5095" t="s">
        <v>175</v>
      </c>
      <c r="C5095">
        <v>102</v>
      </c>
      <c r="D5095" t="s">
        <v>4652</v>
      </c>
      <c r="E5095" t="s">
        <v>4651</v>
      </c>
      <c r="F5095" t="s">
        <v>175</v>
      </c>
    </row>
    <row r="5096" spans="1:8">
      <c r="A5096" t="s">
        <v>250</v>
      </c>
      <c r="B5096" t="s">
        <v>175</v>
      </c>
      <c r="C5096">
        <v>102</v>
      </c>
      <c r="D5096" t="s">
        <v>4653</v>
      </c>
      <c r="E5096" t="s">
        <v>4654</v>
      </c>
      <c r="F5096" t="s">
        <v>175</v>
      </c>
    </row>
    <row r="5097" spans="1:8">
      <c r="A5097" t="s">
        <v>250</v>
      </c>
      <c r="B5097" t="s">
        <v>175</v>
      </c>
      <c r="C5097">
        <v>102</v>
      </c>
      <c r="D5097" t="s">
        <v>4655</v>
      </c>
      <c r="E5097" t="s">
        <v>4651</v>
      </c>
      <c r="F5097" t="s">
        <v>175</v>
      </c>
    </row>
    <row r="5098" spans="1:8">
      <c r="A5098" t="s">
        <v>250</v>
      </c>
      <c r="B5098" t="s">
        <v>175</v>
      </c>
      <c r="C5098">
        <v>102</v>
      </c>
      <c r="D5098" t="s">
        <v>4656</v>
      </c>
      <c r="E5098" t="s">
        <v>4651</v>
      </c>
      <c r="F5098" t="s">
        <v>175</v>
      </c>
      <c r="G5098" t="s">
        <v>4657</v>
      </c>
    </row>
    <row r="5099" spans="1:8">
      <c r="A5099" t="s">
        <v>250</v>
      </c>
      <c r="B5099" t="s">
        <v>175</v>
      </c>
      <c r="C5099">
        <v>102</v>
      </c>
      <c r="D5099" t="s">
        <v>4658</v>
      </c>
      <c r="E5099" t="s">
        <v>4651</v>
      </c>
      <c r="F5099" t="s">
        <v>175</v>
      </c>
      <c r="G5099" t="s">
        <v>4659</v>
      </c>
    </row>
    <row r="5100" spans="1:8">
      <c r="A5100" t="s">
        <v>250</v>
      </c>
      <c r="B5100" t="s">
        <v>175</v>
      </c>
      <c r="C5100">
        <v>102</v>
      </c>
      <c r="D5100" t="s">
        <v>4660</v>
      </c>
      <c r="E5100" t="s">
        <v>4594</v>
      </c>
      <c r="F5100" t="s">
        <v>175</v>
      </c>
      <c r="G5100" t="s">
        <v>4661</v>
      </c>
    </row>
    <row r="5101" spans="1:8">
      <c r="A5101" t="s">
        <v>250</v>
      </c>
      <c r="B5101" t="s">
        <v>175</v>
      </c>
      <c r="C5101">
        <v>102</v>
      </c>
      <c r="D5101" t="s">
        <v>4662</v>
      </c>
      <c r="E5101" t="s">
        <v>4594</v>
      </c>
      <c r="F5101" t="s">
        <v>175</v>
      </c>
      <c r="G5101" t="s">
        <v>4663</v>
      </c>
    </row>
    <row r="5102" spans="1:8">
      <c r="A5102" t="s">
        <v>250</v>
      </c>
      <c r="B5102" t="s">
        <v>175</v>
      </c>
      <c r="C5102">
        <v>102</v>
      </c>
      <c r="D5102" t="s">
        <v>4664</v>
      </c>
      <c r="E5102" t="s">
        <v>4651</v>
      </c>
      <c r="F5102" t="s">
        <v>175</v>
      </c>
      <c r="G5102" t="s">
        <v>4648</v>
      </c>
      <c r="H5102" t="s">
        <v>4649</v>
      </c>
    </row>
    <row r="5103" spans="1:8">
      <c r="A5103" t="s">
        <v>250</v>
      </c>
      <c r="B5103" t="s">
        <v>175</v>
      </c>
      <c r="C5103">
        <v>102</v>
      </c>
      <c r="D5103" t="s">
        <v>4665</v>
      </c>
      <c r="E5103" t="s">
        <v>4666</v>
      </c>
      <c r="F5103" t="s">
        <v>175</v>
      </c>
      <c r="G5103" t="s">
        <v>4528</v>
      </c>
    </row>
    <row r="5104" spans="1:8">
      <c r="A5104" t="s">
        <v>250</v>
      </c>
      <c r="B5104" t="s">
        <v>175</v>
      </c>
      <c r="C5104">
        <v>102</v>
      </c>
      <c r="D5104" t="s">
        <v>4667</v>
      </c>
      <c r="E5104" t="s">
        <v>4668</v>
      </c>
      <c r="F5104" t="s">
        <v>175</v>
      </c>
      <c r="G5104" t="s">
        <v>4552</v>
      </c>
    </row>
    <row r="5105" spans="1:8">
      <c r="A5105" t="s">
        <v>250</v>
      </c>
      <c r="B5105" t="s">
        <v>175</v>
      </c>
      <c r="C5105">
        <v>102</v>
      </c>
      <c r="D5105" t="s">
        <v>4669</v>
      </c>
      <c r="E5105" t="s">
        <v>4651</v>
      </c>
      <c r="F5105" t="s">
        <v>175</v>
      </c>
    </row>
    <row r="5106" spans="1:8">
      <c r="A5106" t="s">
        <v>250</v>
      </c>
      <c r="B5106" t="s">
        <v>175</v>
      </c>
      <c r="C5106">
        <v>102</v>
      </c>
      <c r="D5106" t="s">
        <v>4670</v>
      </c>
      <c r="F5106" t="s">
        <v>4639</v>
      </c>
    </row>
    <row r="5107" spans="1:8">
      <c r="A5107" t="s">
        <v>250</v>
      </c>
      <c r="B5107" t="s">
        <v>175</v>
      </c>
      <c r="C5107">
        <v>102</v>
      </c>
      <c r="D5107" t="s">
        <v>4671</v>
      </c>
      <c r="E5107" t="s">
        <v>4672</v>
      </c>
      <c r="F5107" t="s">
        <v>175</v>
      </c>
    </row>
    <row r="5108" spans="1:8">
      <c r="A5108" t="s">
        <v>250</v>
      </c>
      <c r="B5108" t="s">
        <v>175</v>
      </c>
      <c r="C5108">
        <v>102</v>
      </c>
      <c r="D5108" t="s">
        <v>4673</v>
      </c>
      <c r="E5108" t="s">
        <v>4674</v>
      </c>
      <c r="F5108" t="s">
        <v>175</v>
      </c>
    </row>
    <row r="5109" spans="1:8">
      <c r="A5109" t="s">
        <v>250</v>
      </c>
      <c r="B5109" t="s">
        <v>175</v>
      </c>
      <c r="C5109">
        <v>102</v>
      </c>
      <c r="D5109" t="s">
        <v>4675</v>
      </c>
      <c r="E5109" t="s">
        <v>4668</v>
      </c>
      <c r="F5109" t="s">
        <v>175</v>
      </c>
      <c r="G5109" t="s">
        <v>4552</v>
      </c>
    </row>
    <row r="5110" spans="1:8">
      <c r="A5110" t="s">
        <v>250</v>
      </c>
      <c r="B5110" t="s">
        <v>175</v>
      </c>
      <c r="C5110">
        <v>102</v>
      </c>
      <c r="D5110" t="s">
        <v>4676</v>
      </c>
      <c r="E5110" t="s">
        <v>4597</v>
      </c>
      <c r="F5110" t="s">
        <v>175</v>
      </c>
      <c r="G5110" t="s">
        <v>4677</v>
      </c>
      <c r="H5110" t="s">
        <v>4519</v>
      </c>
    </row>
    <row r="5111" spans="1:8">
      <c r="A5111" t="s">
        <v>250</v>
      </c>
      <c r="B5111" t="s">
        <v>175</v>
      </c>
      <c r="C5111">
        <v>102</v>
      </c>
      <c r="D5111" t="s">
        <v>4678</v>
      </c>
      <c r="E5111" t="s">
        <v>4679</v>
      </c>
      <c r="F5111" t="s">
        <v>175</v>
      </c>
      <c r="G5111" t="s">
        <v>4680</v>
      </c>
      <c r="H5111" t="s">
        <v>4681</v>
      </c>
    </row>
    <row r="5112" spans="1:8">
      <c r="A5112" t="s">
        <v>241</v>
      </c>
      <c r="B5112" t="s">
        <v>175</v>
      </c>
      <c r="C5112">
        <v>102</v>
      </c>
      <c r="D5112" t="s">
        <v>4682</v>
      </c>
      <c r="E5112" t="s">
        <v>4683</v>
      </c>
      <c r="H5112" t="s">
        <v>4684</v>
      </c>
    </row>
    <row r="5113" spans="1:8">
      <c r="A5113" t="s">
        <v>238</v>
      </c>
      <c r="B5113" t="s">
        <v>119</v>
      </c>
      <c r="C5113">
        <v>103</v>
      </c>
      <c r="D5113" t="s">
        <v>4227</v>
      </c>
      <c r="E5113" t="s">
        <v>4228</v>
      </c>
      <c r="H5113" t="s">
        <v>4229</v>
      </c>
    </row>
    <row r="5114" spans="1:8">
      <c r="A5114" t="s">
        <v>244</v>
      </c>
      <c r="B5114" t="s">
        <v>119</v>
      </c>
      <c r="C5114">
        <v>103</v>
      </c>
      <c r="D5114" t="s">
        <v>1282</v>
      </c>
    </row>
    <row r="5115" spans="1:8">
      <c r="A5115" t="s">
        <v>242</v>
      </c>
      <c r="B5115" t="s">
        <v>119</v>
      </c>
      <c r="C5115">
        <v>103</v>
      </c>
      <c r="D5115" t="s">
        <v>4230</v>
      </c>
      <c r="E5115" t="s">
        <v>4231</v>
      </c>
      <c r="F5115" t="s">
        <v>119</v>
      </c>
      <c r="G5115" t="s">
        <v>4232</v>
      </c>
      <c r="H5115" t="s">
        <v>4233</v>
      </c>
    </row>
    <row r="5116" spans="1:8">
      <c r="A5116" t="s">
        <v>240</v>
      </c>
      <c r="B5116" t="s">
        <v>119</v>
      </c>
      <c r="C5116">
        <v>103</v>
      </c>
      <c r="D5116" t="s">
        <v>4234</v>
      </c>
      <c r="E5116" t="s">
        <v>4235</v>
      </c>
      <c r="F5116" t="s">
        <v>119</v>
      </c>
      <c r="G5116" t="s">
        <v>4236</v>
      </c>
      <c r="H5116" t="s">
        <v>4237</v>
      </c>
    </row>
    <row r="5117" spans="1:8">
      <c r="A5117" t="s">
        <v>241</v>
      </c>
      <c r="B5117" t="s">
        <v>141</v>
      </c>
      <c r="C5117">
        <v>103</v>
      </c>
      <c r="D5117" t="s">
        <v>12979</v>
      </c>
      <c r="E5117" t="s">
        <v>12980</v>
      </c>
      <c r="F5117" t="s">
        <v>12981</v>
      </c>
      <c r="H5117" t="s">
        <v>12982</v>
      </c>
    </row>
    <row r="5118" spans="1:8">
      <c r="A5118" t="s">
        <v>242</v>
      </c>
      <c r="B5118" t="s">
        <v>141</v>
      </c>
      <c r="C5118">
        <v>103</v>
      </c>
      <c r="D5118" t="s">
        <v>8885</v>
      </c>
      <c r="E5118" t="s">
        <v>12983</v>
      </c>
      <c r="G5118" t="s">
        <v>12984</v>
      </c>
      <c r="H5118" t="s">
        <v>12985</v>
      </c>
    </row>
    <row r="5119" spans="1:8">
      <c r="A5119" t="s">
        <v>239</v>
      </c>
      <c r="B5119" t="s">
        <v>141</v>
      </c>
      <c r="C5119">
        <v>103</v>
      </c>
      <c r="D5119" t="s">
        <v>12986</v>
      </c>
      <c r="E5119" t="s">
        <v>12987</v>
      </c>
      <c r="F5119" t="s">
        <v>141</v>
      </c>
      <c r="H5119" t="s">
        <v>12988</v>
      </c>
    </row>
    <row r="5120" spans="1:8">
      <c r="A5120" t="s">
        <v>242</v>
      </c>
      <c r="B5120" t="s">
        <v>141</v>
      </c>
      <c r="C5120">
        <v>103</v>
      </c>
      <c r="D5120" t="s">
        <v>12989</v>
      </c>
      <c r="E5120" t="s">
        <v>12990</v>
      </c>
      <c r="F5120" t="s">
        <v>141</v>
      </c>
      <c r="G5120" t="s">
        <v>12991</v>
      </c>
      <c r="H5120" t="s">
        <v>12992</v>
      </c>
    </row>
    <row r="5121" spans="1:8">
      <c r="A5121" t="s">
        <v>241</v>
      </c>
      <c r="B5121" t="s">
        <v>141</v>
      </c>
      <c r="C5121">
        <v>103</v>
      </c>
      <c r="D5121" t="s">
        <v>12993</v>
      </c>
      <c r="E5121" t="s">
        <v>12994</v>
      </c>
      <c r="F5121" t="s">
        <v>141</v>
      </c>
      <c r="G5121" t="s">
        <v>12995</v>
      </c>
      <c r="H5121" t="s">
        <v>12996</v>
      </c>
    </row>
    <row r="5122" spans="1:8">
      <c r="A5122" t="s">
        <v>241</v>
      </c>
      <c r="B5122" t="s">
        <v>151</v>
      </c>
      <c r="C5122">
        <v>103</v>
      </c>
      <c r="D5122" t="s">
        <v>15598</v>
      </c>
      <c r="E5122" t="s">
        <v>15599</v>
      </c>
      <c r="F5122" t="s">
        <v>151</v>
      </c>
      <c r="H5122" t="s">
        <v>15600</v>
      </c>
    </row>
    <row r="5123" spans="1:8">
      <c r="A5123" t="s">
        <v>245</v>
      </c>
      <c r="B5123" t="s">
        <v>151</v>
      </c>
      <c r="C5123">
        <v>103</v>
      </c>
      <c r="D5123" t="s">
        <v>15601</v>
      </c>
      <c r="E5123" t="s">
        <v>15602</v>
      </c>
      <c r="F5123" t="s">
        <v>151</v>
      </c>
      <c r="G5123" t="s">
        <v>15603</v>
      </c>
      <c r="H5123" t="s">
        <v>15604</v>
      </c>
    </row>
    <row r="5124" spans="1:8">
      <c r="A5124" t="s">
        <v>238</v>
      </c>
      <c r="B5124" t="s">
        <v>151</v>
      </c>
      <c r="C5124">
        <v>103</v>
      </c>
      <c r="D5124" t="s">
        <v>15605</v>
      </c>
      <c r="E5124" t="s">
        <v>15606</v>
      </c>
      <c r="F5124" t="s">
        <v>151</v>
      </c>
      <c r="H5124" t="s">
        <v>15607</v>
      </c>
    </row>
    <row r="5125" spans="1:8">
      <c r="A5125" t="s">
        <v>241</v>
      </c>
      <c r="B5125" t="s">
        <v>151</v>
      </c>
      <c r="C5125">
        <v>103</v>
      </c>
      <c r="D5125" t="s">
        <v>15608</v>
      </c>
      <c r="E5125" t="s">
        <v>15609</v>
      </c>
      <c r="F5125" t="s">
        <v>151</v>
      </c>
      <c r="G5125" t="s">
        <v>15610</v>
      </c>
      <c r="H5125" t="s">
        <v>15611</v>
      </c>
    </row>
    <row r="5126" spans="1:8">
      <c r="A5126" t="s">
        <v>242</v>
      </c>
      <c r="B5126" t="s">
        <v>151</v>
      </c>
      <c r="C5126">
        <v>103</v>
      </c>
      <c r="D5126" t="s">
        <v>15612</v>
      </c>
      <c r="E5126" t="s">
        <v>15613</v>
      </c>
      <c r="F5126" t="s">
        <v>151</v>
      </c>
    </row>
    <row r="5127" spans="1:8">
      <c r="A5127" t="s">
        <v>242</v>
      </c>
      <c r="B5127" t="s">
        <v>151</v>
      </c>
      <c r="C5127">
        <v>103</v>
      </c>
      <c r="D5127" t="s">
        <v>15614</v>
      </c>
      <c r="E5127" t="s">
        <v>15615</v>
      </c>
      <c r="F5127" t="s">
        <v>15616</v>
      </c>
      <c r="G5127" t="s">
        <v>15617</v>
      </c>
      <c r="H5127" t="s">
        <v>15618</v>
      </c>
    </row>
    <row r="5128" spans="1:8">
      <c r="A5128" t="s">
        <v>243</v>
      </c>
      <c r="B5128" t="s">
        <v>151</v>
      </c>
      <c r="C5128">
        <v>103</v>
      </c>
      <c r="D5128" t="s">
        <v>15619</v>
      </c>
      <c r="E5128" t="s">
        <v>15620</v>
      </c>
      <c r="F5128" t="s">
        <v>15621</v>
      </c>
      <c r="G5128" t="s">
        <v>15622</v>
      </c>
    </row>
    <row r="5129" spans="1:8">
      <c r="A5129" t="s">
        <v>242</v>
      </c>
      <c r="B5129" t="s">
        <v>151</v>
      </c>
      <c r="C5129">
        <v>103</v>
      </c>
      <c r="D5129" t="s">
        <v>15623</v>
      </c>
      <c r="E5129" t="s">
        <v>15624</v>
      </c>
      <c r="F5129" t="s">
        <v>151</v>
      </c>
    </row>
    <row r="5130" spans="1:8">
      <c r="A5130" t="s">
        <v>241</v>
      </c>
      <c r="B5130" t="s">
        <v>151</v>
      </c>
      <c r="C5130">
        <v>103</v>
      </c>
      <c r="D5130" t="s">
        <v>15625</v>
      </c>
      <c r="E5130" t="s">
        <v>15626</v>
      </c>
      <c r="F5130" t="s">
        <v>151</v>
      </c>
      <c r="G5130" t="s">
        <v>15627</v>
      </c>
      <c r="H5130" t="s">
        <v>15628</v>
      </c>
    </row>
    <row r="5131" spans="1:8">
      <c r="A5131" t="s">
        <v>242</v>
      </c>
      <c r="B5131" t="s">
        <v>151</v>
      </c>
      <c r="C5131">
        <v>103</v>
      </c>
      <c r="D5131" t="s">
        <v>15629</v>
      </c>
      <c r="E5131" t="s">
        <v>15630</v>
      </c>
      <c r="F5131" t="s">
        <v>151</v>
      </c>
      <c r="H5131" t="s">
        <v>15631</v>
      </c>
    </row>
    <row r="5132" spans="1:8">
      <c r="A5132" t="s">
        <v>242</v>
      </c>
      <c r="B5132" t="s">
        <v>151</v>
      </c>
      <c r="C5132">
        <v>103</v>
      </c>
      <c r="D5132" t="s">
        <v>15632</v>
      </c>
      <c r="E5132" t="s">
        <v>15633</v>
      </c>
      <c r="F5132" t="s">
        <v>151</v>
      </c>
      <c r="G5132" t="s">
        <v>15634</v>
      </c>
      <c r="H5132" t="s">
        <v>15635</v>
      </c>
    </row>
    <row r="5133" spans="1:8">
      <c r="A5133" t="s">
        <v>246</v>
      </c>
      <c r="B5133" t="s">
        <v>151</v>
      </c>
      <c r="C5133">
        <v>103</v>
      </c>
      <c r="D5133" t="s">
        <v>15636</v>
      </c>
      <c r="F5133" t="s">
        <v>15636</v>
      </c>
    </row>
    <row r="5134" spans="1:8">
      <c r="A5134" t="s">
        <v>245</v>
      </c>
      <c r="B5134" t="s">
        <v>151</v>
      </c>
      <c r="C5134">
        <v>103</v>
      </c>
      <c r="D5134" t="s">
        <v>15637</v>
      </c>
      <c r="E5134" t="s">
        <v>15638</v>
      </c>
      <c r="F5134" t="s">
        <v>151</v>
      </c>
      <c r="G5134" t="s">
        <v>15639</v>
      </c>
      <c r="H5134" t="s">
        <v>15640</v>
      </c>
    </row>
    <row r="5135" spans="1:8">
      <c r="A5135" t="s">
        <v>241</v>
      </c>
      <c r="B5135" t="s">
        <v>151</v>
      </c>
      <c r="C5135">
        <v>103</v>
      </c>
      <c r="D5135" t="s">
        <v>15641</v>
      </c>
      <c r="E5135" t="s">
        <v>15642</v>
      </c>
      <c r="F5135" t="s">
        <v>151</v>
      </c>
      <c r="H5135" t="s">
        <v>15643</v>
      </c>
    </row>
    <row r="5136" spans="1:8">
      <c r="A5136" t="s">
        <v>238</v>
      </c>
      <c r="B5136" t="s">
        <v>151</v>
      </c>
      <c r="C5136">
        <v>103</v>
      </c>
      <c r="D5136" t="s">
        <v>15644</v>
      </c>
      <c r="E5136" t="s">
        <v>15645</v>
      </c>
      <c r="F5136" t="s">
        <v>151</v>
      </c>
      <c r="G5136" t="s">
        <v>15646</v>
      </c>
      <c r="H5136" t="s">
        <v>15647</v>
      </c>
    </row>
    <row r="5137" spans="1:8">
      <c r="A5137" t="s">
        <v>240</v>
      </c>
      <c r="B5137" t="s">
        <v>151</v>
      </c>
      <c r="C5137">
        <v>103</v>
      </c>
      <c r="D5137" t="s">
        <v>15636</v>
      </c>
      <c r="E5137" t="s">
        <v>15648</v>
      </c>
      <c r="F5137" t="s">
        <v>151</v>
      </c>
    </row>
    <row r="5138" spans="1:8">
      <c r="A5138" t="s">
        <v>243</v>
      </c>
      <c r="B5138" t="s">
        <v>151</v>
      </c>
      <c r="C5138">
        <v>103</v>
      </c>
      <c r="D5138" t="s">
        <v>15649</v>
      </c>
      <c r="E5138" t="s">
        <v>15650</v>
      </c>
      <c r="F5138" t="s">
        <v>151</v>
      </c>
      <c r="G5138" t="s">
        <v>15651</v>
      </c>
      <c r="H5138" t="s">
        <v>15652</v>
      </c>
    </row>
    <row r="5139" spans="1:8">
      <c r="A5139" t="s">
        <v>242</v>
      </c>
      <c r="B5139" t="s">
        <v>151</v>
      </c>
      <c r="C5139">
        <v>103</v>
      </c>
      <c r="D5139" t="s">
        <v>15653</v>
      </c>
    </row>
    <row r="5140" spans="1:8">
      <c r="A5140" t="s">
        <v>242</v>
      </c>
      <c r="B5140" t="s">
        <v>151</v>
      </c>
      <c r="C5140">
        <v>103</v>
      </c>
      <c r="D5140" t="s">
        <v>15654</v>
      </c>
      <c r="E5140" t="s">
        <v>15655</v>
      </c>
      <c r="F5140" t="s">
        <v>151</v>
      </c>
      <c r="H5140" t="s">
        <v>15656</v>
      </c>
    </row>
    <row r="5141" spans="1:8">
      <c r="A5141" t="s">
        <v>242</v>
      </c>
      <c r="B5141" t="s">
        <v>151</v>
      </c>
      <c r="C5141">
        <v>103</v>
      </c>
      <c r="D5141" t="s">
        <v>15657</v>
      </c>
      <c r="E5141" t="s">
        <v>15658</v>
      </c>
      <c r="F5141" t="s">
        <v>151</v>
      </c>
      <c r="G5141" t="s">
        <v>15659</v>
      </c>
      <c r="H5141" t="s">
        <v>15660</v>
      </c>
    </row>
    <row r="5142" spans="1:8">
      <c r="A5142" t="s">
        <v>243</v>
      </c>
      <c r="B5142" t="s">
        <v>151</v>
      </c>
      <c r="C5142">
        <v>103</v>
      </c>
      <c r="D5142" t="s">
        <v>15661</v>
      </c>
    </row>
    <row r="5143" spans="1:8">
      <c r="A5143" t="s">
        <v>240</v>
      </c>
      <c r="B5143" t="s">
        <v>151</v>
      </c>
      <c r="C5143">
        <v>103</v>
      </c>
      <c r="D5143" t="s">
        <v>15662</v>
      </c>
      <c r="E5143" t="s">
        <v>15663</v>
      </c>
      <c r="F5143" t="s">
        <v>151</v>
      </c>
      <c r="G5143" t="s">
        <v>15664</v>
      </c>
      <c r="H5143" t="s">
        <v>15665</v>
      </c>
    </row>
    <row r="5144" spans="1:8">
      <c r="A5144" t="s">
        <v>242</v>
      </c>
      <c r="B5144" t="s">
        <v>151</v>
      </c>
      <c r="C5144">
        <v>103</v>
      </c>
      <c r="D5144" t="s">
        <v>15666</v>
      </c>
      <c r="E5144" t="s">
        <v>15667</v>
      </c>
      <c r="H5144" t="s">
        <v>15668</v>
      </c>
    </row>
    <row r="5145" spans="1:8">
      <c r="A5145" t="s">
        <v>243</v>
      </c>
      <c r="B5145" t="s">
        <v>151</v>
      </c>
      <c r="C5145">
        <v>103</v>
      </c>
      <c r="D5145" t="s">
        <v>15669</v>
      </c>
      <c r="G5145" t="s">
        <v>15670</v>
      </c>
      <c r="H5145" t="s">
        <v>15671</v>
      </c>
    </row>
    <row r="5146" spans="1:8">
      <c r="A5146" t="s">
        <v>238</v>
      </c>
      <c r="B5146" t="s">
        <v>151</v>
      </c>
      <c r="C5146">
        <v>103</v>
      </c>
      <c r="D5146" t="s">
        <v>15672</v>
      </c>
      <c r="E5146" t="s">
        <v>15673</v>
      </c>
      <c r="F5146" t="s">
        <v>151</v>
      </c>
      <c r="G5146" t="s">
        <v>15674</v>
      </c>
      <c r="H5146" t="s">
        <v>15675</v>
      </c>
    </row>
    <row r="5147" spans="1:8">
      <c r="A5147" t="s">
        <v>241</v>
      </c>
      <c r="B5147" t="s">
        <v>151</v>
      </c>
      <c r="C5147">
        <v>103</v>
      </c>
      <c r="D5147" t="s">
        <v>15676</v>
      </c>
      <c r="E5147" t="s">
        <v>15677</v>
      </c>
      <c r="H5147" t="s">
        <v>15678</v>
      </c>
    </row>
    <row r="5148" spans="1:8">
      <c r="A5148" t="s">
        <v>238</v>
      </c>
      <c r="B5148" t="s">
        <v>151</v>
      </c>
      <c r="C5148">
        <v>103</v>
      </c>
      <c r="D5148" t="s">
        <v>15679</v>
      </c>
      <c r="E5148" t="s">
        <v>15680</v>
      </c>
      <c r="G5148" t="s">
        <v>15681</v>
      </c>
      <c r="H5148" t="s">
        <v>15682</v>
      </c>
    </row>
    <row r="5149" spans="1:8">
      <c r="A5149" t="s">
        <v>243</v>
      </c>
      <c r="B5149" t="s">
        <v>151</v>
      </c>
      <c r="C5149">
        <v>103</v>
      </c>
      <c r="D5149" t="s">
        <v>15683</v>
      </c>
      <c r="E5149" t="s">
        <v>15684</v>
      </c>
      <c r="G5149" t="s">
        <v>15685</v>
      </c>
      <c r="H5149" t="s">
        <v>15686</v>
      </c>
    </row>
    <row r="5150" spans="1:8">
      <c r="A5150" t="s">
        <v>241</v>
      </c>
      <c r="B5150" t="s">
        <v>151</v>
      </c>
      <c r="C5150">
        <v>103</v>
      </c>
      <c r="D5150" t="s">
        <v>15687</v>
      </c>
      <c r="E5150" t="s">
        <v>15688</v>
      </c>
      <c r="H5150" t="s">
        <v>15689</v>
      </c>
    </row>
    <row r="5151" spans="1:8">
      <c r="A5151" t="s">
        <v>238</v>
      </c>
      <c r="B5151" t="s">
        <v>151</v>
      </c>
      <c r="C5151">
        <v>103</v>
      </c>
      <c r="D5151" t="s">
        <v>15690</v>
      </c>
      <c r="E5151" t="s">
        <v>15691</v>
      </c>
      <c r="F5151" t="s">
        <v>15692</v>
      </c>
      <c r="H5151" t="s">
        <v>15693</v>
      </c>
    </row>
    <row r="5152" spans="1:8">
      <c r="A5152" t="s">
        <v>241</v>
      </c>
      <c r="B5152" t="s">
        <v>151</v>
      </c>
      <c r="C5152">
        <v>103</v>
      </c>
      <c r="D5152" t="s">
        <v>15694</v>
      </c>
      <c r="E5152" t="s">
        <v>15695</v>
      </c>
      <c r="F5152" t="s">
        <v>151</v>
      </c>
      <c r="H5152" t="s">
        <v>15696</v>
      </c>
    </row>
    <row r="5153" spans="1:8">
      <c r="A5153" t="s">
        <v>243</v>
      </c>
      <c r="B5153" t="s">
        <v>151</v>
      </c>
      <c r="C5153">
        <v>103</v>
      </c>
      <c r="D5153" t="s">
        <v>15697</v>
      </c>
      <c r="E5153" t="s">
        <v>15698</v>
      </c>
      <c r="H5153" t="s">
        <v>15699</v>
      </c>
    </row>
    <row r="5154" spans="1:8">
      <c r="A5154" t="s">
        <v>242</v>
      </c>
      <c r="B5154" t="s">
        <v>151</v>
      </c>
      <c r="C5154">
        <v>103</v>
      </c>
      <c r="D5154" t="s">
        <v>15700</v>
      </c>
      <c r="F5154" t="s">
        <v>15701</v>
      </c>
      <c r="H5154" t="s">
        <v>15702</v>
      </c>
    </row>
    <row r="5155" spans="1:8">
      <c r="A5155" t="s">
        <v>244</v>
      </c>
      <c r="B5155" t="s">
        <v>151</v>
      </c>
      <c r="C5155">
        <v>103</v>
      </c>
      <c r="D5155" t="s">
        <v>1282</v>
      </c>
      <c r="F5155" t="s">
        <v>151</v>
      </c>
      <c r="G5155" t="s">
        <v>15703</v>
      </c>
      <c r="H5155" t="s">
        <v>15704</v>
      </c>
    </row>
    <row r="5156" spans="1:8">
      <c r="A5156" t="s">
        <v>240</v>
      </c>
      <c r="B5156" t="s">
        <v>57</v>
      </c>
      <c r="C5156">
        <v>103</v>
      </c>
      <c r="D5156" t="s">
        <v>4202</v>
      </c>
      <c r="E5156" t="s">
        <v>18253</v>
      </c>
      <c r="F5156" t="s">
        <v>57</v>
      </c>
      <c r="G5156" t="s">
        <v>18254</v>
      </c>
      <c r="H5156" t="s">
        <v>18255</v>
      </c>
    </row>
    <row r="5157" spans="1:8">
      <c r="A5157" t="s">
        <v>243</v>
      </c>
      <c r="B5157" t="s">
        <v>57</v>
      </c>
      <c r="C5157">
        <v>103</v>
      </c>
      <c r="D5157" t="s">
        <v>18256</v>
      </c>
      <c r="E5157" t="s">
        <v>18257</v>
      </c>
    </row>
    <row r="5158" spans="1:8">
      <c r="A5158" t="s">
        <v>241</v>
      </c>
      <c r="B5158" t="s">
        <v>57</v>
      </c>
      <c r="C5158">
        <v>103</v>
      </c>
      <c r="D5158" t="s">
        <v>18258</v>
      </c>
      <c r="E5158" t="s">
        <v>18259</v>
      </c>
      <c r="G5158" t="s">
        <v>18260</v>
      </c>
      <c r="H5158" t="s">
        <v>18261</v>
      </c>
    </row>
    <row r="5159" spans="1:8">
      <c r="A5159" t="s">
        <v>241</v>
      </c>
      <c r="B5159" t="s">
        <v>57</v>
      </c>
      <c r="C5159">
        <v>103</v>
      </c>
      <c r="D5159" t="s">
        <v>18262</v>
      </c>
      <c r="E5159" t="s">
        <v>18263</v>
      </c>
      <c r="F5159" t="s">
        <v>57</v>
      </c>
      <c r="G5159" t="s">
        <v>18264</v>
      </c>
      <c r="H5159" t="s">
        <v>18265</v>
      </c>
    </row>
    <row r="5160" spans="1:8">
      <c r="A5160" t="s">
        <v>242</v>
      </c>
      <c r="B5160" t="s">
        <v>57</v>
      </c>
      <c r="C5160">
        <v>103</v>
      </c>
      <c r="D5160" t="s">
        <v>11589</v>
      </c>
      <c r="E5160" t="s">
        <v>18266</v>
      </c>
      <c r="F5160" t="s">
        <v>18267</v>
      </c>
      <c r="G5160" t="s">
        <v>18268</v>
      </c>
      <c r="H5160" t="s">
        <v>18269</v>
      </c>
    </row>
    <row r="5161" spans="1:8">
      <c r="A5161" t="s">
        <v>241</v>
      </c>
      <c r="B5161" t="s">
        <v>57</v>
      </c>
      <c r="C5161">
        <v>103</v>
      </c>
      <c r="D5161" t="s">
        <v>18270</v>
      </c>
      <c r="E5161" t="s">
        <v>18271</v>
      </c>
      <c r="F5161" t="s">
        <v>57</v>
      </c>
      <c r="H5161" t="s">
        <v>18272</v>
      </c>
    </row>
    <row r="5162" spans="1:8">
      <c r="A5162" t="s">
        <v>238</v>
      </c>
      <c r="B5162" t="s">
        <v>57</v>
      </c>
      <c r="C5162">
        <v>103</v>
      </c>
      <c r="D5162" t="s">
        <v>18273</v>
      </c>
      <c r="E5162" t="s">
        <v>18274</v>
      </c>
      <c r="F5162" t="s">
        <v>57</v>
      </c>
      <c r="G5162" t="s">
        <v>18275</v>
      </c>
      <c r="H5162" t="s">
        <v>18276</v>
      </c>
    </row>
    <row r="5163" spans="1:8">
      <c r="A5163" t="s">
        <v>242</v>
      </c>
      <c r="B5163" t="s">
        <v>172</v>
      </c>
      <c r="C5163">
        <v>104</v>
      </c>
      <c r="D5163" t="s">
        <v>4206</v>
      </c>
      <c r="E5163" t="s">
        <v>4207</v>
      </c>
      <c r="F5163" t="s">
        <v>172</v>
      </c>
      <c r="G5163" t="s">
        <v>4208</v>
      </c>
      <c r="H5163" t="s">
        <v>4209</v>
      </c>
    </row>
    <row r="5164" spans="1:8">
      <c r="A5164" t="s">
        <v>241</v>
      </c>
      <c r="B5164" t="s">
        <v>172</v>
      </c>
      <c r="C5164">
        <v>104</v>
      </c>
      <c r="D5164" t="s">
        <v>4210</v>
      </c>
      <c r="E5164" t="s">
        <v>4211</v>
      </c>
      <c r="F5164" t="s">
        <v>4212</v>
      </c>
      <c r="G5164" t="s">
        <v>4213</v>
      </c>
      <c r="H5164" t="s">
        <v>4214</v>
      </c>
    </row>
    <row r="5165" spans="1:8">
      <c r="A5165" t="s">
        <v>240</v>
      </c>
      <c r="B5165" t="s">
        <v>172</v>
      </c>
      <c r="C5165">
        <v>104</v>
      </c>
      <c r="D5165" t="s">
        <v>4215</v>
      </c>
      <c r="E5165" t="s">
        <v>4216</v>
      </c>
      <c r="F5165" t="s">
        <v>172</v>
      </c>
      <c r="G5165" t="s">
        <v>4217</v>
      </c>
      <c r="H5165" t="s">
        <v>4218</v>
      </c>
    </row>
    <row r="5166" spans="1:8">
      <c r="A5166" t="s">
        <v>240</v>
      </c>
      <c r="B5166" t="s">
        <v>172</v>
      </c>
      <c r="C5166">
        <v>104</v>
      </c>
      <c r="D5166" t="s">
        <v>4219</v>
      </c>
      <c r="E5166" t="s">
        <v>4220</v>
      </c>
      <c r="F5166" t="s">
        <v>172</v>
      </c>
      <c r="G5166" t="s">
        <v>4221</v>
      </c>
      <c r="H5166" t="s">
        <v>4222</v>
      </c>
    </row>
    <row r="5167" spans="1:8">
      <c r="A5167" t="s">
        <v>241</v>
      </c>
      <c r="B5167" t="s">
        <v>172</v>
      </c>
      <c r="C5167">
        <v>104</v>
      </c>
      <c r="D5167" t="s">
        <v>4223</v>
      </c>
      <c r="E5167" t="s">
        <v>4224</v>
      </c>
      <c r="F5167" t="s">
        <v>172</v>
      </c>
      <c r="G5167" t="s">
        <v>4225</v>
      </c>
      <c r="H5167" t="s">
        <v>4226</v>
      </c>
    </row>
    <row r="5168" spans="1:8">
      <c r="A5168" t="s">
        <v>241</v>
      </c>
      <c r="B5168" t="s">
        <v>153</v>
      </c>
      <c r="C5168">
        <v>104</v>
      </c>
      <c r="D5168" t="s">
        <v>15978</v>
      </c>
      <c r="E5168" t="s">
        <v>15979</v>
      </c>
      <c r="F5168" t="s">
        <v>15980</v>
      </c>
      <c r="G5168" t="s">
        <v>15981</v>
      </c>
      <c r="H5168" t="s">
        <v>15982</v>
      </c>
    </row>
    <row r="5169" spans="1:8">
      <c r="A5169" t="s">
        <v>242</v>
      </c>
      <c r="B5169" t="s">
        <v>153</v>
      </c>
      <c r="C5169">
        <v>104</v>
      </c>
      <c r="D5169" t="s">
        <v>15983</v>
      </c>
      <c r="E5169" t="s">
        <v>15984</v>
      </c>
      <c r="F5169" t="s">
        <v>153</v>
      </c>
      <c r="G5169" t="s">
        <v>15985</v>
      </c>
    </row>
    <row r="5170" spans="1:8">
      <c r="A5170" t="s">
        <v>239</v>
      </c>
      <c r="B5170" t="s">
        <v>153</v>
      </c>
      <c r="C5170">
        <v>104</v>
      </c>
      <c r="D5170" t="s">
        <v>15986</v>
      </c>
      <c r="E5170" t="s">
        <v>15987</v>
      </c>
      <c r="F5170" t="s">
        <v>15980</v>
      </c>
    </row>
    <row r="5171" spans="1:8">
      <c r="A5171" t="s">
        <v>238</v>
      </c>
      <c r="B5171" t="s">
        <v>153</v>
      </c>
      <c r="C5171">
        <v>104</v>
      </c>
      <c r="D5171" t="s">
        <v>15988</v>
      </c>
      <c r="E5171" t="s">
        <v>15989</v>
      </c>
      <c r="F5171" t="s">
        <v>153</v>
      </c>
      <c r="G5171" t="s">
        <v>15990</v>
      </c>
      <c r="H5171" t="s">
        <v>15991</v>
      </c>
    </row>
    <row r="5172" spans="1:8">
      <c r="A5172" t="s">
        <v>239</v>
      </c>
      <c r="B5172" t="s">
        <v>153</v>
      </c>
      <c r="C5172">
        <v>104</v>
      </c>
      <c r="D5172" t="s">
        <v>15992</v>
      </c>
      <c r="E5172" t="s">
        <v>15993</v>
      </c>
      <c r="H5172" t="s">
        <v>15994</v>
      </c>
    </row>
    <row r="5173" spans="1:8">
      <c r="A5173" t="s">
        <v>242</v>
      </c>
      <c r="B5173" t="s">
        <v>227</v>
      </c>
      <c r="C5173">
        <v>105</v>
      </c>
      <c r="D5173" t="s">
        <v>8885</v>
      </c>
      <c r="E5173" t="s">
        <v>13312</v>
      </c>
      <c r="F5173" t="s">
        <v>227</v>
      </c>
      <c r="G5173" t="s">
        <v>13313</v>
      </c>
      <c r="H5173" t="s">
        <v>13314</v>
      </c>
    </row>
    <row r="5174" spans="1:8">
      <c r="A5174" t="s">
        <v>242</v>
      </c>
      <c r="B5174" t="s">
        <v>227</v>
      </c>
      <c r="C5174">
        <v>105</v>
      </c>
      <c r="D5174" t="s">
        <v>13315</v>
      </c>
      <c r="E5174" t="s">
        <v>13316</v>
      </c>
      <c r="F5174" t="s">
        <v>227</v>
      </c>
      <c r="H5174" t="s">
        <v>13317</v>
      </c>
    </row>
    <row r="5175" spans="1:8">
      <c r="A5175" t="s">
        <v>242</v>
      </c>
      <c r="B5175" t="s">
        <v>227</v>
      </c>
      <c r="C5175">
        <v>105</v>
      </c>
      <c r="D5175" t="s">
        <v>11682</v>
      </c>
      <c r="E5175" t="s">
        <v>13318</v>
      </c>
      <c r="F5175" t="s">
        <v>227</v>
      </c>
      <c r="G5175" t="s">
        <v>13319</v>
      </c>
      <c r="H5175" t="s">
        <v>13320</v>
      </c>
    </row>
    <row r="5176" spans="1:8">
      <c r="A5176" t="s">
        <v>242</v>
      </c>
      <c r="B5176" t="s">
        <v>227</v>
      </c>
      <c r="C5176">
        <v>105</v>
      </c>
      <c r="D5176" t="s">
        <v>13321</v>
      </c>
      <c r="F5176" t="s">
        <v>227</v>
      </c>
      <c r="G5176" t="s">
        <v>13322</v>
      </c>
      <c r="H5176" t="s">
        <v>13323</v>
      </c>
    </row>
    <row r="5177" spans="1:8">
      <c r="A5177" t="s">
        <v>249</v>
      </c>
      <c r="B5177" t="s">
        <v>10</v>
      </c>
      <c r="C5177">
        <v>106</v>
      </c>
      <c r="D5177" t="s">
        <v>2985</v>
      </c>
      <c r="E5177" t="s">
        <v>2986</v>
      </c>
      <c r="F5177" t="s">
        <v>2987</v>
      </c>
      <c r="G5177" t="s">
        <v>2988</v>
      </c>
      <c r="H5177" t="s">
        <v>2989</v>
      </c>
    </row>
    <row r="5178" spans="1:8">
      <c r="A5178" t="s">
        <v>239</v>
      </c>
      <c r="B5178" t="s">
        <v>10</v>
      </c>
      <c r="C5178">
        <v>106</v>
      </c>
      <c r="D5178" t="s">
        <v>2990</v>
      </c>
      <c r="E5178" t="s">
        <v>2991</v>
      </c>
      <c r="F5178" t="s">
        <v>2992</v>
      </c>
      <c r="G5178" t="s">
        <v>2993</v>
      </c>
      <c r="H5178" t="s">
        <v>2994</v>
      </c>
    </row>
    <row r="5179" spans="1:8">
      <c r="A5179" t="s">
        <v>238</v>
      </c>
      <c r="B5179" t="s">
        <v>10</v>
      </c>
      <c r="C5179">
        <v>106</v>
      </c>
      <c r="D5179" t="s">
        <v>2995</v>
      </c>
      <c r="E5179" t="s">
        <v>2996</v>
      </c>
      <c r="F5179" t="s">
        <v>2997</v>
      </c>
      <c r="G5179" t="s">
        <v>2998</v>
      </c>
      <c r="H5179" t="s">
        <v>2999</v>
      </c>
    </row>
    <row r="5180" spans="1:8">
      <c r="A5180" t="s">
        <v>242</v>
      </c>
      <c r="B5180" t="s">
        <v>10</v>
      </c>
      <c r="C5180">
        <v>106</v>
      </c>
      <c r="D5180" t="s">
        <v>3000</v>
      </c>
      <c r="E5180" t="s">
        <v>3001</v>
      </c>
      <c r="F5180" t="s">
        <v>10</v>
      </c>
    </row>
    <row r="5181" spans="1:8">
      <c r="A5181" t="s">
        <v>240</v>
      </c>
      <c r="B5181" t="s">
        <v>10</v>
      </c>
      <c r="C5181">
        <v>106</v>
      </c>
      <c r="D5181" t="s">
        <v>3002</v>
      </c>
      <c r="E5181" t="s">
        <v>3003</v>
      </c>
      <c r="F5181" t="s">
        <v>10</v>
      </c>
      <c r="G5181" t="s">
        <v>3004</v>
      </c>
      <c r="H5181" t="s">
        <v>3005</v>
      </c>
    </row>
    <row r="5182" spans="1:8">
      <c r="A5182" t="s">
        <v>245</v>
      </c>
      <c r="B5182" t="s">
        <v>10</v>
      </c>
      <c r="C5182">
        <v>106</v>
      </c>
      <c r="D5182" t="s">
        <v>3006</v>
      </c>
      <c r="E5182" t="s">
        <v>3007</v>
      </c>
      <c r="F5182" t="s">
        <v>10</v>
      </c>
      <c r="G5182" t="s">
        <v>3008</v>
      </c>
      <c r="H5182" t="s">
        <v>3009</v>
      </c>
    </row>
    <row r="5183" spans="1:8">
      <c r="A5183" t="s">
        <v>240</v>
      </c>
      <c r="B5183" t="s">
        <v>10</v>
      </c>
      <c r="C5183">
        <v>106</v>
      </c>
      <c r="D5183" t="s">
        <v>3010</v>
      </c>
      <c r="E5183" t="s">
        <v>3011</v>
      </c>
      <c r="F5183" t="s">
        <v>3012</v>
      </c>
      <c r="H5183" t="s">
        <v>3009</v>
      </c>
    </row>
    <row r="5184" spans="1:8">
      <c r="A5184" t="s">
        <v>238</v>
      </c>
      <c r="B5184" t="s">
        <v>10</v>
      </c>
      <c r="C5184">
        <v>106</v>
      </c>
      <c r="D5184" t="s">
        <v>3013</v>
      </c>
      <c r="E5184" t="s">
        <v>3014</v>
      </c>
      <c r="F5184" t="s">
        <v>1444</v>
      </c>
      <c r="G5184" t="s">
        <v>3015</v>
      </c>
      <c r="H5184" t="s">
        <v>3016</v>
      </c>
    </row>
    <row r="5185" spans="1:8">
      <c r="A5185" t="s">
        <v>242</v>
      </c>
      <c r="B5185" t="s">
        <v>10</v>
      </c>
      <c r="C5185">
        <v>106</v>
      </c>
      <c r="D5185" t="s">
        <v>3017</v>
      </c>
      <c r="E5185" t="s">
        <v>3018</v>
      </c>
      <c r="F5185" t="s">
        <v>3019</v>
      </c>
      <c r="G5185" t="s">
        <v>3020</v>
      </c>
      <c r="H5185" t="s">
        <v>3021</v>
      </c>
    </row>
    <row r="5186" spans="1:8">
      <c r="A5186" t="s">
        <v>241</v>
      </c>
      <c r="B5186" t="s">
        <v>10</v>
      </c>
      <c r="C5186">
        <v>106</v>
      </c>
      <c r="D5186" t="s">
        <v>3022</v>
      </c>
      <c r="E5186" t="s">
        <v>3023</v>
      </c>
      <c r="H5186" t="s">
        <v>3024</v>
      </c>
    </row>
    <row r="5187" spans="1:8">
      <c r="A5187" t="s">
        <v>241</v>
      </c>
      <c r="B5187" t="s">
        <v>10</v>
      </c>
      <c r="C5187">
        <v>106</v>
      </c>
      <c r="D5187" t="s">
        <v>3025</v>
      </c>
      <c r="E5187" t="s">
        <v>2996</v>
      </c>
      <c r="F5187" t="s">
        <v>2997</v>
      </c>
      <c r="G5187" t="s">
        <v>2998</v>
      </c>
      <c r="H5187" t="s">
        <v>2999</v>
      </c>
    </row>
    <row r="5188" spans="1:8">
      <c r="A5188" t="s">
        <v>242</v>
      </c>
      <c r="B5188" t="s">
        <v>202</v>
      </c>
      <c r="C5188">
        <v>106</v>
      </c>
      <c r="D5188" t="s">
        <v>6900</v>
      </c>
      <c r="E5188" t="s">
        <v>6901</v>
      </c>
      <c r="G5188" t="s">
        <v>6902</v>
      </c>
      <c r="H5188" t="s">
        <v>6903</v>
      </c>
    </row>
    <row r="5189" spans="1:8">
      <c r="A5189" t="s">
        <v>238</v>
      </c>
      <c r="B5189" t="s">
        <v>202</v>
      </c>
      <c r="C5189">
        <v>106</v>
      </c>
      <c r="D5189" t="s">
        <v>6904</v>
      </c>
      <c r="E5189" t="s">
        <v>6905</v>
      </c>
      <c r="F5189" t="s">
        <v>6906</v>
      </c>
      <c r="G5189" t="s">
        <v>6907</v>
      </c>
      <c r="H5189" t="s">
        <v>6908</v>
      </c>
    </row>
    <row r="5190" spans="1:8">
      <c r="A5190" t="s">
        <v>239</v>
      </c>
      <c r="B5190" t="s">
        <v>126</v>
      </c>
      <c r="C5190">
        <v>106</v>
      </c>
      <c r="D5190" t="s">
        <v>8088</v>
      </c>
      <c r="E5190" t="s">
        <v>1306</v>
      </c>
    </row>
    <row r="5191" spans="1:8">
      <c r="A5191" t="s">
        <v>239</v>
      </c>
      <c r="B5191" t="s">
        <v>126</v>
      </c>
      <c r="C5191">
        <v>106</v>
      </c>
      <c r="D5191" t="s">
        <v>8089</v>
      </c>
      <c r="E5191" t="s">
        <v>8090</v>
      </c>
      <c r="F5191" t="s">
        <v>8091</v>
      </c>
      <c r="H5191" t="s">
        <v>8092</v>
      </c>
    </row>
    <row r="5192" spans="1:8">
      <c r="A5192" t="s">
        <v>239</v>
      </c>
      <c r="B5192" t="s">
        <v>126</v>
      </c>
      <c r="C5192">
        <v>106</v>
      </c>
      <c r="D5192" t="s">
        <v>8093</v>
      </c>
      <c r="E5192" t="s">
        <v>8094</v>
      </c>
      <c r="H5192" t="s">
        <v>8095</v>
      </c>
    </row>
    <row r="5193" spans="1:8">
      <c r="A5193" t="s">
        <v>242</v>
      </c>
      <c r="B5193" t="s">
        <v>126</v>
      </c>
      <c r="C5193">
        <v>106</v>
      </c>
      <c r="D5193" t="s">
        <v>8096</v>
      </c>
      <c r="E5193" t="s">
        <v>8097</v>
      </c>
      <c r="F5193" t="s">
        <v>126</v>
      </c>
      <c r="G5193" t="s">
        <v>8098</v>
      </c>
      <c r="H5193" t="s">
        <v>8099</v>
      </c>
    </row>
    <row r="5194" spans="1:8">
      <c r="A5194" t="s">
        <v>239</v>
      </c>
      <c r="B5194" t="s">
        <v>126</v>
      </c>
      <c r="C5194">
        <v>106</v>
      </c>
      <c r="D5194" t="s">
        <v>8100</v>
      </c>
      <c r="E5194" t="s">
        <v>8101</v>
      </c>
      <c r="F5194" t="s">
        <v>8102</v>
      </c>
      <c r="G5194" t="s">
        <v>8103</v>
      </c>
      <c r="H5194" t="s">
        <v>8104</v>
      </c>
    </row>
    <row r="5195" spans="1:8">
      <c r="A5195" t="s">
        <v>239</v>
      </c>
      <c r="B5195" t="s">
        <v>126</v>
      </c>
      <c r="C5195">
        <v>106</v>
      </c>
      <c r="D5195" t="s">
        <v>8105</v>
      </c>
      <c r="E5195" t="s">
        <v>8106</v>
      </c>
      <c r="H5195" t="s">
        <v>8107</v>
      </c>
    </row>
    <row r="5196" spans="1:8">
      <c r="A5196" t="s">
        <v>238</v>
      </c>
      <c r="B5196" t="s">
        <v>126</v>
      </c>
      <c r="C5196">
        <v>106</v>
      </c>
      <c r="D5196" t="s">
        <v>8108</v>
      </c>
      <c r="E5196" t="s">
        <v>8109</v>
      </c>
      <c r="F5196" t="s">
        <v>126</v>
      </c>
      <c r="G5196" t="s">
        <v>8110</v>
      </c>
      <c r="H5196" t="s">
        <v>8111</v>
      </c>
    </row>
    <row r="5197" spans="1:8">
      <c r="A5197" t="s">
        <v>243</v>
      </c>
      <c r="B5197" t="s">
        <v>126</v>
      </c>
      <c r="C5197">
        <v>106</v>
      </c>
      <c r="D5197" t="s">
        <v>8112</v>
      </c>
      <c r="E5197" t="s">
        <v>8113</v>
      </c>
      <c r="F5197" t="s">
        <v>126</v>
      </c>
      <c r="H5197" t="s">
        <v>8114</v>
      </c>
    </row>
    <row r="5198" spans="1:8">
      <c r="A5198" t="s">
        <v>238</v>
      </c>
      <c r="B5198" t="s">
        <v>126</v>
      </c>
      <c r="C5198">
        <v>106</v>
      </c>
      <c r="D5198" t="s">
        <v>8115</v>
      </c>
      <c r="F5198" t="s">
        <v>8116</v>
      </c>
      <c r="G5198" t="s">
        <v>8117</v>
      </c>
      <c r="H5198" t="s">
        <v>8118</v>
      </c>
    </row>
    <row r="5199" spans="1:8">
      <c r="A5199" t="s">
        <v>243</v>
      </c>
      <c r="B5199" t="s">
        <v>126</v>
      </c>
      <c r="C5199">
        <v>106</v>
      </c>
      <c r="D5199" t="s">
        <v>8119</v>
      </c>
      <c r="E5199" t="s">
        <v>8120</v>
      </c>
      <c r="F5199" t="s">
        <v>126</v>
      </c>
      <c r="H5199" t="s">
        <v>8121</v>
      </c>
    </row>
    <row r="5200" spans="1:8">
      <c r="A5200" t="s">
        <v>241</v>
      </c>
      <c r="B5200" t="s">
        <v>126</v>
      </c>
      <c r="C5200">
        <v>106</v>
      </c>
      <c r="D5200" t="s">
        <v>8122</v>
      </c>
      <c r="E5200" t="s">
        <v>8123</v>
      </c>
      <c r="F5200" t="s">
        <v>126</v>
      </c>
      <c r="H5200" t="s">
        <v>8124</v>
      </c>
    </row>
    <row r="5201" spans="1:8">
      <c r="A5201" t="s">
        <v>239</v>
      </c>
      <c r="B5201" t="s">
        <v>126</v>
      </c>
      <c r="C5201">
        <v>106</v>
      </c>
      <c r="D5201" t="s">
        <v>8125</v>
      </c>
      <c r="E5201" t="s">
        <v>8126</v>
      </c>
      <c r="F5201" t="s">
        <v>8127</v>
      </c>
      <c r="H5201" t="s">
        <v>8128</v>
      </c>
    </row>
    <row r="5202" spans="1:8">
      <c r="A5202" t="s">
        <v>239</v>
      </c>
      <c r="B5202" t="s">
        <v>126</v>
      </c>
      <c r="C5202">
        <v>106</v>
      </c>
      <c r="D5202" t="s">
        <v>8129</v>
      </c>
      <c r="E5202" t="s">
        <v>8130</v>
      </c>
      <c r="H5202" t="s">
        <v>8131</v>
      </c>
    </row>
    <row r="5203" spans="1:8">
      <c r="A5203" t="s">
        <v>239</v>
      </c>
      <c r="B5203" t="s">
        <v>126</v>
      </c>
      <c r="C5203">
        <v>106</v>
      </c>
      <c r="D5203" t="s">
        <v>8088</v>
      </c>
      <c r="E5203" t="s">
        <v>8132</v>
      </c>
    </row>
    <row r="5204" spans="1:8">
      <c r="A5204" t="s">
        <v>239</v>
      </c>
      <c r="B5204" t="s">
        <v>126</v>
      </c>
      <c r="C5204">
        <v>106</v>
      </c>
      <c r="D5204" t="s">
        <v>8133</v>
      </c>
      <c r="E5204" t="s">
        <v>8134</v>
      </c>
      <c r="H5204" t="s">
        <v>8135</v>
      </c>
    </row>
    <row r="5205" spans="1:8">
      <c r="A5205" t="s">
        <v>239</v>
      </c>
      <c r="B5205" t="s">
        <v>126</v>
      </c>
      <c r="C5205">
        <v>106</v>
      </c>
      <c r="D5205" t="s">
        <v>8136</v>
      </c>
      <c r="E5205" t="s">
        <v>8137</v>
      </c>
      <c r="H5205" t="s">
        <v>8138</v>
      </c>
    </row>
    <row r="5206" spans="1:8">
      <c r="A5206" t="s">
        <v>239</v>
      </c>
      <c r="B5206" t="s">
        <v>126</v>
      </c>
      <c r="C5206">
        <v>106</v>
      </c>
      <c r="D5206" t="s">
        <v>8139</v>
      </c>
      <c r="E5206" t="s">
        <v>8140</v>
      </c>
      <c r="H5206" t="s">
        <v>8141</v>
      </c>
    </row>
    <row r="5207" spans="1:8">
      <c r="A5207" t="s">
        <v>239</v>
      </c>
      <c r="B5207" t="s">
        <v>126</v>
      </c>
      <c r="C5207">
        <v>106</v>
      </c>
      <c r="D5207" t="s">
        <v>8142</v>
      </c>
      <c r="E5207" t="s">
        <v>8143</v>
      </c>
      <c r="H5207" t="s">
        <v>8144</v>
      </c>
    </row>
    <row r="5208" spans="1:8">
      <c r="A5208" t="s">
        <v>239</v>
      </c>
      <c r="B5208" t="s">
        <v>126</v>
      </c>
      <c r="C5208">
        <v>106</v>
      </c>
      <c r="D5208" t="s">
        <v>8145</v>
      </c>
      <c r="H5208" t="s">
        <v>8146</v>
      </c>
    </row>
    <row r="5209" spans="1:8">
      <c r="A5209" t="s">
        <v>239</v>
      </c>
      <c r="B5209" t="s">
        <v>126</v>
      </c>
      <c r="C5209">
        <v>106</v>
      </c>
      <c r="D5209" t="s">
        <v>8147</v>
      </c>
      <c r="E5209" t="s">
        <v>8148</v>
      </c>
      <c r="F5209" t="s">
        <v>126</v>
      </c>
      <c r="G5209" t="s">
        <v>8149</v>
      </c>
      <c r="H5209" t="s">
        <v>8150</v>
      </c>
    </row>
    <row r="5210" spans="1:8">
      <c r="A5210" t="s">
        <v>239</v>
      </c>
      <c r="B5210" t="s">
        <v>126</v>
      </c>
      <c r="C5210">
        <v>106</v>
      </c>
      <c r="D5210" t="s">
        <v>8151</v>
      </c>
      <c r="E5210" t="s">
        <v>8148</v>
      </c>
      <c r="F5210" t="s">
        <v>126</v>
      </c>
      <c r="G5210" t="s">
        <v>8149</v>
      </c>
      <c r="H5210" t="s">
        <v>8152</v>
      </c>
    </row>
    <row r="5211" spans="1:8">
      <c r="A5211" t="s">
        <v>239</v>
      </c>
      <c r="B5211" t="s">
        <v>126</v>
      </c>
      <c r="C5211">
        <v>106</v>
      </c>
      <c r="D5211" t="s">
        <v>8153</v>
      </c>
      <c r="E5211" t="s">
        <v>8154</v>
      </c>
      <c r="F5211" t="s">
        <v>8155</v>
      </c>
      <c r="H5211" t="s">
        <v>8156</v>
      </c>
    </row>
    <row r="5212" spans="1:8">
      <c r="A5212" t="s">
        <v>239</v>
      </c>
      <c r="B5212" t="s">
        <v>126</v>
      </c>
      <c r="C5212">
        <v>106</v>
      </c>
      <c r="D5212" t="s">
        <v>126</v>
      </c>
      <c r="E5212" t="s">
        <v>8148</v>
      </c>
      <c r="F5212" t="s">
        <v>126</v>
      </c>
      <c r="G5212" t="s">
        <v>8149</v>
      </c>
      <c r="H5212" t="s">
        <v>8152</v>
      </c>
    </row>
    <row r="5213" spans="1:8">
      <c r="A5213" t="s">
        <v>242</v>
      </c>
      <c r="B5213" t="s">
        <v>126</v>
      </c>
      <c r="C5213">
        <v>106</v>
      </c>
      <c r="D5213" t="s">
        <v>8157</v>
      </c>
      <c r="E5213" t="s">
        <v>8158</v>
      </c>
      <c r="G5213" t="s">
        <v>8159</v>
      </c>
      <c r="H5213" t="s">
        <v>8160</v>
      </c>
    </row>
    <row r="5214" spans="1:8">
      <c r="A5214" t="s">
        <v>242</v>
      </c>
      <c r="B5214" t="s">
        <v>126</v>
      </c>
      <c r="C5214">
        <v>106</v>
      </c>
      <c r="D5214" t="s">
        <v>8161</v>
      </c>
      <c r="F5214" t="s">
        <v>126</v>
      </c>
      <c r="G5214" t="s">
        <v>8162</v>
      </c>
      <c r="H5214" t="s">
        <v>8163</v>
      </c>
    </row>
    <row r="5215" spans="1:8">
      <c r="A5215" t="s">
        <v>241</v>
      </c>
      <c r="B5215" t="s">
        <v>126</v>
      </c>
      <c r="C5215">
        <v>106</v>
      </c>
      <c r="D5215" t="s">
        <v>8164</v>
      </c>
      <c r="E5215" t="s">
        <v>3517</v>
      </c>
      <c r="F5215" t="s">
        <v>126</v>
      </c>
      <c r="G5215" t="s">
        <v>8165</v>
      </c>
      <c r="H5215" t="s">
        <v>8166</v>
      </c>
    </row>
    <row r="5216" spans="1:8">
      <c r="A5216" t="s">
        <v>242</v>
      </c>
      <c r="B5216" t="s">
        <v>126</v>
      </c>
      <c r="C5216">
        <v>106</v>
      </c>
      <c r="D5216" t="s">
        <v>8167</v>
      </c>
      <c r="E5216" t="s">
        <v>8168</v>
      </c>
      <c r="F5216" t="s">
        <v>126</v>
      </c>
    </row>
    <row r="5217" spans="1:8">
      <c r="A5217" t="s">
        <v>241</v>
      </c>
      <c r="B5217" t="s">
        <v>126</v>
      </c>
      <c r="C5217">
        <v>106</v>
      </c>
      <c r="D5217" t="s">
        <v>8169</v>
      </c>
      <c r="E5217" t="s">
        <v>8170</v>
      </c>
      <c r="F5217" t="s">
        <v>126</v>
      </c>
      <c r="G5217" t="s">
        <v>8171</v>
      </c>
      <c r="H5217" t="s">
        <v>8172</v>
      </c>
    </row>
    <row r="5218" spans="1:8">
      <c r="A5218" t="s">
        <v>239</v>
      </c>
      <c r="B5218" t="s">
        <v>126</v>
      </c>
      <c r="C5218">
        <v>106</v>
      </c>
      <c r="D5218" t="s">
        <v>8173</v>
      </c>
      <c r="E5218" t="s">
        <v>8174</v>
      </c>
      <c r="H5218" t="s">
        <v>8175</v>
      </c>
    </row>
    <row r="5219" spans="1:8">
      <c r="A5219" t="s">
        <v>239</v>
      </c>
      <c r="B5219" t="s">
        <v>126</v>
      </c>
      <c r="C5219">
        <v>106</v>
      </c>
      <c r="D5219" t="s">
        <v>8176</v>
      </c>
      <c r="E5219" t="s">
        <v>8177</v>
      </c>
      <c r="H5219" t="s">
        <v>8166</v>
      </c>
    </row>
    <row r="5220" spans="1:8">
      <c r="A5220" t="s">
        <v>239</v>
      </c>
      <c r="B5220" t="s">
        <v>126</v>
      </c>
      <c r="C5220">
        <v>106</v>
      </c>
      <c r="D5220" t="s">
        <v>8178</v>
      </c>
      <c r="E5220" t="s">
        <v>8179</v>
      </c>
      <c r="H5220" t="s">
        <v>8180</v>
      </c>
    </row>
    <row r="5221" spans="1:8">
      <c r="A5221" t="s">
        <v>242</v>
      </c>
      <c r="B5221" t="s">
        <v>126</v>
      </c>
      <c r="C5221">
        <v>106</v>
      </c>
      <c r="D5221" t="s">
        <v>8181</v>
      </c>
      <c r="E5221" t="s">
        <v>8182</v>
      </c>
      <c r="F5221" t="s">
        <v>126</v>
      </c>
    </row>
    <row r="5222" spans="1:8">
      <c r="A5222" t="s">
        <v>239</v>
      </c>
      <c r="B5222" t="s">
        <v>148</v>
      </c>
      <c r="C5222">
        <v>106</v>
      </c>
      <c r="D5222" t="s">
        <v>13994</v>
      </c>
      <c r="E5222" t="s">
        <v>13995</v>
      </c>
      <c r="H5222" t="s">
        <v>13996</v>
      </c>
    </row>
    <row r="5223" spans="1:8">
      <c r="A5223" t="s">
        <v>239</v>
      </c>
      <c r="B5223" t="s">
        <v>148</v>
      </c>
      <c r="C5223">
        <v>106</v>
      </c>
      <c r="D5223" t="s">
        <v>13997</v>
      </c>
      <c r="E5223" t="s">
        <v>13998</v>
      </c>
      <c r="F5223" t="s">
        <v>13999</v>
      </c>
      <c r="G5223" t="s">
        <v>14000</v>
      </c>
      <c r="H5223" t="s">
        <v>14001</v>
      </c>
    </row>
    <row r="5224" spans="1:8">
      <c r="A5224" t="s">
        <v>241</v>
      </c>
      <c r="B5224" t="s">
        <v>148</v>
      </c>
      <c r="C5224">
        <v>106</v>
      </c>
      <c r="D5224" t="s">
        <v>14002</v>
      </c>
      <c r="E5224" t="s">
        <v>14003</v>
      </c>
      <c r="F5224" t="s">
        <v>148</v>
      </c>
      <c r="H5224" t="s">
        <v>14004</v>
      </c>
    </row>
    <row r="5225" spans="1:8">
      <c r="A5225" t="s">
        <v>241</v>
      </c>
      <c r="B5225" t="s">
        <v>148</v>
      </c>
      <c r="C5225">
        <v>106</v>
      </c>
      <c r="D5225" t="s">
        <v>14005</v>
      </c>
      <c r="E5225" t="s">
        <v>14006</v>
      </c>
      <c r="G5225" t="s">
        <v>14007</v>
      </c>
      <c r="H5225" t="s">
        <v>14008</v>
      </c>
    </row>
    <row r="5226" spans="1:8">
      <c r="A5226" t="s">
        <v>250</v>
      </c>
      <c r="B5226" t="s">
        <v>148</v>
      </c>
      <c r="C5226">
        <v>106</v>
      </c>
      <c r="D5226" t="s">
        <v>14009</v>
      </c>
      <c r="H5226" t="s">
        <v>14010</v>
      </c>
    </row>
    <row r="5227" spans="1:8">
      <c r="A5227" t="s">
        <v>239</v>
      </c>
      <c r="B5227" t="s">
        <v>148</v>
      </c>
      <c r="C5227">
        <v>106</v>
      </c>
      <c r="D5227" t="s">
        <v>14011</v>
      </c>
      <c r="E5227" t="s">
        <v>14012</v>
      </c>
    </row>
    <row r="5228" spans="1:8">
      <c r="A5228" t="s">
        <v>250</v>
      </c>
      <c r="B5228" t="s">
        <v>148</v>
      </c>
      <c r="C5228">
        <v>106</v>
      </c>
      <c r="D5228" t="s">
        <v>14013</v>
      </c>
      <c r="G5228" t="s">
        <v>14014</v>
      </c>
    </row>
    <row r="5229" spans="1:8">
      <c r="A5229" t="s">
        <v>250</v>
      </c>
      <c r="B5229" t="s">
        <v>148</v>
      </c>
      <c r="C5229">
        <v>106</v>
      </c>
      <c r="D5229" t="s">
        <v>11589</v>
      </c>
      <c r="F5229" t="s">
        <v>14015</v>
      </c>
      <c r="H5229" t="s">
        <v>14016</v>
      </c>
    </row>
    <row r="5230" spans="1:8">
      <c r="A5230" t="s">
        <v>242</v>
      </c>
      <c r="B5230" t="s">
        <v>148</v>
      </c>
      <c r="C5230">
        <v>106</v>
      </c>
      <c r="D5230" t="s">
        <v>14017</v>
      </c>
      <c r="E5230" t="s">
        <v>14018</v>
      </c>
      <c r="F5230" t="s">
        <v>148</v>
      </c>
      <c r="G5230" t="s">
        <v>14019</v>
      </c>
      <c r="H5230" t="s">
        <v>14020</v>
      </c>
    </row>
    <row r="5231" spans="1:8">
      <c r="A5231" t="s">
        <v>241</v>
      </c>
      <c r="B5231" t="s">
        <v>148</v>
      </c>
      <c r="C5231">
        <v>106</v>
      </c>
      <c r="D5231" t="s">
        <v>14021</v>
      </c>
      <c r="E5231" t="s">
        <v>14022</v>
      </c>
      <c r="H5231" t="s">
        <v>14023</v>
      </c>
    </row>
    <row r="5232" spans="1:8">
      <c r="A5232" t="s">
        <v>250</v>
      </c>
      <c r="B5232" t="s">
        <v>148</v>
      </c>
      <c r="C5232">
        <v>106</v>
      </c>
      <c r="D5232" t="s">
        <v>14024</v>
      </c>
      <c r="F5232" t="s">
        <v>14015</v>
      </c>
      <c r="H5232" t="s">
        <v>14025</v>
      </c>
    </row>
    <row r="5233" spans="1:8">
      <c r="A5233" t="s">
        <v>241</v>
      </c>
      <c r="B5233" t="s">
        <v>148</v>
      </c>
      <c r="C5233">
        <v>106</v>
      </c>
      <c r="D5233" t="s">
        <v>14026</v>
      </c>
      <c r="E5233" t="s">
        <v>14027</v>
      </c>
      <c r="F5233" t="s">
        <v>14028</v>
      </c>
      <c r="G5233" t="s">
        <v>14029</v>
      </c>
      <c r="H5233" t="s">
        <v>14030</v>
      </c>
    </row>
    <row r="5234" spans="1:8">
      <c r="A5234" t="s">
        <v>243</v>
      </c>
      <c r="B5234" t="s">
        <v>148</v>
      </c>
      <c r="C5234">
        <v>106</v>
      </c>
      <c r="D5234" t="s">
        <v>14031</v>
      </c>
      <c r="E5234" t="s">
        <v>14032</v>
      </c>
      <c r="G5234" t="s">
        <v>14033</v>
      </c>
      <c r="H5234" t="s">
        <v>14034</v>
      </c>
    </row>
    <row r="5235" spans="1:8">
      <c r="A5235" t="s">
        <v>238</v>
      </c>
      <c r="B5235" t="s">
        <v>148</v>
      </c>
      <c r="C5235">
        <v>106</v>
      </c>
      <c r="D5235" t="s">
        <v>14035</v>
      </c>
      <c r="E5235" t="s">
        <v>14036</v>
      </c>
      <c r="F5235" t="s">
        <v>14015</v>
      </c>
      <c r="G5235" t="s">
        <v>14037</v>
      </c>
      <c r="H5235" t="s">
        <v>14038</v>
      </c>
    </row>
    <row r="5236" spans="1:8">
      <c r="A5236" t="s">
        <v>241</v>
      </c>
      <c r="B5236" t="s">
        <v>148</v>
      </c>
      <c r="C5236">
        <v>106</v>
      </c>
      <c r="D5236" t="s">
        <v>14039</v>
      </c>
      <c r="E5236" t="s">
        <v>14040</v>
      </c>
      <c r="G5236" t="s">
        <v>14041</v>
      </c>
      <c r="H5236" t="s">
        <v>14042</v>
      </c>
    </row>
    <row r="5237" spans="1:8">
      <c r="A5237" t="s">
        <v>243</v>
      </c>
      <c r="B5237" t="s">
        <v>148</v>
      </c>
      <c r="C5237">
        <v>106</v>
      </c>
      <c r="D5237" t="s">
        <v>14043</v>
      </c>
      <c r="E5237" t="s">
        <v>14044</v>
      </c>
      <c r="H5237" t="s">
        <v>14045</v>
      </c>
    </row>
    <row r="5238" spans="1:8">
      <c r="A5238" t="s">
        <v>242</v>
      </c>
      <c r="B5238" t="s">
        <v>148</v>
      </c>
      <c r="C5238">
        <v>106</v>
      </c>
      <c r="D5238" t="s">
        <v>14046</v>
      </c>
      <c r="E5238" t="s">
        <v>14047</v>
      </c>
      <c r="F5238" t="s">
        <v>148</v>
      </c>
      <c r="G5238" t="s">
        <v>14048</v>
      </c>
      <c r="H5238" t="s">
        <v>14049</v>
      </c>
    </row>
    <row r="5239" spans="1:8">
      <c r="A5239" t="s">
        <v>242</v>
      </c>
      <c r="B5239" t="s">
        <v>148</v>
      </c>
      <c r="C5239">
        <v>106</v>
      </c>
      <c r="D5239" t="s">
        <v>14050</v>
      </c>
      <c r="E5239" t="s">
        <v>14051</v>
      </c>
      <c r="G5239" t="s">
        <v>14052</v>
      </c>
      <c r="H5239" t="s">
        <v>14053</v>
      </c>
    </row>
    <row r="5240" spans="1:8">
      <c r="A5240" t="s">
        <v>239</v>
      </c>
      <c r="B5240" t="s">
        <v>148</v>
      </c>
      <c r="C5240">
        <v>106</v>
      </c>
      <c r="D5240" t="s">
        <v>14054</v>
      </c>
      <c r="E5240" t="s">
        <v>14055</v>
      </c>
      <c r="F5240" t="s">
        <v>14015</v>
      </c>
      <c r="H5240" t="s">
        <v>14056</v>
      </c>
    </row>
    <row r="5241" spans="1:8">
      <c r="A5241" t="s">
        <v>241</v>
      </c>
      <c r="B5241" t="s">
        <v>148</v>
      </c>
      <c r="C5241">
        <v>106</v>
      </c>
      <c r="D5241" t="s">
        <v>14057</v>
      </c>
      <c r="E5241" t="s">
        <v>14058</v>
      </c>
      <c r="F5241" t="s">
        <v>148</v>
      </c>
      <c r="H5241" t="s">
        <v>14059</v>
      </c>
    </row>
    <row r="5242" spans="1:8">
      <c r="A5242" t="s">
        <v>241</v>
      </c>
      <c r="B5242" t="s">
        <v>148</v>
      </c>
      <c r="C5242">
        <v>106</v>
      </c>
      <c r="D5242" t="s">
        <v>14060</v>
      </c>
      <c r="E5242" t="s">
        <v>14061</v>
      </c>
      <c r="G5242" t="s">
        <v>14062</v>
      </c>
      <c r="H5242" t="s">
        <v>14063</v>
      </c>
    </row>
    <row r="5243" spans="1:8">
      <c r="A5243" t="s">
        <v>238</v>
      </c>
      <c r="B5243" t="s">
        <v>148</v>
      </c>
      <c r="C5243">
        <v>106</v>
      </c>
      <c r="D5243" t="s">
        <v>14064</v>
      </c>
      <c r="E5243" t="s">
        <v>14065</v>
      </c>
      <c r="H5243" t="s">
        <v>14066</v>
      </c>
    </row>
    <row r="5244" spans="1:8">
      <c r="A5244" t="s">
        <v>241</v>
      </c>
      <c r="B5244" t="s">
        <v>148</v>
      </c>
      <c r="C5244">
        <v>106</v>
      </c>
      <c r="D5244" t="s">
        <v>14067</v>
      </c>
      <c r="E5244" t="s">
        <v>14068</v>
      </c>
      <c r="H5244" t="s">
        <v>14069</v>
      </c>
    </row>
    <row r="5245" spans="1:8">
      <c r="A5245" t="s">
        <v>239</v>
      </c>
      <c r="B5245" t="s">
        <v>148</v>
      </c>
      <c r="C5245">
        <v>106</v>
      </c>
      <c r="D5245" t="s">
        <v>14070</v>
      </c>
      <c r="E5245" t="s">
        <v>14071</v>
      </c>
      <c r="G5245" t="s">
        <v>14072</v>
      </c>
      <c r="H5245" t="s">
        <v>14073</v>
      </c>
    </row>
    <row r="5246" spans="1:8">
      <c r="A5246" t="s">
        <v>239</v>
      </c>
      <c r="B5246" t="s">
        <v>148</v>
      </c>
      <c r="C5246">
        <v>106</v>
      </c>
      <c r="D5246" t="s">
        <v>14074</v>
      </c>
      <c r="E5246" t="s">
        <v>14075</v>
      </c>
      <c r="F5246" t="s">
        <v>14015</v>
      </c>
    </row>
    <row r="5247" spans="1:8">
      <c r="A5247" t="s">
        <v>239</v>
      </c>
      <c r="B5247" t="s">
        <v>148</v>
      </c>
      <c r="C5247">
        <v>106</v>
      </c>
      <c r="D5247" t="s">
        <v>14076</v>
      </c>
    </row>
    <row r="5248" spans="1:8">
      <c r="A5248" t="s">
        <v>239</v>
      </c>
      <c r="B5248" t="s">
        <v>148</v>
      </c>
      <c r="C5248">
        <v>106</v>
      </c>
      <c r="D5248" t="s">
        <v>14077</v>
      </c>
      <c r="E5248" t="s">
        <v>14078</v>
      </c>
      <c r="H5248" t="s">
        <v>14079</v>
      </c>
    </row>
    <row r="5249" spans="1:8">
      <c r="A5249" t="s">
        <v>239</v>
      </c>
      <c r="B5249" t="s">
        <v>148</v>
      </c>
      <c r="C5249">
        <v>106</v>
      </c>
      <c r="D5249" t="s">
        <v>14080</v>
      </c>
      <c r="E5249" t="s">
        <v>14081</v>
      </c>
      <c r="F5249" t="s">
        <v>148</v>
      </c>
    </row>
    <row r="5250" spans="1:8">
      <c r="A5250" t="s">
        <v>240</v>
      </c>
      <c r="B5250" t="s">
        <v>148</v>
      </c>
      <c r="C5250">
        <v>106</v>
      </c>
      <c r="D5250" t="s">
        <v>14082</v>
      </c>
      <c r="E5250" t="s">
        <v>14083</v>
      </c>
      <c r="F5250" t="s">
        <v>148</v>
      </c>
      <c r="H5250" t="s">
        <v>14084</v>
      </c>
    </row>
    <row r="5251" spans="1:8">
      <c r="A5251" t="s">
        <v>239</v>
      </c>
      <c r="B5251" t="s">
        <v>148</v>
      </c>
      <c r="C5251">
        <v>106</v>
      </c>
      <c r="D5251" t="s">
        <v>14085</v>
      </c>
      <c r="E5251" t="s">
        <v>14086</v>
      </c>
      <c r="F5251" t="s">
        <v>148</v>
      </c>
      <c r="H5251" t="s">
        <v>14087</v>
      </c>
    </row>
    <row r="5252" spans="1:8">
      <c r="A5252" t="s">
        <v>241</v>
      </c>
      <c r="B5252" t="s">
        <v>148</v>
      </c>
      <c r="C5252">
        <v>106</v>
      </c>
      <c r="D5252" t="s">
        <v>14088</v>
      </c>
      <c r="E5252" t="s">
        <v>14089</v>
      </c>
      <c r="F5252" t="s">
        <v>148</v>
      </c>
      <c r="H5252" t="s">
        <v>14090</v>
      </c>
    </row>
    <row r="5253" spans="1:8">
      <c r="A5253" t="s">
        <v>239</v>
      </c>
      <c r="B5253" t="s">
        <v>148</v>
      </c>
      <c r="C5253">
        <v>106</v>
      </c>
      <c r="D5253" t="s">
        <v>14091</v>
      </c>
      <c r="F5253" t="s">
        <v>148</v>
      </c>
    </row>
    <row r="5254" spans="1:8">
      <c r="A5254" t="s">
        <v>239</v>
      </c>
      <c r="B5254" t="s">
        <v>148</v>
      </c>
      <c r="C5254">
        <v>106</v>
      </c>
      <c r="D5254" t="s">
        <v>14092</v>
      </c>
      <c r="E5254" t="s">
        <v>14093</v>
      </c>
      <c r="F5254" t="s">
        <v>148</v>
      </c>
    </row>
    <row r="5255" spans="1:8">
      <c r="A5255" t="s">
        <v>239</v>
      </c>
      <c r="B5255" t="s">
        <v>148</v>
      </c>
      <c r="C5255">
        <v>106</v>
      </c>
      <c r="D5255" t="s">
        <v>14094</v>
      </c>
      <c r="E5255" t="s">
        <v>14095</v>
      </c>
      <c r="F5255" t="s">
        <v>148</v>
      </c>
    </row>
    <row r="5256" spans="1:8">
      <c r="A5256" t="s">
        <v>239</v>
      </c>
      <c r="B5256" t="s">
        <v>148</v>
      </c>
      <c r="C5256">
        <v>106</v>
      </c>
      <c r="D5256" t="s">
        <v>14096</v>
      </c>
      <c r="E5256" t="s">
        <v>14097</v>
      </c>
      <c r="F5256" t="s">
        <v>148</v>
      </c>
    </row>
    <row r="5257" spans="1:8">
      <c r="A5257" t="s">
        <v>239</v>
      </c>
      <c r="B5257" t="s">
        <v>148</v>
      </c>
      <c r="C5257">
        <v>106</v>
      </c>
      <c r="D5257" t="s">
        <v>14098</v>
      </c>
      <c r="E5257" t="s">
        <v>14099</v>
      </c>
      <c r="F5257" t="s">
        <v>148</v>
      </c>
    </row>
    <row r="5258" spans="1:8">
      <c r="A5258" t="s">
        <v>239</v>
      </c>
      <c r="B5258" t="s">
        <v>148</v>
      </c>
      <c r="C5258">
        <v>106</v>
      </c>
      <c r="D5258" t="s">
        <v>14100</v>
      </c>
      <c r="E5258" t="s">
        <v>14101</v>
      </c>
      <c r="F5258" t="s">
        <v>148</v>
      </c>
    </row>
    <row r="5259" spans="1:8">
      <c r="A5259" t="s">
        <v>239</v>
      </c>
      <c r="B5259" t="s">
        <v>148</v>
      </c>
      <c r="C5259">
        <v>106</v>
      </c>
      <c r="D5259" t="s">
        <v>14102</v>
      </c>
      <c r="E5259" t="s">
        <v>14103</v>
      </c>
      <c r="F5259" t="s">
        <v>148</v>
      </c>
    </row>
    <row r="5260" spans="1:8">
      <c r="A5260" t="s">
        <v>239</v>
      </c>
      <c r="B5260" t="s">
        <v>148</v>
      </c>
      <c r="C5260">
        <v>106</v>
      </c>
      <c r="D5260" t="s">
        <v>14104</v>
      </c>
      <c r="E5260" t="s">
        <v>14105</v>
      </c>
      <c r="F5260" t="s">
        <v>148</v>
      </c>
    </row>
    <row r="5261" spans="1:8">
      <c r="A5261" t="s">
        <v>239</v>
      </c>
      <c r="B5261" t="s">
        <v>148</v>
      </c>
      <c r="C5261">
        <v>106</v>
      </c>
      <c r="D5261" t="s">
        <v>14106</v>
      </c>
      <c r="E5261" t="s">
        <v>14107</v>
      </c>
      <c r="F5261" t="s">
        <v>148</v>
      </c>
    </row>
    <row r="5262" spans="1:8">
      <c r="A5262" t="s">
        <v>239</v>
      </c>
      <c r="B5262" t="s">
        <v>148</v>
      </c>
      <c r="C5262">
        <v>106</v>
      </c>
      <c r="D5262" t="s">
        <v>14108</v>
      </c>
      <c r="E5262" t="s">
        <v>14109</v>
      </c>
      <c r="F5262" t="s">
        <v>148</v>
      </c>
      <c r="H5262" t="s">
        <v>14110</v>
      </c>
    </row>
    <row r="5263" spans="1:8">
      <c r="A5263" t="s">
        <v>241</v>
      </c>
      <c r="B5263" t="s">
        <v>148</v>
      </c>
      <c r="C5263">
        <v>106</v>
      </c>
      <c r="D5263" t="s">
        <v>14111</v>
      </c>
      <c r="E5263" t="s">
        <v>14112</v>
      </c>
      <c r="F5263" t="s">
        <v>148</v>
      </c>
      <c r="G5263" t="s">
        <v>14113</v>
      </c>
      <c r="H5263" t="s">
        <v>14114</v>
      </c>
    </row>
    <row r="5264" spans="1:8">
      <c r="A5264" t="s">
        <v>239</v>
      </c>
      <c r="B5264" t="s">
        <v>148</v>
      </c>
      <c r="C5264">
        <v>106</v>
      </c>
      <c r="D5264" t="s">
        <v>14115</v>
      </c>
      <c r="E5264" t="s">
        <v>14116</v>
      </c>
      <c r="F5264" t="s">
        <v>148</v>
      </c>
    </row>
    <row r="5265" spans="1:8">
      <c r="A5265" t="s">
        <v>239</v>
      </c>
      <c r="B5265" t="s">
        <v>148</v>
      </c>
      <c r="C5265">
        <v>106</v>
      </c>
      <c r="D5265" t="s">
        <v>14117</v>
      </c>
      <c r="E5265" t="s">
        <v>14118</v>
      </c>
      <c r="H5265" t="s">
        <v>14119</v>
      </c>
    </row>
    <row r="5266" spans="1:8">
      <c r="A5266" t="s">
        <v>239</v>
      </c>
      <c r="B5266" t="s">
        <v>148</v>
      </c>
      <c r="C5266">
        <v>106</v>
      </c>
      <c r="D5266" t="s">
        <v>14120</v>
      </c>
      <c r="E5266" t="s">
        <v>14121</v>
      </c>
      <c r="F5266" t="s">
        <v>148</v>
      </c>
    </row>
    <row r="5267" spans="1:8">
      <c r="A5267" t="s">
        <v>243</v>
      </c>
      <c r="B5267" t="s">
        <v>148</v>
      </c>
      <c r="C5267">
        <v>106</v>
      </c>
      <c r="D5267" t="s">
        <v>14122</v>
      </c>
      <c r="E5267" t="s">
        <v>14065</v>
      </c>
      <c r="F5267" t="s">
        <v>148</v>
      </c>
    </row>
    <row r="5268" spans="1:8">
      <c r="A5268" t="s">
        <v>239</v>
      </c>
      <c r="B5268" t="s">
        <v>148</v>
      </c>
      <c r="C5268">
        <v>106</v>
      </c>
      <c r="D5268" t="s">
        <v>14123</v>
      </c>
      <c r="E5268" t="s">
        <v>14124</v>
      </c>
    </row>
    <row r="5269" spans="1:8">
      <c r="A5269" t="s">
        <v>241</v>
      </c>
      <c r="B5269" t="s">
        <v>148</v>
      </c>
      <c r="C5269">
        <v>106</v>
      </c>
      <c r="D5269" t="s">
        <v>14125</v>
      </c>
      <c r="E5269" t="s">
        <v>14126</v>
      </c>
      <c r="G5269" t="s">
        <v>14127</v>
      </c>
      <c r="H5269" t="s">
        <v>14128</v>
      </c>
    </row>
    <row r="5270" spans="1:8">
      <c r="A5270" t="s">
        <v>239</v>
      </c>
      <c r="B5270" t="s">
        <v>148</v>
      </c>
      <c r="C5270">
        <v>106</v>
      </c>
      <c r="D5270" t="s">
        <v>14129</v>
      </c>
      <c r="E5270" t="s">
        <v>14130</v>
      </c>
      <c r="F5270" t="s">
        <v>148</v>
      </c>
    </row>
    <row r="5271" spans="1:8">
      <c r="A5271" t="s">
        <v>239</v>
      </c>
      <c r="B5271" t="s">
        <v>148</v>
      </c>
      <c r="C5271">
        <v>106</v>
      </c>
      <c r="D5271" t="s">
        <v>14131</v>
      </c>
      <c r="E5271" t="s">
        <v>14132</v>
      </c>
      <c r="F5271" t="s">
        <v>148</v>
      </c>
    </row>
    <row r="5272" spans="1:8">
      <c r="A5272" t="s">
        <v>239</v>
      </c>
      <c r="B5272" t="s">
        <v>148</v>
      </c>
      <c r="C5272">
        <v>106</v>
      </c>
      <c r="D5272" t="s">
        <v>14133</v>
      </c>
      <c r="E5272" t="s">
        <v>14134</v>
      </c>
      <c r="F5272" t="s">
        <v>148</v>
      </c>
    </row>
    <row r="5273" spans="1:8">
      <c r="A5273" t="s">
        <v>239</v>
      </c>
      <c r="B5273" t="s">
        <v>148</v>
      </c>
      <c r="C5273">
        <v>106</v>
      </c>
      <c r="D5273" t="s">
        <v>14135</v>
      </c>
      <c r="E5273" t="s">
        <v>14136</v>
      </c>
      <c r="F5273" t="s">
        <v>148</v>
      </c>
    </row>
    <row r="5274" spans="1:8">
      <c r="A5274" t="s">
        <v>239</v>
      </c>
      <c r="B5274" t="s">
        <v>148</v>
      </c>
      <c r="C5274">
        <v>106</v>
      </c>
      <c r="D5274" t="s">
        <v>14137</v>
      </c>
      <c r="E5274" t="s">
        <v>14138</v>
      </c>
      <c r="F5274" t="s">
        <v>148</v>
      </c>
    </row>
    <row r="5275" spans="1:8">
      <c r="A5275" t="s">
        <v>239</v>
      </c>
      <c r="B5275" t="s">
        <v>148</v>
      </c>
      <c r="C5275">
        <v>106</v>
      </c>
      <c r="D5275" t="s">
        <v>14139</v>
      </c>
      <c r="E5275" t="s">
        <v>14140</v>
      </c>
      <c r="F5275" t="s">
        <v>148</v>
      </c>
    </row>
    <row r="5276" spans="1:8">
      <c r="A5276" t="s">
        <v>239</v>
      </c>
      <c r="B5276" t="s">
        <v>148</v>
      </c>
      <c r="C5276">
        <v>106</v>
      </c>
      <c r="D5276" t="s">
        <v>14141</v>
      </c>
      <c r="E5276" t="s">
        <v>14142</v>
      </c>
      <c r="F5276" t="s">
        <v>148</v>
      </c>
    </row>
    <row r="5277" spans="1:8">
      <c r="A5277" t="s">
        <v>239</v>
      </c>
      <c r="B5277" t="s">
        <v>148</v>
      </c>
      <c r="C5277">
        <v>106</v>
      </c>
      <c r="D5277" t="s">
        <v>14143</v>
      </c>
      <c r="E5277" t="s">
        <v>14144</v>
      </c>
      <c r="F5277" t="s">
        <v>148</v>
      </c>
    </row>
    <row r="5278" spans="1:8">
      <c r="A5278" t="s">
        <v>239</v>
      </c>
      <c r="B5278" t="s">
        <v>148</v>
      </c>
      <c r="C5278">
        <v>106</v>
      </c>
      <c r="D5278" t="s">
        <v>14145</v>
      </c>
      <c r="E5278" t="s">
        <v>14146</v>
      </c>
      <c r="F5278" t="s">
        <v>148</v>
      </c>
    </row>
    <row r="5279" spans="1:8">
      <c r="A5279" t="s">
        <v>239</v>
      </c>
      <c r="B5279" t="s">
        <v>148</v>
      </c>
      <c r="C5279">
        <v>106</v>
      </c>
      <c r="D5279" t="s">
        <v>14147</v>
      </c>
      <c r="E5279" t="s">
        <v>14148</v>
      </c>
      <c r="F5279" t="s">
        <v>148</v>
      </c>
    </row>
    <row r="5280" spans="1:8">
      <c r="A5280" t="s">
        <v>239</v>
      </c>
      <c r="B5280" t="s">
        <v>148</v>
      </c>
      <c r="C5280">
        <v>106</v>
      </c>
      <c r="D5280" t="s">
        <v>14149</v>
      </c>
      <c r="E5280" t="s">
        <v>14150</v>
      </c>
      <c r="F5280" t="s">
        <v>148</v>
      </c>
    </row>
    <row r="5281" spans="1:8">
      <c r="A5281" t="s">
        <v>239</v>
      </c>
      <c r="B5281" t="s">
        <v>148</v>
      </c>
      <c r="C5281">
        <v>106</v>
      </c>
      <c r="D5281" t="s">
        <v>14151</v>
      </c>
      <c r="E5281" t="s">
        <v>14152</v>
      </c>
      <c r="F5281" t="s">
        <v>148</v>
      </c>
    </row>
    <row r="5282" spans="1:8">
      <c r="A5282" t="s">
        <v>239</v>
      </c>
      <c r="B5282" t="s">
        <v>148</v>
      </c>
      <c r="C5282">
        <v>106</v>
      </c>
      <c r="D5282" t="s">
        <v>14153</v>
      </c>
      <c r="E5282" t="s">
        <v>14154</v>
      </c>
      <c r="F5282" t="s">
        <v>148</v>
      </c>
    </row>
    <row r="5283" spans="1:8">
      <c r="A5283" t="s">
        <v>239</v>
      </c>
      <c r="B5283" t="s">
        <v>148</v>
      </c>
      <c r="C5283">
        <v>106</v>
      </c>
      <c r="D5283" t="s">
        <v>14155</v>
      </c>
      <c r="E5283" t="s">
        <v>14156</v>
      </c>
      <c r="F5283" t="s">
        <v>148</v>
      </c>
    </row>
    <row r="5284" spans="1:8">
      <c r="A5284" t="s">
        <v>238</v>
      </c>
      <c r="B5284" t="s">
        <v>148</v>
      </c>
      <c r="C5284">
        <v>106</v>
      </c>
      <c r="D5284" t="s">
        <v>14157</v>
      </c>
      <c r="E5284" t="s">
        <v>14158</v>
      </c>
      <c r="F5284" t="s">
        <v>148</v>
      </c>
      <c r="H5284" t="s">
        <v>14159</v>
      </c>
    </row>
    <row r="5285" spans="1:8">
      <c r="A5285" t="s">
        <v>242</v>
      </c>
      <c r="B5285" t="s">
        <v>148</v>
      </c>
      <c r="C5285">
        <v>106</v>
      </c>
      <c r="D5285" t="s">
        <v>14160</v>
      </c>
      <c r="E5285" t="s">
        <v>14161</v>
      </c>
      <c r="F5285" t="s">
        <v>148</v>
      </c>
      <c r="G5285" t="s">
        <v>14162</v>
      </c>
      <c r="H5285" t="s">
        <v>14163</v>
      </c>
    </row>
    <row r="5286" spans="1:8">
      <c r="A5286" t="s">
        <v>241</v>
      </c>
      <c r="B5286" t="s">
        <v>148</v>
      </c>
      <c r="C5286">
        <v>106</v>
      </c>
      <c r="D5286" t="s">
        <v>14164</v>
      </c>
      <c r="E5286" t="s">
        <v>14165</v>
      </c>
      <c r="F5286" t="s">
        <v>148</v>
      </c>
      <c r="G5286" t="s">
        <v>14166</v>
      </c>
      <c r="H5286" t="s">
        <v>14167</v>
      </c>
    </row>
    <row r="5287" spans="1:8">
      <c r="A5287" t="s">
        <v>241</v>
      </c>
      <c r="B5287" t="s">
        <v>148</v>
      </c>
      <c r="C5287">
        <v>106</v>
      </c>
      <c r="D5287" t="s">
        <v>14168</v>
      </c>
      <c r="E5287" t="s">
        <v>14169</v>
      </c>
    </row>
    <row r="5288" spans="1:8">
      <c r="A5288" t="s">
        <v>241</v>
      </c>
      <c r="B5288" t="s">
        <v>148</v>
      </c>
      <c r="C5288">
        <v>106</v>
      </c>
      <c r="D5288" t="s">
        <v>14170</v>
      </c>
      <c r="E5288" t="s">
        <v>14171</v>
      </c>
      <c r="F5288" t="s">
        <v>14172</v>
      </c>
      <c r="G5288" t="s">
        <v>14173</v>
      </c>
      <c r="H5288" t="s">
        <v>14174</v>
      </c>
    </row>
    <row r="5289" spans="1:8">
      <c r="A5289" t="s">
        <v>241</v>
      </c>
      <c r="B5289" t="s">
        <v>148</v>
      </c>
      <c r="C5289">
        <v>106</v>
      </c>
      <c r="D5289" t="s">
        <v>14175</v>
      </c>
      <c r="E5289" t="s">
        <v>14176</v>
      </c>
      <c r="F5289" t="s">
        <v>148</v>
      </c>
      <c r="G5289" t="s">
        <v>14177</v>
      </c>
      <c r="H5289" t="s">
        <v>14178</v>
      </c>
    </row>
    <row r="5290" spans="1:8">
      <c r="A5290" t="s">
        <v>250</v>
      </c>
      <c r="B5290" t="s">
        <v>148</v>
      </c>
      <c r="C5290">
        <v>106</v>
      </c>
      <c r="D5290" t="s">
        <v>14179</v>
      </c>
      <c r="F5290" t="s">
        <v>148</v>
      </c>
    </row>
    <row r="5291" spans="1:8">
      <c r="A5291" t="s">
        <v>250</v>
      </c>
      <c r="B5291" t="s">
        <v>148</v>
      </c>
      <c r="C5291">
        <v>106</v>
      </c>
      <c r="D5291" t="s">
        <v>14180</v>
      </c>
      <c r="F5291" t="s">
        <v>14015</v>
      </c>
      <c r="G5291" t="s">
        <v>14181</v>
      </c>
      <c r="H5291" t="s">
        <v>14182</v>
      </c>
    </row>
    <row r="5292" spans="1:8">
      <c r="A5292" t="s">
        <v>250</v>
      </c>
      <c r="B5292" t="s">
        <v>148</v>
      </c>
      <c r="C5292">
        <v>106</v>
      </c>
      <c r="D5292" t="s">
        <v>14183</v>
      </c>
      <c r="F5292" t="s">
        <v>14015</v>
      </c>
    </row>
    <row r="5293" spans="1:8">
      <c r="A5293" t="s">
        <v>250</v>
      </c>
      <c r="B5293" t="s">
        <v>148</v>
      </c>
      <c r="C5293">
        <v>106</v>
      </c>
      <c r="D5293" t="s">
        <v>11574</v>
      </c>
      <c r="F5293" t="s">
        <v>14015</v>
      </c>
      <c r="G5293" t="s">
        <v>14184</v>
      </c>
      <c r="H5293" t="s">
        <v>14185</v>
      </c>
    </row>
    <row r="5294" spans="1:8">
      <c r="A5294" t="s">
        <v>250</v>
      </c>
      <c r="B5294" t="s">
        <v>148</v>
      </c>
      <c r="C5294">
        <v>106</v>
      </c>
      <c r="D5294" t="s">
        <v>7777</v>
      </c>
      <c r="F5294" t="s">
        <v>14015</v>
      </c>
      <c r="G5294" t="s">
        <v>14186</v>
      </c>
    </row>
    <row r="5295" spans="1:8">
      <c r="A5295" t="s">
        <v>250</v>
      </c>
      <c r="B5295" t="s">
        <v>148</v>
      </c>
      <c r="C5295">
        <v>106</v>
      </c>
      <c r="D5295" t="s">
        <v>14187</v>
      </c>
      <c r="F5295" t="s">
        <v>14015</v>
      </c>
    </row>
    <row r="5296" spans="1:8">
      <c r="A5296" t="s">
        <v>250</v>
      </c>
      <c r="B5296" t="s">
        <v>148</v>
      </c>
      <c r="C5296">
        <v>106</v>
      </c>
      <c r="D5296" t="s">
        <v>14188</v>
      </c>
      <c r="F5296" t="s">
        <v>14015</v>
      </c>
      <c r="G5296" t="s">
        <v>14189</v>
      </c>
    </row>
    <row r="5297" spans="1:8">
      <c r="A5297" t="s">
        <v>250</v>
      </c>
      <c r="B5297" t="s">
        <v>148</v>
      </c>
      <c r="C5297">
        <v>106</v>
      </c>
      <c r="D5297" t="s">
        <v>7808</v>
      </c>
      <c r="F5297" t="s">
        <v>148</v>
      </c>
    </row>
    <row r="5298" spans="1:8">
      <c r="A5298" t="s">
        <v>250</v>
      </c>
      <c r="B5298" t="s">
        <v>148</v>
      </c>
      <c r="C5298">
        <v>106</v>
      </c>
      <c r="D5298" t="s">
        <v>14190</v>
      </c>
      <c r="F5298" t="s">
        <v>14015</v>
      </c>
    </row>
    <row r="5299" spans="1:8">
      <c r="A5299" t="s">
        <v>250</v>
      </c>
      <c r="B5299" t="s">
        <v>148</v>
      </c>
      <c r="C5299">
        <v>106</v>
      </c>
      <c r="D5299" t="s">
        <v>14191</v>
      </c>
      <c r="F5299" t="s">
        <v>14015</v>
      </c>
    </row>
    <row r="5300" spans="1:8">
      <c r="A5300" t="s">
        <v>250</v>
      </c>
      <c r="B5300" t="s">
        <v>148</v>
      </c>
      <c r="C5300">
        <v>106</v>
      </c>
      <c r="D5300" t="s">
        <v>9498</v>
      </c>
      <c r="F5300" t="s">
        <v>14015</v>
      </c>
    </row>
    <row r="5301" spans="1:8">
      <c r="A5301" t="s">
        <v>241</v>
      </c>
      <c r="B5301" t="s">
        <v>148</v>
      </c>
      <c r="C5301">
        <v>106</v>
      </c>
      <c r="D5301" t="s">
        <v>14192</v>
      </c>
      <c r="E5301" t="s">
        <v>14193</v>
      </c>
      <c r="F5301" t="s">
        <v>148</v>
      </c>
      <c r="G5301" t="s">
        <v>14194</v>
      </c>
      <c r="H5301" t="s">
        <v>14195</v>
      </c>
    </row>
    <row r="5302" spans="1:8">
      <c r="A5302" t="s">
        <v>242</v>
      </c>
      <c r="B5302" t="s">
        <v>148</v>
      </c>
      <c r="C5302">
        <v>106</v>
      </c>
      <c r="D5302" t="s">
        <v>14196</v>
      </c>
      <c r="E5302" t="s">
        <v>14197</v>
      </c>
      <c r="F5302" t="s">
        <v>148</v>
      </c>
      <c r="G5302" t="s">
        <v>14198</v>
      </c>
      <c r="H5302" t="s">
        <v>14199</v>
      </c>
    </row>
    <row r="5303" spans="1:8">
      <c r="A5303" t="s">
        <v>240</v>
      </c>
      <c r="B5303" t="s">
        <v>148</v>
      </c>
      <c r="C5303">
        <v>106</v>
      </c>
      <c r="D5303" t="s">
        <v>2130</v>
      </c>
      <c r="E5303" t="s">
        <v>14200</v>
      </c>
      <c r="F5303" t="s">
        <v>148</v>
      </c>
      <c r="G5303" t="s">
        <v>14201</v>
      </c>
      <c r="H5303" t="s">
        <v>14202</v>
      </c>
    </row>
    <row r="5304" spans="1:8">
      <c r="A5304" t="s">
        <v>249</v>
      </c>
      <c r="B5304" t="s">
        <v>148</v>
      </c>
      <c r="C5304">
        <v>106</v>
      </c>
      <c r="D5304" t="s">
        <v>14203</v>
      </c>
      <c r="F5304" t="s">
        <v>14015</v>
      </c>
      <c r="G5304" t="s">
        <v>14204</v>
      </c>
      <c r="H5304" t="s">
        <v>14205</v>
      </c>
    </row>
    <row r="5305" spans="1:8">
      <c r="A5305" t="s">
        <v>240</v>
      </c>
      <c r="B5305" t="s">
        <v>148</v>
      </c>
      <c r="C5305">
        <v>106</v>
      </c>
      <c r="D5305" t="s">
        <v>14206</v>
      </c>
      <c r="E5305" t="s">
        <v>14156</v>
      </c>
      <c r="F5305" t="s">
        <v>148</v>
      </c>
      <c r="H5305" t="s">
        <v>14207</v>
      </c>
    </row>
    <row r="5306" spans="1:8">
      <c r="A5306" t="s">
        <v>242</v>
      </c>
      <c r="B5306" t="s">
        <v>148</v>
      </c>
      <c r="C5306">
        <v>106</v>
      </c>
      <c r="D5306" t="s">
        <v>14208</v>
      </c>
      <c r="E5306" t="s">
        <v>14209</v>
      </c>
      <c r="F5306" t="s">
        <v>148</v>
      </c>
      <c r="G5306" t="s">
        <v>14210</v>
      </c>
      <c r="H5306" t="s">
        <v>14211</v>
      </c>
    </row>
    <row r="5307" spans="1:8">
      <c r="A5307" t="s">
        <v>241</v>
      </c>
      <c r="B5307" t="s">
        <v>148</v>
      </c>
      <c r="C5307">
        <v>106</v>
      </c>
      <c r="D5307" t="s">
        <v>14212</v>
      </c>
      <c r="E5307" t="s">
        <v>14213</v>
      </c>
      <c r="F5307" t="s">
        <v>148</v>
      </c>
      <c r="H5307" t="s">
        <v>14214</v>
      </c>
    </row>
    <row r="5308" spans="1:8">
      <c r="A5308" t="s">
        <v>244</v>
      </c>
      <c r="B5308" t="s">
        <v>148</v>
      </c>
      <c r="C5308">
        <v>106</v>
      </c>
      <c r="D5308" t="s">
        <v>14215</v>
      </c>
      <c r="F5308" t="s">
        <v>14015</v>
      </c>
    </row>
    <row r="5309" spans="1:8">
      <c r="A5309" t="s">
        <v>242</v>
      </c>
      <c r="B5309" t="s">
        <v>148</v>
      </c>
      <c r="C5309">
        <v>106</v>
      </c>
      <c r="D5309" t="s">
        <v>11682</v>
      </c>
      <c r="E5309" t="s">
        <v>14216</v>
      </c>
      <c r="F5309" t="s">
        <v>148</v>
      </c>
      <c r="H5309" t="s">
        <v>14217</v>
      </c>
    </row>
    <row r="5310" spans="1:8">
      <c r="A5310" t="s">
        <v>242</v>
      </c>
      <c r="B5310" t="s">
        <v>148</v>
      </c>
      <c r="C5310">
        <v>106</v>
      </c>
      <c r="D5310" t="s">
        <v>14218</v>
      </c>
      <c r="E5310" t="s">
        <v>14219</v>
      </c>
      <c r="F5310" t="s">
        <v>148</v>
      </c>
      <c r="H5310" t="s">
        <v>14220</v>
      </c>
    </row>
    <row r="5311" spans="1:8">
      <c r="A5311" t="s">
        <v>241</v>
      </c>
      <c r="B5311" t="s">
        <v>148</v>
      </c>
      <c r="C5311">
        <v>106</v>
      </c>
      <c r="D5311" t="s">
        <v>14221</v>
      </c>
      <c r="E5311" t="s">
        <v>14222</v>
      </c>
      <c r="F5311" t="s">
        <v>148</v>
      </c>
      <c r="G5311" t="s">
        <v>14223</v>
      </c>
      <c r="H5311" t="s">
        <v>14224</v>
      </c>
    </row>
    <row r="5312" spans="1:8">
      <c r="A5312" t="s">
        <v>241</v>
      </c>
      <c r="B5312" t="s">
        <v>148</v>
      </c>
      <c r="C5312">
        <v>106</v>
      </c>
      <c r="D5312" t="s">
        <v>14225</v>
      </c>
      <c r="E5312" t="s">
        <v>14226</v>
      </c>
      <c r="H5312" t="s">
        <v>14227</v>
      </c>
    </row>
    <row r="5313" spans="1:8">
      <c r="A5313" t="s">
        <v>249</v>
      </c>
      <c r="B5313" t="s">
        <v>148</v>
      </c>
      <c r="C5313">
        <v>106</v>
      </c>
      <c r="D5313" t="s">
        <v>14228</v>
      </c>
      <c r="E5313" t="s">
        <v>14229</v>
      </c>
      <c r="F5313" t="s">
        <v>148</v>
      </c>
      <c r="G5313" t="s">
        <v>14230</v>
      </c>
      <c r="H5313" t="s">
        <v>14231</v>
      </c>
    </row>
    <row r="5314" spans="1:8">
      <c r="A5314" t="s">
        <v>249</v>
      </c>
      <c r="B5314" t="s">
        <v>148</v>
      </c>
      <c r="C5314">
        <v>106</v>
      </c>
      <c r="D5314" t="s">
        <v>14232</v>
      </c>
      <c r="E5314" t="s">
        <v>14233</v>
      </c>
      <c r="F5314" t="s">
        <v>148</v>
      </c>
      <c r="G5314" t="s">
        <v>14234</v>
      </c>
      <c r="H5314" t="s">
        <v>14235</v>
      </c>
    </row>
    <row r="5315" spans="1:8">
      <c r="A5315" t="s">
        <v>243</v>
      </c>
      <c r="B5315" t="s">
        <v>148</v>
      </c>
      <c r="C5315">
        <v>106</v>
      </c>
      <c r="D5315" t="s">
        <v>14236</v>
      </c>
      <c r="E5315" t="s">
        <v>14237</v>
      </c>
      <c r="F5315" t="s">
        <v>148</v>
      </c>
      <c r="H5315" t="s">
        <v>14238</v>
      </c>
    </row>
    <row r="5316" spans="1:8">
      <c r="A5316" t="s">
        <v>243</v>
      </c>
      <c r="B5316" t="s">
        <v>148</v>
      </c>
      <c r="C5316">
        <v>106</v>
      </c>
      <c r="D5316" t="s">
        <v>14239</v>
      </c>
      <c r="E5316" t="s">
        <v>14240</v>
      </c>
      <c r="F5316" t="s">
        <v>148</v>
      </c>
    </row>
    <row r="5317" spans="1:8">
      <c r="A5317" t="s">
        <v>246</v>
      </c>
      <c r="B5317" t="s">
        <v>148</v>
      </c>
      <c r="C5317">
        <v>106</v>
      </c>
      <c r="D5317" t="s">
        <v>14241</v>
      </c>
      <c r="E5317" t="s">
        <v>14242</v>
      </c>
      <c r="F5317" t="s">
        <v>148</v>
      </c>
    </row>
    <row r="5318" spans="1:8">
      <c r="A5318" t="s">
        <v>249</v>
      </c>
      <c r="B5318" t="s">
        <v>148</v>
      </c>
      <c r="C5318">
        <v>106</v>
      </c>
      <c r="D5318" t="s">
        <v>14243</v>
      </c>
      <c r="F5318" t="s">
        <v>14244</v>
      </c>
      <c r="G5318" t="s">
        <v>14245</v>
      </c>
      <c r="H5318" t="s">
        <v>14246</v>
      </c>
    </row>
    <row r="5319" spans="1:8">
      <c r="A5319" t="s">
        <v>238</v>
      </c>
      <c r="B5319" t="s">
        <v>148</v>
      </c>
      <c r="C5319">
        <v>106</v>
      </c>
      <c r="D5319" t="s">
        <v>14247</v>
      </c>
      <c r="E5319" t="s">
        <v>14248</v>
      </c>
      <c r="F5319" t="s">
        <v>148</v>
      </c>
      <c r="G5319" t="s">
        <v>14249</v>
      </c>
      <c r="H5319" t="s">
        <v>14250</v>
      </c>
    </row>
    <row r="5320" spans="1:8">
      <c r="A5320" t="s">
        <v>240</v>
      </c>
      <c r="B5320" t="s">
        <v>148</v>
      </c>
      <c r="C5320">
        <v>106</v>
      </c>
      <c r="D5320" t="s">
        <v>14251</v>
      </c>
      <c r="E5320" t="s">
        <v>14252</v>
      </c>
      <c r="F5320" t="s">
        <v>148</v>
      </c>
      <c r="G5320" t="s">
        <v>14253</v>
      </c>
      <c r="H5320" t="s">
        <v>14045</v>
      </c>
    </row>
    <row r="5321" spans="1:8">
      <c r="A5321" t="s">
        <v>243</v>
      </c>
      <c r="B5321" t="s">
        <v>148</v>
      </c>
      <c r="C5321">
        <v>106</v>
      </c>
      <c r="D5321" t="s">
        <v>14254</v>
      </c>
      <c r="E5321" t="s">
        <v>14255</v>
      </c>
      <c r="F5321" t="s">
        <v>148</v>
      </c>
      <c r="G5321" t="s">
        <v>14256</v>
      </c>
      <c r="H5321" t="s">
        <v>14257</v>
      </c>
    </row>
    <row r="5322" spans="1:8">
      <c r="A5322" t="s">
        <v>240</v>
      </c>
      <c r="B5322" t="s">
        <v>148</v>
      </c>
      <c r="C5322">
        <v>106</v>
      </c>
      <c r="D5322" t="s">
        <v>7042</v>
      </c>
      <c r="E5322" t="s">
        <v>14258</v>
      </c>
      <c r="F5322" t="s">
        <v>148</v>
      </c>
      <c r="H5322" t="s">
        <v>14259</v>
      </c>
    </row>
    <row r="5323" spans="1:8">
      <c r="A5323" t="s">
        <v>241</v>
      </c>
      <c r="B5323" t="s">
        <v>34</v>
      </c>
      <c r="C5323">
        <v>107</v>
      </c>
      <c r="D5323" t="s">
        <v>9748</v>
      </c>
      <c r="E5323" t="s">
        <v>9749</v>
      </c>
      <c r="F5323" t="s">
        <v>9750</v>
      </c>
      <c r="H5323" t="s">
        <v>9751</v>
      </c>
    </row>
    <row r="5324" spans="1:8">
      <c r="A5324" t="s">
        <v>240</v>
      </c>
      <c r="B5324" t="s">
        <v>34</v>
      </c>
      <c r="C5324">
        <v>107</v>
      </c>
      <c r="D5324" t="s">
        <v>9752</v>
      </c>
      <c r="E5324" t="s">
        <v>9753</v>
      </c>
      <c r="F5324" t="s">
        <v>34</v>
      </c>
      <c r="G5324" t="s">
        <v>9754</v>
      </c>
      <c r="H5324" t="s">
        <v>9755</v>
      </c>
    </row>
    <row r="5325" spans="1:8">
      <c r="A5325" t="s">
        <v>241</v>
      </c>
      <c r="B5325" t="s">
        <v>34</v>
      </c>
      <c r="C5325">
        <v>107</v>
      </c>
      <c r="D5325" t="s">
        <v>9756</v>
      </c>
      <c r="E5325" t="s">
        <v>9757</v>
      </c>
      <c r="F5325" t="s">
        <v>9750</v>
      </c>
      <c r="H5325" t="s">
        <v>9758</v>
      </c>
    </row>
    <row r="5326" spans="1:8">
      <c r="A5326" t="s">
        <v>239</v>
      </c>
      <c r="B5326" t="s">
        <v>34</v>
      </c>
      <c r="C5326">
        <v>107</v>
      </c>
      <c r="D5326" t="s">
        <v>9759</v>
      </c>
      <c r="E5326" t="s">
        <v>9760</v>
      </c>
      <c r="H5326" t="s">
        <v>9761</v>
      </c>
    </row>
    <row r="5327" spans="1:8">
      <c r="A5327" t="s">
        <v>239</v>
      </c>
      <c r="B5327" t="s">
        <v>34</v>
      </c>
      <c r="C5327">
        <v>107</v>
      </c>
      <c r="D5327" t="s">
        <v>9762</v>
      </c>
      <c r="E5327" t="s">
        <v>9763</v>
      </c>
    </row>
    <row r="5328" spans="1:8">
      <c r="A5328" t="s">
        <v>241</v>
      </c>
      <c r="B5328" t="s">
        <v>34</v>
      </c>
      <c r="C5328">
        <v>107</v>
      </c>
      <c r="D5328" t="s">
        <v>9764</v>
      </c>
      <c r="E5328" t="s">
        <v>9765</v>
      </c>
      <c r="G5328" t="s">
        <v>9766</v>
      </c>
      <c r="H5328" t="s">
        <v>9767</v>
      </c>
    </row>
    <row r="5329" spans="1:8">
      <c r="A5329" t="s">
        <v>240</v>
      </c>
      <c r="B5329" t="s">
        <v>34</v>
      </c>
      <c r="C5329">
        <v>107</v>
      </c>
      <c r="D5329" t="s">
        <v>9768</v>
      </c>
      <c r="E5329" t="s">
        <v>9769</v>
      </c>
      <c r="F5329" t="s">
        <v>34</v>
      </c>
      <c r="G5329" t="s">
        <v>9754</v>
      </c>
      <c r="H5329" t="s">
        <v>9755</v>
      </c>
    </row>
    <row r="5330" spans="1:8">
      <c r="A5330" t="s">
        <v>240</v>
      </c>
      <c r="B5330" t="s">
        <v>34</v>
      </c>
      <c r="C5330">
        <v>107</v>
      </c>
      <c r="D5330" t="s">
        <v>9770</v>
      </c>
      <c r="E5330" t="s">
        <v>9771</v>
      </c>
      <c r="F5330" t="s">
        <v>34</v>
      </c>
      <c r="G5330" t="s">
        <v>9772</v>
      </c>
      <c r="H5330" t="s">
        <v>9773</v>
      </c>
    </row>
    <row r="5331" spans="1:8">
      <c r="A5331" t="s">
        <v>240</v>
      </c>
      <c r="B5331" t="s">
        <v>34</v>
      </c>
      <c r="C5331">
        <v>107</v>
      </c>
      <c r="D5331" t="s">
        <v>9774</v>
      </c>
      <c r="E5331" t="s">
        <v>9775</v>
      </c>
      <c r="F5331" t="s">
        <v>34</v>
      </c>
      <c r="H5331" t="s">
        <v>9776</v>
      </c>
    </row>
    <row r="5332" spans="1:8">
      <c r="A5332" t="s">
        <v>242</v>
      </c>
      <c r="B5332" t="s">
        <v>67</v>
      </c>
      <c r="C5332">
        <v>108</v>
      </c>
      <c r="D5332" t="s">
        <v>3176</v>
      </c>
      <c r="E5332" t="s">
        <v>3177</v>
      </c>
      <c r="F5332" t="s">
        <v>3178</v>
      </c>
      <c r="G5332" t="s">
        <v>3179</v>
      </c>
      <c r="H5332" t="s">
        <v>3180</v>
      </c>
    </row>
    <row r="5333" spans="1:8">
      <c r="A5333" t="s">
        <v>242</v>
      </c>
      <c r="B5333" t="s">
        <v>67</v>
      </c>
      <c r="C5333">
        <v>108</v>
      </c>
      <c r="D5333" t="s">
        <v>3181</v>
      </c>
      <c r="E5333" t="s">
        <v>3182</v>
      </c>
      <c r="H5333" t="s">
        <v>3183</v>
      </c>
    </row>
    <row r="5334" spans="1:8">
      <c r="A5334" t="s">
        <v>244</v>
      </c>
      <c r="B5334" t="s">
        <v>67</v>
      </c>
      <c r="C5334">
        <v>108</v>
      </c>
      <c r="D5334" t="s">
        <v>3184</v>
      </c>
      <c r="F5334" t="s">
        <v>67</v>
      </c>
    </row>
    <row r="5335" spans="1:8">
      <c r="A5335" t="s">
        <v>239</v>
      </c>
      <c r="B5335" t="s">
        <v>67</v>
      </c>
      <c r="C5335">
        <v>108</v>
      </c>
      <c r="D5335" t="s">
        <v>3185</v>
      </c>
      <c r="E5335" t="s">
        <v>3186</v>
      </c>
      <c r="H5335" t="s">
        <v>3187</v>
      </c>
    </row>
    <row r="5336" spans="1:8">
      <c r="A5336" t="s">
        <v>242</v>
      </c>
      <c r="B5336" t="s">
        <v>204</v>
      </c>
      <c r="C5336">
        <v>108</v>
      </c>
      <c r="D5336" t="s">
        <v>8330</v>
      </c>
      <c r="E5336" t="s">
        <v>8331</v>
      </c>
      <c r="F5336" t="s">
        <v>204</v>
      </c>
      <c r="G5336" t="s">
        <v>8332</v>
      </c>
      <c r="H5336" t="s">
        <v>8333</v>
      </c>
    </row>
    <row r="5337" spans="1:8">
      <c r="A5337" t="s">
        <v>241</v>
      </c>
      <c r="B5337" t="s">
        <v>204</v>
      </c>
      <c r="C5337">
        <v>108</v>
      </c>
      <c r="D5337" t="s">
        <v>8334</v>
      </c>
      <c r="E5337" t="s">
        <v>8335</v>
      </c>
      <c r="H5337" t="s">
        <v>8336</v>
      </c>
    </row>
    <row r="5338" spans="1:8">
      <c r="A5338" t="s">
        <v>241</v>
      </c>
      <c r="B5338" t="s">
        <v>204</v>
      </c>
      <c r="C5338">
        <v>108</v>
      </c>
      <c r="D5338" t="s">
        <v>5712</v>
      </c>
      <c r="E5338" t="s">
        <v>8337</v>
      </c>
      <c r="F5338" t="s">
        <v>204</v>
      </c>
      <c r="H5338" t="s">
        <v>8338</v>
      </c>
    </row>
    <row r="5339" spans="1:8">
      <c r="A5339" t="s">
        <v>241</v>
      </c>
      <c r="B5339" t="s">
        <v>204</v>
      </c>
      <c r="C5339">
        <v>108</v>
      </c>
      <c r="D5339" t="s">
        <v>8339</v>
      </c>
      <c r="E5339" t="s">
        <v>8340</v>
      </c>
      <c r="G5339" t="s">
        <v>8341</v>
      </c>
      <c r="H5339" t="s">
        <v>8342</v>
      </c>
    </row>
    <row r="5340" spans="1:8">
      <c r="A5340" t="s">
        <v>242</v>
      </c>
      <c r="B5340" t="s">
        <v>204</v>
      </c>
      <c r="C5340">
        <v>108</v>
      </c>
      <c r="D5340" t="s">
        <v>8343</v>
      </c>
      <c r="E5340" t="s">
        <v>8344</v>
      </c>
      <c r="F5340" t="s">
        <v>204</v>
      </c>
      <c r="G5340" t="s">
        <v>8345</v>
      </c>
      <c r="H5340" t="s">
        <v>8346</v>
      </c>
    </row>
    <row r="5341" spans="1:8">
      <c r="A5341" t="s">
        <v>242</v>
      </c>
      <c r="B5341" t="s">
        <v>204</v>
      </c>
      <c r="C5341">
        <v>108</v>
      </c>
      <c r="D5341" t="s">
        <v>8347</v>
      </c>
      <c r="E5341" t="s">
        <v>8348</v>
      </c>
      <c r="F5341" t="s">
        <v>204</v>
      </c>
      <c r="G5341" t="s">
        <v>8349</v>
      </c>
      <c r="H5341" t="s">
        <v>8350</v>
      </c>
    </row>
    <row r="5342" spans="1:8">
      <c r="A5342" t="s">
        <v>242</v>
      </c>
      <c r="B5342" t="s">
        <v>204</v>
      </c>
      <c r="C5342">
        <v>108</v>
      </c>
      <c r="D5342" t="s">
        <v>8351</v>
      </c>
      <c r="E5342" t="s">
        <v>8352</v>
      </c>
      <c r="F5342" t="s">
        <v>204</v>
      </c>
      <c r="G5342" t="s">
        <v>8353</v>
      </c>
      <c r="H5342" t="s">
        <v>8354</v>
      </c>
    </row>
    <row r="5343" spans="1:8">
      <c r="A5343" t="s">
        <v>241</v>
      </c>
      <c r="B5343" t="s">
        <v>204</v>
      </c>
      <c r="C5343">
        <v>108</v>
      </c>
      <c r="D5343" t="s">
        <v>8355</v>
      </c>
      <c r="E5343" t="s">
        <v>8356</v>
      </c>
      <c r="F5343" t="s">
        <v>204</v>
      </c>
    </row>
    <row r="5344" spans="1:8">
      <c r="A5344" t="s">
        <v>241</v>
      </c>
      <c r="B5344" t="s">
        <v>204</v>
      </c>
      <c r="C5344">
        <v>108</v>
      </c>
      <c r="D5344" t="s">
        <v>8357</v>
      </c>
      <c r="E5344" t="s">
        <v>8358</v>
      </c>
      <c r="F5344" t="s">
        <v>204</v>
      </c>
    </row>
    <row r="5345" spans="1:8">
      <c r="A5345" t="s">
        <v>243</v>
      </c>
      <c r="B5345" t="s">
        <v>204</v>
      </c>
      <c r="C5345">
        <v>108</v>
      </c>
      <c r="D5345" t="s">
        <v>8359</v>
      </c>
      <c r="E5345" t="s">
        <v>8360</v>
      </c>
      <c r="F5345" t="s">
        <v>204</v>
      </c>
      <c r="G5345" t="s">
        <v>8361</v>
      </c>
      <c r="H5345" t="s">
        <v>8362</v>
      </c>
    </row>
    <row r="5346" spans="1:8">
      <c r="A5346" t="s">
        <v>241</v>
      </c>
      <c r="B5346" t="s">
        <v>204</v>
      </c>
      <c r="C5346">
        <v>108</v>
      </c>
      <c r="D5346" t="s">
        <v>8363</v>
      </c>
      <c r="E5346" t="s">
        <v>8364</v>
      </c>
      <c r="F5346" t="s">
        <v>204</v>
      </c>
      <c r="G5346" t="s">
        <v>8365</v>
      </c>
      <c r="H5346" t="s">
        <v>8366</v>
      </c>
    </row>
    <row r="5347" spans="1:8">
      <c r="A5347" t="s">
        <v>243</v>
      </c>
      <c r="B5347" t="s">
        <v>204</v>
      </c>
      <c r="C5347">
        <v>108</v>
      </c>
      <c r="D5347" t="s">
        <v>8367</v>
      </c>
      <c r="E5347" t="s">
        <v>8368</v>
      </c>
      <c r="F5347" t="s">
        <v>204</v>
      </c>
    </row>
    <row r="5348" spans="1:8">
      <c r="A5348" t="s">
        <v>241</v>
      </c>
      <c r="B5348" t="s">
        <v>204</v>
      </c>
      <c r="C5348">
        <v>108</v>
      </c>
      <c r="D5348" t="s">
        <v>8369</v>
      </c>
      <c r="E5348" t="s">
        <v>8370</v>
      </c>
      <c r="H5348" t="s">
        <v>8371</v>
      </c>
    </row>
    <row r="5349" spans="1:8">
      <c r="A5349" t="s">
        <v>239</v>
      </c>
      <c r="B5349" t="s">
        <v>204</v>
      </c>
      <c r="C5349">
        <v>108</v>
      </c>
      <c r="D5349" t="s">
        <v>8372</v>
      </c>
      <c r="E5349" t="s">
        <v>8373</v>
      </c>
      <c r="H5349" t="s">
        <v>8374</v>
      </c>
    </row>
    <row r="5350" spans="1:8">
      <c r="A5350" t="s">
        <v>242</v>
      </c>
      <c r="B5350" t="s">
        <v>204</v>
      </c>
      <c r="C5350">
        <v>108</v>
      </c>
      <c r="D5350" t="s">
        <v>8375</v>
      </c>
      <c r="E5350" t="s">
        <v>8376</v>
      </c>
      <c r="F5350" t="s">
        <v>204</v>
      </c>
      <c r="G5350" t="s">
        <v>8377</v>
      </c>
      <c r="H5350" t="s">
        <v>8378</v>
      </c>
    </row>
    <row r="5351" spans="1:8">
      <c r="A5351" t="s">
        <v>243</v>
      </c>
      <c r="B5351" t="s">
        <v>204</v>
      </c>
      <c r="C5351">
        <v>108</v>
      </c>
      <c r="D5351" t="s">
        <v>8379</v>
      </c>
      <c r="E5351" t="s">
        <v>8380</v>
      </c>
      <c r="H5351" t="s">
        <v>8381</v>
      </c>
    </row>
    <row r="5352" spans="1:8">
      <c r="A5352" t="s">
        <v>241</v>
      </c>
      <c r="B5352" t="s">
        <v>204</v>
      </c>
      <c r="C5352">
        <v>108</v>
      </c>
      <c r="D5352" t="s">
        <v>8382</v>
      </c>
      <c r="E5352" t="s">
        <v>8383</v>
      </c>
      <c r="F5352" t="s">
        <v>201</v>
      </c>
      <c r="G5352" t="s">
        <v>8384</v>
      </c>
      <c r="H5352" t="s">
        <v>8385</v>
      </c>
    </row>
    <row r="5353" spans="1:8">
      <c r="A5353" t="s">
        <v>242</v>
      </c>
      <c r="B5353" t="s">
        <v>204</v>
      </c>
      <c r="C5353">
        <v>108</v>
      </c>
      <c r="D5353" t="s">
        <v>8386</v>
      </c>
      <c r="E5353" t="s">
        <v>8387</v>
      </c>
      <c r="F5353" t="s">
        <v>204</v>
      </c>
      <c r="H5353" t="s">
        <v>8388</v>
      </c>
    </row>
    <row r="5354" spans="1:8">
      <c r="A5354" t="s">
        <v>243</v>
      </c>
      <c r="B5354" t="s">
        <v>204</v>
      </c>
      <c r="C5354">
        <v>108</v>
      </c>
      <c r="D5354" t="s">
        <v>8389</v>
      </c>
      <c r="E5354" t="s">
        <v>8390</v>
      </c>
      <c r="F5354" t="s">
        <v>204</v>
      </c>
      <c r="G5354" t="s">
        <v>8391</v>
      </c>
      <c r="H5354" t="s">
        <v>8392</v>
      </c>
    </row>
    <row r="5355" spans="1:8">
      <c r="A5355" t="s">
        <v>241</v>
      </c>
      <c r="B5355" t="s">
        <v>204</v>
      </c>
      <c r="C5355">
        <v>108</v>
      </c>
      <c r="D5355" t="s">
        <v>8393</v>
      </c>
      <c r="E5355" t="s">
        <v>8394</v>
      </c>
      <c r="F5355" t="s">
        <v>204</v>
      </c>
      <c r="G5355" t="s">
        <v>8395</v>
      </c>
      <c r="H5355" t="s">
        <v>8396</v>
      </c>
    </row>
    <row r="5356" spans="1:8">
      <c r="A5356" t="s">
        <v>241</v>
      </c>
      <c r="B5356" t="s">
        <v>204</v>
      </c>
      <c r="C5356">
        <v>108</v>
      </c>
      <c r="D5356" t="s">
        <v>8397</v>
      </c>
      <c r="E5356" t="s">
        <v>8398</v>
      </c>
      <c r="H5356" t="s">
        <v>8399</v>
      </c>
    </row>
    <row r="5357" spans="1:8">
      <c r="A5357" t="s">
        <v>241</v>
      </c>
      <c r="B5357" t="s">
        <v>204</v>
      </c>
      <c r="C5357">
        <v>108</v>
      </c>
      <c r="D5357" t="s">
        <v>8400</v>
      </c>
      <c r="E5357" t="s">
        <v>8401</v>
      </c>
    </row>
    <row r="5358" spans="1:8">
      <c r="A5358" t="s">
        <v>238</v>
      </c>
      <c r="B5358" t="s">
        <v>127</v>
      </c>
      <c r="C5358">
        <v>108</v>
      </c>
      <c r="D5358" t="s">
        <v>8587</v>
      </c>
      <c r="E5358" t="s">
        <v>8588</v>
      </c>
      <c r="F5358" t="s">
        <v>127</v>
      </c>
      <c r="G5358" t="s">
        <v>8589</v>
      </c>
      <c r="H5358" t="s">
        <v>8590</v>
      </c>
    </row>
    <row r="5359" spans="1:8">
      <c r="A5359" t="s">
        <v>242</v>
      </c>
      <c r="B5359" t="s">
        <v>127</v>
      </c>
      <c r="C5359">
        <v>108</v>
      </c>
      <c r="D5359" t="s">
        <v>8591</v>
      </c>
      <c r="E5359" t="s">
        <v>8592</v>
      </c>
      <c r="F5359" t="s">
        <v>127</v>
      </c>
      <c r="G5359" t="s">
        <v>8593</v>
      </c>
      <c r="H5359" t="s">
        <v>8594</v>
      </c>
    </row>
    <row r="5360" spans="1:8">
      <c r="A5360" t="s">
        <v>242</v>
      </c>
      <c r="B5360" t="s">
        <v>127</v>
      </c>
      <c r="C5360">
        <v>108</v>
      </c>
      <c r="D5360" t="s">
        <v>8595</v>
      </c>
      <c r="E5360" t="s">
        <v>8596</v>
      </c>
      <c r="F5360" t="s">
        <v>127</v>
      </c>
      <c r="G5360" t="s">
        <v>8597</v>
      </c>
      <c r="H5360" t="s">
        <v>8598</v>
      </c>
    </row>
    <row r="5361" spans="1:8">
      <c r="A5361" t="s">
        <v>241</v>
      </c>
      <c r="B5361" t="s">
        <v>127</v>
      </c>
      <c r="C5361">
        <v>108</v>
      </c>
      <c r="D5361" t="s">
        <v>8599</v>
      </c>
      <c r="E5361" t="s">
        <v>8600</v>
      </c>
      <c r="G5361" t="s">
        <v>8601</v>
      </c>
      <c r="H5361" t="s">
        <v>8602</v>
      </c>
    </row>
    <row r="5362" spans="1:8">
      <c r="A5362" t="s">
        <v>241</v>
      </c>
      <c r="B5362" t="s">
        <v>127</v>
      </c>
      <c r="C5362">
        <v>108</v>
      </c>
      <c r="D5362" t="s">
        <v>8603</v>
      </c>
      <c r="E5362" t="s">
        <v>8604</v>
      </c>
      <c r="H5362" t="s">
        <v>8605</v>
      </c>
    </row>
    <row r="5363" spans="1:8">
      <c r="A5363" t="s">
        <v>239</v>
      </c>
      <c r="B5363" t="s">
        <v>127</v>
      </c>
      <c r="C5363">
        <v>108</v>
      </c>
      <c r="D5363" t="s">
        <v>8606</v>
      </c>
      <c r="E5363" t="s">
        <v>8607</v>
      </c>
    </row>
    <row r="5364" spans="1:8">
      <c r="A5364" t="s">
        <v>240</v>
      </c>
      <c r="B5364" t="s">
        <v>127</v>
      </c>
      <c r="C5364">
        <v>108</v>
      </c>
      <c r="D5364" t="s">
        <v>8608</v>
      </c>
      <c r="E5364" t="s">
        <v>8609</v>
      </c>
      <c r="F5364" t="s">
        <v>127</v>
      </c>
    </row>
    <row r="5365" spans="1:8">
      <c r="A5365" t="s">
        <v>241</v>
      </c>
      <c r="B5365" t="s">
        <v>127</v>
      </c>
      <c r="C5365">
        <v>108</v>
      </c>
      <c r="D5365" t="s">
        <v>8610</v>
      </c>
      <c r="E5365" t="s">
        <v>8611</v>
      </c>
      <c r="F5365" t="s">
        <v>127</v>
      </c>
      <c r="G5365" t="s">
        <v>8612</v>
      </c>
      <c r="H5365" t="s">
        <v>8613</v>
      </c>
    </row>
    <row r="5366" spans="1:8">
      <c r="A5366" t="s">
        <v>241</v>
      </c>
      <c r="B5366" t="s">
        <v>127</v>
      </c>
      <c r="C5366">
        <v>108</v>
      </c>
      <c r="D5366" t="s">
        <v>8614</v>
      </c>
      <c r="E5366" t="s">
        <v>8615</v>
      </c>
      <c r="F5366" t="s">
        <v>127</v>
      </c>
      <c r="H5366" t="s">
        <v>8616</v>
      </c>
    </row>
    <row r="5367" spans="1:8">
      <c r="A5367" t="s">
        <v>238</v>
      </c>
      <c r="B5367" t="s">
        <v>127</v>
      </c>
      <c r="C5367">
        <v>108</v>
      </c>
      <c r="D5367" t="s">
        <v>8617</v>
      </c>
      <c r="E5367" t="s">
        <v>8618</v>
      </c>
      <c r="F5367" t="s">
        <v>127</v>
      </c>
      <c r="G5367" t="s">
        <v>8619</v>
      </c>
      <c r="H5367" t="s">
        <v>8620</v>
      </c>
    </row>
    <row r="5368" spans="1:8">
      <c r="A5368" t="s">
        <v>242</v>
      </c>
      <c r="B5368" t="s">
        <v>127</v>
      </c>
      <c r="C5368">
        <v>108</v>
      </c>
      <c r="D5368" t="s">
        <v>8621</v>
      </c>
      <c r="E5368" t="s">
        <v>8622</v>
      </c>
      <c r="F5368" t="s">
        <v>127</v>
      </c>
      <c r="G5368" t="s">
        <v>8623</v>
      </c>
      <c r="H5368" t="s">
        <v>8624</v>
      </c>
    </row>
    <row r="5369" spans="1:8">
      <c r="A5369" t="s">
        <v>241</v>
      </c>
      <c r="B5369" t="s">
        <v>127</v>
      </c>
      <c r="C5369">
        <v>108</v>
      </c>
      <c r="D5369" t="s">
        <v>8625</v>
      </c>
      <c r="E5369" t="s">
        <v>8626</v>
      </c>
      <c r="F5369" t="s">
        <v>127</v>
      </c>
      <c r="G5369" t="s">
        <v>8627</v>
      </c>
      <c r="H5369" t="s">
        <v>8628</v>
      </c>
    </row>
    <row r="5370" spans="1:8">
      <c r="A5370" t="s">
        <v>238</v>
      </c>
      <c r="B5370" t="s">
        <v>127</v>
      </c>
      <c r="C5370">
        <v>108</v>
      </c>
      <c r="D5370" t="s">
        <v>8629</v>
      </c>
      <c r="E5370" t="s">
        <v>8630</v>
      </c>
      <c r="F5370" t="s">
        <v>127</v>
      </c>
      <c r="G5370" t="s">
        <v>8631</v>
      </c>
      <c r="H5370" t="s">
        <v>8632</v>
      </c>
    </row>
    <row r="5371" spans="1:8">
      <c r="A5371" t="s">
        <v>243</v>
      </c>
      <c r="B5371" t="s">
        <v>127</v>
      </c>
      <c r="C5371">
        <v>108</v>
      </c>
      <c r="D5371" t="s">
        <v>8633</v>
      </c>
      <c r="E5371" t="s">
        <v>8634</v>
      </c>
      <c r="G5371" t="s">
        <v>8635</v>
      </c>
      <c r="H5371" t="s">
        <v>8636</v>
      </c>
    </row>
    <row r="5372" spans="1:8">
      <c r="A5372" t="s">
        <v>239</v>
      </c>
      <c r="B5372" t="s">
        <v>127</v>
      </c>
      <c r="C5372">
        <v>108</v>
      </c>
      <c r="D5372" t="s">
        <v>8637</v>
      </c>
      <c r="E5372" t="s">
        <v>8638</v>
      </c>
      <c r="H5372" t="s">
        <v>8639</v>
      </c>
    </row>
    <row r="5373" spans="1:8">
      <c r="A5373" t="s">
        <v>238</v>
      </c>
      <c r="B5373" t="s">
        <v>127</v>
      </c>
      <c r="C5373">
        <v>108</v>
      </c>
      <c r="D5373" t="s">
        <v>8640</v>
      </c>
      <c r="E5373" t="s">
        <v>8641</v>
      </c>
      <c r="F5373" t="s">
        <v>127</v>
      </c>
      <c r="G5373" t="s">
        <v>8642</v>
      </c>
      <c r="H5373" t="s">
        <v>8613</v>
      </c>
    </row>
    <row r="5374" spans="1:8">
      <c r="A5374" t="s">
        <v>242</v>
      </c>
      <c r="B5374" t="s">
        <v>127</v>
      </c>
      <c r="C5374">
        <v>108</v>
      </c>
      <c r="D5374" t="s">
        <v>8643</v>
      </c>
      <c r="E5374" t="s">
        <v>8644</v>
      </c>
      <c r="F5374" t="s">
        <v>127</v>
      </c>
      <c r="H5374" t="s">
        <v>8645</v>
      </c>
    </row>
    <row r="5375" spans="1:8">
      <c r="A5375" t="s">
        <v>239</v>
      </c>
      <c r="B5375" t="s">
        <v>127</v>
      </c>
      <c r="C5375">
        <v>108</v>
      </c>
      <c r="D5375" t="s">
        <v>8646</v>
      </c>
      <c r="E5375" t="s">
        <v>8647</v>
      </c>
      <c r="F5375" t="s">
        <v>127</v>
      </c>
      <c r="H5375" t="s">
        <v>8648</v>
      </c>
    </row>
    <row r="5376" spans="1:8">
      <c r="A5376" t="s">
        <v>238</v>
      </c>
      <c r="B5376" t="s">
        <v>127</v>
      </c>
      <c r="C5376">
        <v>108</v>
      </c>
      <c r="D5376" t="s">
        <v>8649</v>
      </c>
      <c r="E5376" t="s">
        <v>8650</v>
      </c>
      <c r="F5376" t="s">
        <v>127</v>
      </c>
      <c r="H5376" t="s">
        <v>8651</v>
      </c>
    </row>
    <row r="5377" spans="1:8">
      <c r="A5377" t="s">
        <v>239</v>
      </c>
      <c r="B5377" t="s">
        <v>127</v>
      </c>
      <c r="C5377">
        <v>108</v>
      </c>
      <c r="D5377" t="s">
        <v>8652</v>
      </c>
      <c r="E5377" t="s">
        <v>8653</v>
      </c>
      <c r="F5377" t="s">
        <v>127</v>
      </c>
      <c r="H5377" t="s">
        <v>8648</v>
      </c>
    </row>
    <row r="5378" spans="1:8">
      <c r="A5378" t="s">
        <v>244</v>
      </c>
      <c r="B5378" t="s">
        <v>132</v>
      </c>
      <c r="C5378">
        <v>108</v>
      </c>
      <c r="D5378" t="s">
        <v>1282</v>
      </c>
      <c r="F5378" t="s">
        <v>9703</v>
      </c>
      <c r="H5378" t="s">
        <v>9704</v>
      </c>
    </row>
    <row r="5379" spans="1:8">
      <c r="A5379" t="s">
        <v>241</v>
      </c>
      <c r="B5379" t="s">
        <v>199</v>
      </c>
      <c r="C5379">
        <v>109</v>
      </c>
      <c r="D5379" t="s">
        <v>2898</v>
      </c>
      <c r="E5379" t="s">
        <v>2899</v>
      </c>
      <c r="F5379" t="s">
        <v>199</v>
      </c>
      <c r="G5379" t="s">
        <v>2900</v>
      </c>
      <c r="H5379" t="s">
        <v>2901</v>
      </c>
    </row>
    <row r="5380" spans="1:8">
      <c r="A5380" t="s">
        <v>241</v>
      </c>
      <c r="B5380" t="s">
        <v>199</v>
      </c>
      <c r="C5380">
        <v>109</v>
      </c>
      <c r="D5380" t="s">
        <v>2902</v>
      </c>
      <c r="E5380" t="s">
        <v>2903</v>
      </c>
      <c r="F5380" t="s">
        <v>199</v>
      </c>
      <c r="H5380" t="s">
        <v>2904</v>
      </c>
    </row>
    <row r="5381" spans="1:8">
      <c r="A5381" t="s">
        <v>241</v>
      </c>
      <c r="B5381" t="s">
        <v>199</v>
      </c>
      <c r="C5381">
        <v>109</v>
      </c>
      <c r="D5381" t="s">
        <v>2905</v>
      </c>
      <c r="E5381" t="s">
        <v>2906</v>
      </c>
      <c r="F5381" t="s">
        <v>2907</v>
      </c>
      <c r="G5381" t="s">
        <v>2908</v>
      </c>
      <c r="H5381" t="s">
        <v>2909</v>
      </c>
    </row>
    <row r="5382" spans="1:8">
      <c r="A5382" t="s">
        <v>240</v>
      </c>
      <c r="B5382" t="s">
        <v>199</v>
      </c>
      <c r="C5382">
        <v>109</v>
      </c>
      <c r="D5382" t="s">
        <v>2910</v>
      </c>
      <c r="F5382" t="s">
        <v>2911</v>
      </c>
      <c r="G5382" t="s">
        <v>2912</v>
      </c>
      <c r="H5382" t="s">
        <v>2913</v>
      </c>
    </row>
    <row r="5383" spans="1:8">
      <c r="A5383" t="s">
        <v>238</v>
      </c>
      <c r="B5383" t="s">
        <v>199</v>
      </c>
      <c r="C5383">
        <v>109</v>
      </c>
      <c r="D5383" t="s">
        <v>2914</v>
      </c>
      <c r="E5383" t="s">
        <v>2915</v>
      </c>
      <c r="F5383" t="s">
        <v>2916</v>
      </c>
      <c r="H5383" t="s">
        <v>2917</v>
      </c>
    </row>
    <row r="5384" spans="1:8">
      <c r="A5384" t="s">
        <v>239</v>
      </c>
      <c r="B5384" t="s">
        <v>199</v>
      </c>
      <c r="C5384">
        <v>109</v>
      </c>
      <c r="D5384" t="s">
        <v>2918</v>
      </c>
      <c r="E5384" t="s">
        <v>2919</v>
      </c>
      <c r="F5384" t="s">
        <v>194</v>
      </c>
      <c r="G5384" t="s">
        <v>2920</v>
      </c>
      <c r="H5384" t="s">
        <v>2921</v>
      </c>
    </row>
    <row r="5385" spans="1:8">
      <c r="A5385" t="s">
        <v>243</v>
      </c>
      <c r="B5385" t="s">
        <v>199</v>
      </c>
      <c r="C5385">
        <v>109</v>
      </c>
      <c r="D5385" t="s">
        <v>2922</v>
      </c>
      <c r="E5385" t="s">
        <v>2923</v>
      </c>
      <c r="F5385" t="s">
        <v>199</v>
      </c>
      <c r="G5385" t="s">
        <v>2924</v>
      </c>
      <c r="H5385" t="s">
        <v>2925</v>
      </c>
    </row>
    <row r="5386" spans="1:8">
      <c r="A5386" t="s">
        <v>242</v>
      </c>
      <c r="B5386" t="s">
        <v>199</v>
      </c>
      <c r="C5386">
        <v>109</v>
      </c>
      <c r="D5386" t="s">
        <v>2926</v>
      </c>
      <c r="E5386" t="s">
        <v>2927</v>
      </c>
      <c r="F5386" t="s">
        <v>199</v>
      </c>
      <c r="G5386" t="s">
        <v>2928</v>
      </c>
      <c r="H5386" t="s">
        <v>2929</v>
      </c>
    </row>
    <row r="5387" spans="1:8">
      <c r="A5387" t="s">
        <v>241</v>
      </c>
      <c r="B5387" t="s">
        <v>199</v>
      </c>
      <c r="C5387">
        <v>109</v>
      </c>
      <c r="D5387" t="s">
        <v>2930</v>
      </c>
      <c r="E5387" t="s">
        <v>2931</v>
      </c>
      <c r="F5387" t="s">
        <v>199</v>
      </c>
      <c r="H5387" t="s">
        <v>2932</v>
      </c>
    </row>
    <row r="5388" spans="1:8">
      <c r="A5388" t="s">
        <v>241</v>
      </c>
      <c r="B5388" t="s">
        <v>199</v>
      </c>
      <c r="C5388">
        <v>109</v>
      </c>
      <c r="D5388" t="s">
        <v>2933</v>
      </c>
      <c r="E5388" t="s">
        <v>2934</v>
      </c>
      <c r="F5388" t="s">
        <v>199</v>
      </c>
      <c r="G5388" t="s">
        <v>2935</v>
      </c>
      <c r="H5388" t="s">
        <v>2936</v>
      </c>
    </row>
    <row r="5389" spans="1:8">
      <c r="A5389" t="s">
        <v>241</v>
      </c>
      <c r="B5389" t="s">
        <v>199</v>
      </c>
      <c r="C5389">
        <v>109</v>
      </c>
      <c r="D5389" t="s">
        <v>2937</v>
      </c>
      <c r="E5389" t="s">
        <v>2938</v>
      </c>
      <c r="F5389" t="s">
        <v>199</v>
      </c>
      <c r="H5389" t="s">
        <v>2939</v>
      </c>
    </row>
    <row r="5390" spans="1:8">
      <c r="A5390" t="s">
        <v>242</v>
      </c>
      <c r="B5390" t="s">
        <v>199</v>
      </c>
      <c r="C5390">
        <v>109</v>
      </c>
      <c r="D5390" t="s">
        <v>2940</v>
      </c>
      <c r="E5390" t="s">
        <v>2941</v>
      </c>
      <c r="F5390" t="s">
        <v>199</v>
      </c>
      <c r="G5390" t="s">
        <v>2942</v>
      </c>
      <c r="H5390" t="s">
        <v>2943</v>
      </c>
    </row>
    <row r="5391" spans="1:8">
      <c r="A5391" t="s">
        <v>250</v>
      </c>
      <c r="B5391" t="s">
        <v>199</v>
      </c>
      <c r="C5391">
        <v>109</v>
      </c>
      <c r="D5391" t="s">
        <v>2944</v>
      </c>
      <c r="E5391" t="s">
        <v>2945</v>
      </c>
      <c r="F5391" t="s">
        <v>2946</v>
      </c>
    </row>
    <row r="5392" spans="1:8">
      <c r="A5392" t="s">
        <v>241</v>
      </c>
      <c r="B5392" t="s">
        <v>199</v>
      </c>
      <c r="C5392">
        <v>109</v>
      </c>
      <c r="D5392" t="s">
        <v>2947</v>
      </c>
      <c r="E5392" t="s">
        <v>2948</v>
      </c>
      <c r="F5392" t="s">
        <v>2949</v>
      </c>
    </row>
    <row r="5393" spans="1:8">
      <c r="A5393" t="s">
        <v>241</v>
      </c>
      <c r="B5393" t="s">
        <v>199</v>
      </c>
      <c r="C5393">
        <v>109</v>
      </c>
      <c r="D5393" t="s">
        <v>2950</v>
      </c>
      <c r="E5393" t="s">
        <v>2951</v>
      </c>
      <c r="F5393" t="s">
        <v>199</v>
      </c>
      <c r="G5393" t="s">
        <v>2952</v>
      </c>
      <c r="H5393" t="s">
        <v>2953</v>
      </c>
    </row>
    <row r="5394" spans="1:8">
      <c r="A5394" t="s">
        <v>241</v>
      </c>
      <c r="B5394" t="s">
        <v>199</v>
      </c>
      <c r="C5394">
        <v>109</v>
      </c>
      <c r="D5394" t="s">
        <v>2954</v>
      </c>
      <c r="E5394" t="s">
        <v>2955</v>
      </c>
      <c r="F5394" t="s">
        <v>199</v>
      </c>
      <c r="G5394" t="s">
        <v>2956</v>
      </c>
      <c r="H5394" t="s">
        <v>2957</v>
      </c>
    </row>
    <row r="5395" spans="1:8">
      <c r="A5395" t="s">
        <v>249</v>
      </c>
      <c r="B5395" t="s">
        <v>199</v>
      </c>
      <c r="C5395">
        <v>109</v>
      </c>
      <c r="D5395" t="s">
        <v>2958</v>
      </c>
      <c r="E5395" t="s">
        <v>2959</v>
      </c>
      <c r="F5395" t="s">
        <v>199</v>
      </c>
      <c r="G5395" t="s">
        <v>2960</v>
      </c>
      <c r="H5395" t="s">
        <v>2961</v>
      </c>
    </row>
    <row r="5396" spans="1:8">
      <c r="A5396" t="s">
        <v>250</v>
      </c>
      <c r="B5396" t="s">
        <v>199</v>
      </c>
      <c r="C5396">
        <v>109</v>
      </c>
      <c r="D5396" t="s">
        <v>2962</v>
      </c>
      <c r="E5396" t="s">
        <v>2963</v>
      </c>
      <c r="F5396" t="s">
        <v>2964</v>
      </c>
      <c r="G5396" t="s">
        <v>2965</v>
      </c>
      <c r="H5396" t="s">
        <v>2966</v>
      </c>
    </row>
    <row r="5397" spans="1:8">
      <c r="A5397" t="s">
        <v>241</v>
      </c>
      <c r="B5397" t="s">
        <v>214</v>
      </c>
      <c r="C5397">
        <v>109</v>
      </c>
      <c r="D5397" t="s">
        <v>10539</v>
      </c>
      <c r="E5397" t="s">
        <v>10540</v>
      </c>
      <c r="G5397" t="s">
        <v>10541</v>
      </c>
      <c r="H5397" t="s">
        <v>10542</v>
      </c>
    </row>
    <row r="5398" spans="1:8">
      <c r="A5398" t="s">
        <v>238</v>
      </c>
      <c r="B5398" t="s">
        <v>214</v>
      </c>
      <c r="C5398">
        <v>109</v>
      </c>
      <c r="D5398" t="s">
        <v>10543</v>
      </c>
      <c r="E5398" t="s">
        <v>10544</v>
      </c>
      <c r="F5398" t="s">
        <v>214</v>
      </c>
      <c r="G5398" t="s">
        <v>10545</v>
      </c>
      <c r="H5398" t="s">
        <v>10546</v>
      </c>
    </row>
    <row r="5399" spans="1:8">
      <c r="A5399" t="s">
        <v>239</v>
      </c>
      <c r="B5399" t="s">
        <v>39</v>
      </c>
      <c r="C5399">
        <v>109</v>
      </c>
      <c r="D5399" t="s">
        <v>12119</v>
      </c>
      <c r="E5399" t="s">
        <v>12120</v>
      </c>
      <c r="F5399" t="s">
        <v>12119</v>
      </c>
      <c r="H5399" t="s">
        <v>12121</v>
      </c>
    </row>
    <row r="5400" spans="1:8">
      <c r="A5400" t="s">
        <v>239</v>
      </c>
      <c r="B5400" t="s">
        <v>39</v>
      </c>
      <c r="C5400">
        <v>109</v>
      </c>
      <c r="D5400" t="s">
        <v>12122</v>
      </c>
      <c r="E5400" t="s">
        <v>12123</v>
      </c>
      <c r="F5400" t="s">
        <v>39</v>
      </c>
      <c r="H5400" t="s">
        <v>12121</v>
      </c>
    </row>
    <row r="5401" spans="1:8">
      <c r="A5401" t="s">
        <v>242</v>
      </c>
      <c r="B5401" t="s">
        <v>39</v>
      </c>
      <c r="C5401">
        <v>109</v>
      </c>
      <c r="D5401" t="s">
        <v>12124</v>
      </c>
      <c r="E5401" t="s">
        <v>12125</v>
      </c>
      <c r="G5401" t="s">
        <v>12126</v>
      </c>
      <c r="H5401" t="s">
        <v>12127</v>
      </c>
    </row>
    <row r="5402" spans="1:8">
      <c r="A5402" t="s">
        <v>238</v>
      </c>
      <c r="B5402" t="s">
        <v>39</v>
      </c>
      <c r="C5402">
        <v>109</v>
      </c>
      <c r="D5402" t="s">
        <v>12128</v>
      </c>
      <c r="E5402" t="s">
        <v>12129</v>
      </c>
      <c r="F5402" t="s">
        <v>39</v>
      </c>
    </row>
    <row r="5403" spans="1:8">
      <c r="A5403" t="s">
        <v>243</v>
      </c>
      <c r="B5403" t="s">
        <v>39</v>
      </c>
      <c r="C5403">
        <v>109</v>
      </c>
      <c r="D5403" t="s">
        <v>12130</v>
      </c>
      <c r="E5403" t="s">
        <v>12131</v>
      </c>
      <c r="F5403" t="s">
        <v>39</v>
      </c>
      <c r="G5403" t="s">
        <v>12132</v>
      </c>
      <c r="H5403" t="s">
        <v>12133</v>
      </c>
    </row>
    <row r="5404" spans="1:8">
      <c r="A5404" t="s">
        <v>243</v>
      </c>
      <c r="B5404" t="s">
        <v>39</v>
      </c>
      <c r="C5404">
        <v>109</v>
      </c>
      <c r="D5404" t="s">
        <v>12134</v>
      </c>
      <c r="E5404" t="s">
        <v>12135</v>
      </c>
      <c r="F5404" t="s">
        <v>39</v>
      </c>
    </row>
    <row r="5405" spans="1:8">
      <c r="A5405" t="s">
        <v>240</v>
      </c>
      <c r="B5405" t="s">
        <v>39</v>
      </c>
      <c r="C5405">
        <v>109</v>
      </c>
      <c r="D5405" t="s">
        <v>12136</v>
      </c>
      <c r="E5405" t="s">
        <v>12137</v>
      </c>
      <c r="F5405" t="s">
        <v>39</v>
      </c>
      <c r="G5405" t="s">
        <v>12138</v>
      </c>
      <c r="H5405" t="s">
        <v>12139</v>
      </c>
    </row>
    <row r="5406" spans="1:8">
      <c r="A5406" t="s">
        <v>241</v>
      </c>
      <c r="B5406" t="s">
        <v>230</v>
      </c>
      <c r="C5406">
        <v>110</v>
      </c>
      <c r="D5406" t="s">
        <v>14260</v>
      </c>
      <c r="E5406" t="s">
        <v>14261</v>
      </c>
      <c r="F5406" t="s">
        <v>230</v>
      </c>
    </row>
    <row r="5407" spans="1:8">
      <c r="A5407" t="s">
        <v>243</v>
      </c>
      <c r="B5407" t="s">
        <v>230</v>
      </c>
      <c r="C5407">
        <v>110</v>
      </c>
      <c r="D5407" t="s">
        <v>14262</v>
      </c>
      <c r="E5407" t="s">
        <v>14263</v>
      </c>
      <c r="F5407" t="s">
        <v>230</v>
      </c>
      <c r="G5407" t="s">
        <v>14264</v>
      </c>
      <c r="H5407" t="s">
        <v>14265</v>
      </c>
    </row>
    <row r="5408" spans="1:8">
      <c r="A5408" t="s">
        <v>242</v>
      </c>
      <c r="B5408" t="s">
        <v>230</v>
      </c>
      <c r="C5408">
        <v>110</v>
      </c>
      <c r="D5408" t="s">
        <v>14266</v>
      </c>
      <c r="E5408" t="s">
        <v>14267</v>
      </c>
      <c r="G5408" t="s">
        <v>14268</v>
      </c>
      <c r="H5408" t="s">
        <v>14269</v>
      </c>
    </row>
    <row r="5409" spans="1:8">
      <c r="A5409" t="s">
        <v>242</v>
      </c>
      <c r="B5409" t="s">
        <v>195</v>
      </c>
      <c r="C5409">
        <v>110</v>
      </c>
      <c r="D5409" t="s">
        <v>19432</v>
      </c>
      <c r="E5409" t="s">
        <v>19433</v>
      </c>
      <c r="F5409" t="s">
        <v>195</v>
      </c>
      <c r="H5409" t="s">
        <v>19434</v>
      </c>
    </row>
    <row r="5410" spans="1:8">
      <c r="A5410" t="s">
        <v>240</v>
      </c>
      <c r="B5410" t="s">
        <v>195</v>
      </c>
      <c r="C5410">
        <v>110</v>
      </c>
      <c r="D5410" t="s">
        <v>15629</v>
      </c>
      <c r="E5410" t="s">
        <v>19435</v>
      </c>
      <c r="G5410" t="s">
        <v>19436</v>
      </c>
      <c r="H5410" t="s">
        <v>19437</v>
      </c>
    </row>
    <row r="5411" spans="1:8">
      <c r="A5411" t="s">
        <v>242</v>
      </c>
      <c r="B5411" t="s">
        <v>195</v>
      </c>
      <c r="C5411">
        <v>110</v>
      </c>
      <c r="D5411" t="s">
        <v>19438</v>
      </c>
      <c r="E5411" t="s">
        <v>19439</v>
      </c>
      <c r="F5411" t="s">
        <v>19440</v>
      </c>
      <c r="G5411" t="s">
        <v>19441</v>
      </c>
      <c r="H5411" t="s">
        <v>19442</v>
      </c>
    </row>
    <row r="5412" spans="1:8">
      <c r="A5412" t="s">
        <v>241</v>
      </c>
      <c r="B5412" t="s">
        <v>206</v>
      </c>
      <c r="C5412">
        <v>111</v>
      </c>
      <c r="D5412" t="s">
        <v>8911</v>
      </c>
      <c r="E5412" t="s">
        <v>8912</v>
      </c>
      <c r="F5412" t="s">
        <v>206</v>
      </c>
      <c r="H5412" t="s">
        <v>8913</v>
      </c>
    </row>
    <row r="5413" spans="1:8">
      <c r="A5413" t="s">
        <v>241</v>
      </c>
      <c r="B5413" t="s">
        <v>191</v>
      </c>
      <c r="C5413">
        <v>111</v>
      </c>
      <c r="D5413" t="s">
        <v>14538</v>
      </c>
      <c r="E5413" t="s">
        <v>14539</v>
      </c>
      <c r="F5413" t="s">
        <v>14540</v>
      </c>
      <c r="H5413" t="s">
        <v>14541</v>
      </c>
    </row>
    <row r="5414" spans="1:8">
      <c r="A5414" t="s">
        <v>241</v>
      </c>
      <c r="B5414" t="s">
        <v>191</v>
      </c>
      <c r="C5414">
        <v>111</v>
      </c>
      <c r="D5414" t="s">
        <v>14542</v>
      </c>
      <c r="E5414" t="s">
        <v>14543</v>
      </c>
    </row>
    <row r="5415" spans="1:8">
      <c r="A5415" t="s">
        <v>241</v>
      </c>
      <c r="B5415" t="s">
        <v>191</v>
      </c>
      <c r="C5415">
        <v>111</v>
      </c>
      <c r="D5415" t="s">
        <v>14544</v>
      </c>
      <c r="E5415" t="s">
        <v>14545</v>
      </c>
      <c r="F5415" t="s">
        <v>191</v>
      </c>
      <c r="G5415" t="s">
        <v>14546</v>
      </c>
      <c r="H5415" t="s">
        <v>14547</v>
      </c>
    </row>
    <row r="5416" spans="1:8">
      <c r="A5416" t="s">
        <v>241</v>
      </c>
      <c r="B5416" t="s">
        <v>191</v>
      </c>
      <c r="C5416">
        <v>111</v>
      </c>
      <c r="D5416" t="s">
        <v>14548</v>
      </c>
      <c r="E5416" t="s">
        <v>14549</v>
      </c>
      <c r="F5416" t="s">
        <v>191</v>
      </c>
      <c r="G5416" t="s">
        <v>14550</v>
      </c>
      <c r="H5416" t="s">
        <v>14551</v>
      </c>
    </row>
    <row r="5417" spans="1:8">
      <c r="A5417" t="s">
        <v>242</v>
      </c>
      <c r="B5417" t="s">
        <v>191</v>
      </c>
      <c r="C5417">
        <v>111</v>
      </c>
      <c r="D5417" t="s">
        <v>1254</v>
      </c>
      <c r="E5417" t="s">
        <v>14552</v>
      </c>
      <c r="F5417" t="s">
        <v>14553</v>
      </c>
      <c r="G5417" t="s">
        <v>14554</v>
      </c>
      <c r="H5417" t="s">
        <v>14555</v>
      </c>
    </row>
    <row r="5418" spans="1:8">
      <c r="A5418" t="s">
        <v>241</v>
      </c>
      <c r="B5418" t="s">
        <v>191</v>
      </c>
      <c r="C5418">
        <v>111</v>
      </c>
      <c r="D5418" t="s">
        <v>14556</v>
      </c>
      <c r="E5418" t="s">
        <v>14557</v>
      </c>
      <c r="F5418" t="s">
        <v>191</v>
      </c>
    </row>
    <row r="5419" spans="1:8">
      <c r="A5419" t="s">
        <v>241</v>
      </c>
      <c r="B5419" t="s">
        <v>191</v>
      </c>
      <c r="C5419">
        <v>111</v>
      </c>
      <c r="D5419" t="s">
        <v>14558</v>
      </c>
      <c r="E5419" t="s">
        <v>14559</v>
      </c>
      <c r="F5419" t="s">
        <v>191</v>
      </c>
      <c r="G5419" t="s">
        <v>14560</v>
      </c>
      <c r="H5419" t="s">
        <v>14561</v>
      </c>
    </row>
    <row r="5420" spans="1:8">
      <c r="A5420" t="s">
        <v>242</v>
      </c>
      <c r="B5420" t="s">
        <v>191</v>
      </c>
      <c r="C5420">
        <v>111</v>
      </c>
      <c r="D5420" t="s">
        <v>14562</v>
      </c>
      <c r="E5420" t="s">
        <v>14563</v>
      </c>
      <c r="F5420" t="s">
        <v>14564</v>
      </c>
      <c r="G5420" t="s">
        <v>14565</v>
      </c>
      <c r="H5420" t="s">
        <v>14566</v>
      </c>
    </row>
    <row r="5421" spans="1:8">
      <c r="A5421" t="s">
        <v>246</v>
      </c>
      <c r="B5421" t="s">
        <v>191</v>
      </c>
      <c r="C5421">
        <v>111</v>
      </c>
      <c r="D5421" t="s">
        <v>14567</v>
      </c>
      <c r="F5421" t="s">
        <v>14568</v>
      </c>
    </row>
    <row r="5422" spans="1:8">
      <c r="A5422" t="s">
        <v>241</v>
      </c>
      <c r="B5422" t="s">
        <v>191</v>
      </c>
      <c r="C5422">
        <v>111</v>
      </c>
      <c r="D5422" t="s">
        <v>14569</v>
      </c>
      <c r="E5422" t="s">
        <v>14570</v>
      </c>
      <c r="F5422" t="s">
        <v>191</v>
      </c>
      <c r="H5422" t="s">
        <v>14571</v>
      </c>
    </row>
    <row r="5423" spans="1:8">
      <c r="A5423" t="s">
        <v>241</v>
      </c>
      <c r="B5423" t="s">
        <v>191</v>
      </c>
      <c r="C5423">
        <v>111</v>
      </c>
      <c r="D5423" t="s">
        <v>14572</v>
      </c>
      <c r="E5423" t="s">
        <v>14573</v>
      </c>
      <c r="G5423" t="s">
        <v>14574</v>
      </c>
      <c r="H5423" t="s">
        <v>14575</v>
      </c>
    </row>
    <row r="5424" spans="1:8">
      <c r="A5424" t="s">
        <v>242</v>
      </c>
      <c r="B5424" t="s">
        <v>191</v>
      </c>
      <c r="C5424">
        <v>111</v>
      </c>
      <c r="D5424" t="s">
        <v>14576</v>
      </c>
      <c r="E5424" t="s">
        <v>14577</v>
      </c>
      <c r="G5424" t="s">
        <v>14574</v>
      </c>
      <c r="H5424" t="s">
        <v>14578</v>
      </c>
    </row>
    <row r="5425" spans="1:8">
      <c r="A5425" t="s">
        <v>241</v>
      </c>
      <c r="B5425" t="s">
        <v>191</v>
      </c>
      <c r="C5425">
        <v>111</v>
      </c>
      <c r="D5425" t="s">
        <v>14579</v>
      </c>
      <c r="F5425" t="s">
        <v>14568</v>
      </c>
    </row>
    <row r="5426" spans="1:8">
      <c r="A5426" t="s">
        <v>240</v>
      </c>
      <c r="B5426" t="s">
        <v>191</v>
      </c>
      <c r="C5426">
        <v>111</v>
      </c>
      <c r="D5426" t="s">
        <v>14580</v>
      </c>
      <c r="E5426" t="s">
        <v>14581</v>
      </c>
      <c r="F5426" t="s">
        <v>191</v>
      </c>
      <c r="H5426" t="s">
        <v>14582</v>
      </c>
    </row>
    <row r="5427" spans="1:8">
      <c r="A5427" t="s">
        <v>240</v>
      </c>
      <c r="B5427" t="s">
        <v>191</v>
      </c>
      <c r="C5427">
        <v>111</v>
      </c>
      <c r="D5427" t="s">
        <v>14583</v>
      </c>
      <c r="E5427" t="s">
        <v>14584</v>
      </c>
      <c r="F5427" t="s">
        <v>191</v>
      </c>
    </row>
    <row r="5428" spans="1:8">
      <c r="A5428" t="s">
        <v>241</v>
      </c>
      <c r="B5428" t="s">
        <v>191</v>
      </c>
      <c r="C5428">
        <v>111</v>
      </c>
      <c r="D5428" t="s">
        <v>14585</v>
      </c>
      <c r="E5428" t="s">
        <v>14586</v>
      </c>
      <c r="F5428" t="s">
        <v>191</v>
      </c>
      <c r="G5428" t="s">
        <v>14587</v>
      </c>
      <c r="H5428" t="s">
        <v>14588</v>
      </c>
    </row>
    <row r="5429" spans="1:8">
      <c r="A5429" t="s">
        <v>241</v>
      </c>
      <c r="B5429" t="s">
        <v>191</v>
      </c>
      <c r="C5429">
        <v>111</v>
      </c>
      <c r="D5429" t="s">
        <v>14589</v>
      </c>
      <c r="E5429" t="s">
        <v>14590</v>
      </c>
      <c r="F5429" t="s">
        <v>191</v>
      </c>
    </row>
    <row r="5430" spans="1:8">
      <c r="A5430" t="s">
        <v>240</v>
      </c>
      <c r="B5430" t="s">
        <v>19</v>
      </c>
      <c r="C5430">
        <v>112</v>
      </c>
      <c r="D5430" t="s">
        <v>7013</v>
      </c>
      <c r="E5430" t="s">
        <v>7014</v>
      </c>
      <c r="F5430" t="s">
        <v>19</v>
      </c>
      <c r="G5430" t="s">
        <v>7015</v>
      </c>
      <c r="H5430" t="s">
        <v>7016</v>
      </c>
    </row>
    <row r="5431" spans="1:8">
      <c r="A5431" t="s">
        <v>240</v>
      </c>
      <c r="B5431" t="s">
        <v>19</v>
      </c>
      <c r="C5431">
        <v>112</v>
      </c>
      <c r="D5431" t="s">
        <v>5432</v>
      </c>
      <c r="E5431" t="s">
        <v>7017</v>
      </c>
      <c r="F5431" t="s">
        <v>19</v>
      </c>
      <c r="G5431" t="s">
        <v>7018</v>
      </c>
      <c r="H5431" t="s">
        <v>7019</v>
      </c>
    </row>
    <row r="5432" spans="1:8">
      <c r="A5432" t="s">
        <v>240</v>
      </c>
      <c r="B5432" t="s">
        <v>19</v>
      </c>
      <c r="C5432">
        <v>112</v>
      </c>
      <c r="D5432" t="s">
        <v>7020</v>
      </c>
      <c r="E5432" t="s">
        <v>7021</v>
      </c>
      <c r="F5432" t="s">
        <v>19</v>
      </c>
      <c r="G5432" t="s">
        <v>7022</v>
      </c>
      <c r="H5432" t="s">
        <v>7023</v>
      </c>
    </row>
    <row r="5433" spans="1:8">
      <c r="A5433" t="s">
        <v>240</v>
      </c>
      <c r="B5433" t="s">
        <v>19</v>
      </c>
      <c r="C5433">
        <v>112</v>
      </c>
      <c r="D5433" t="s">
        <v>7024</v>
      </c>
      <c r="E5433" t="s">
        <v>2220</v>
      </c>
      <c r="F5433" t="s">
        <v>19</v>
      </c>
      <c r="G5433" t="s">
        <v>7025</v>
      </c>
      <c r="H5433" t="s">
        <v>7026</v>
      </c>
    </row>
    <row r="5434" spans="1:8">
      <c r="A5434" t="s">
        <v>248</v>
      </c>
      <c r="B5434" t="s">
        <v>19</v>
      </c>
      <c r="C5434">
        <v>112</v>
      </c>
      <c r="D5434" t="s">
        <v>7027</v>
      </c>
      <c r="E5434" t="s">
        <v>7028</v>
      </c>
      <c r="F5434" t="s">
        <v>19</v>
      </c>
      <c r="G5434" t="s">
        <v>7022</v>
      </c>
      <c r="H5434" t="s">
        <v>7023</v>
      </c>
    </row>
    <row r="5435" spans="1:8">
      <c r="A5435" t="s">
        <v>240</v>
      </c>
      <c r="B5435" t="s">
        <v>19</v>
      </c>
      <c r="C5435">
        <v>112</v>
      </c>
      <c r="D5435" t="s">
        <v>7029</v>
      </c>
      <c r="E5435" t="s">
        <v>7030</v>
      </c>
      <c r="F5435" t="s">
        <v>19</v>
      </c>
      <c r="G5435" t="s">
        <v>7031</v>
      </c>
      <c r="H5435" t="s">
        <v>7032</v>
      </c>
    </row>
    <row r="5436" spans="1:8">
      <c r="A5436" t="s">
        <v>240</v>
      </c>
      <c r="B5436" t="s">
        <v>19</v>
      </c>
      <c r="C5436">
        <v>112</v>
      </c>
      <c r="D5436" t="s">
        <v>7033</v>
      </c>
      <c r="E5436" t="s">
        <v>7034</v>
      </c>
      <c r="F5436" t="s">
        <v>19</v>
      </c>
      <c r="G5436" t="s">
        <v>7035</v>
      </c>
      <c r="H5436" t="s">
        <v>7036</v>
      </c>
    </row>
    <row r="5437" spans="1:8">
      <c r="A5437" t="s">
        <v>240</v>
      </c>
      <c r="B5437" t="s">
        <v>19</v>
      </c>
      <c r="C5437">
        <v>112</v>
      </c>
      <c r="D5437" t="s">
        <v>7037</v>
      </c>
      <c r="E5437" t="s">
        <v>7030</v>
      </c>
      <c r="F5437" t="s">
        <v>19</v>
      </c>
      <c r="G5437" t="s">
        <v>7031</v>
      </c>
      <c r="H5437" t="s">
        <v>7032</v>
      </c>
    </row>
    <row r="5438" spans="1:8">
      <c r="A5438" t="s">
        <v>240</v>
      </c>
      <c r="B5438" t="s">
        <v>19</v>
      </c>
      <c r="C5438">
        <v>112</v>
      </c>
      <c r="D5438" t="s">
        <v>7038</v>
      </c>
      <c r="E5438" t="s">
        <v>7039</v>
      </c>
      <c r="F5438" t="s">
        <v>19</v>
      </c>
      <c r="G5438" t="s">
        <v>7040</v>
      </c>
      <c r="H5438" t="s">
        <v>7041</v>
      </c>
    </row>
    <row r="5439" spans="1:8">
      <c r="A5439" t="s">
        <v>240</v>
      </c>
      <c r="B5439" t="s">
        <v>19</v>
      </c>
      <c r="C5439">
        <v>112</v>
      </c>
      <c r="D5439" t="s">
        <v>7042</v>
      </c>
      <c r="E5439" t="s">
        <v>7043</v>
      </c>
      <c r="F5439" t="s">
        <v>19</v>
      </c>
      <c r="G5439" t="s">
        <v>7044</v>
      </c>
      <c r="H5439" t="s">
        <v>7045</v>
      </c>
    </row>
    <row r="5440" spans="1:8">
      <c r="A5440" t="s">
        <v>248</v>
      </c>
      <c r="B5440" t="s">
        <v>19</v>
      </c>
      <c r="C5440">
        <v>112</v>
      </c>
      <c r="D5440" t="s">
        <v>6265</v>
      </c>
      <c r="E5440" t="s">
        <v>7046</v>
      </c>
      <c r="F5440" t="s">
        <v>19</v>
      </c>
      <c r="G5440" t="s">
        <v>7047</v>
      </c>
      <c r="H5440" t="s">
        <v>7048</v>
      </c>
    </row>
    <row r="5441" spans="1:8">
      <c r="A5441" t="s">
        <v>240</v>
      </c>
      <c r="B5441" t="s">
        <v>19</v>
      </c>
      <c r="C5441">
        <v>112</v>
      </c>
      <c r="D5441" t="s">
        <v>7049</v>
      </c>
      <c r="E5441" t="s">
        <v>7050</v>
      </c>
      <c r="F5441" t="s">
        <v>19</v>
      </c>
      <c r="G5441" t="s">
        <v>7051</v>
      </c>
      <c r="H5441" t="s">
        <v>7052</v>
      </c>
    </row>
    <row r="5442" spans="1:8">
      <c r="A5442" t="s">
        <v>240</v>
      </c>
      <c r="B5442" t="s">
        <v>19</v>
      </c>
      <c r="C5442">
        <v>112</v>
      </c>
      <c r="D5442" t="s">
        <v>7053</v>
      </c>
      <c r="E5442" t="s">
        <v>7054</v>
      </c>
      <c r="F5442" t="s">
        <v>19</v>
      </c>
      <c r="G5442" t="s">
        <v>7055</v>
      </c>
      <c r="H5442" t="s">
        <v>7056</v>
      </c>
    </row>
    <row r="5443" spans="1:8">
      <c r="A5443" t="s">
        <v>240</v>
      </c>
      <c r="B5443" t="s">
        <v>19</v>
      </c>
      <c r="C5443">
        <v>112</v>
      </c>
      <c r="D5443" t="s">
        <v>7057</v>
      </c>
      <c r="E5443" t="s">
        <v>7058</v>
      </c>
      <c r="F5443" t="s">
        <v>19</v>
      </c>
      <c r="G5443" t="s">
        <v>7059</v>
      </c>
      <c r="H5443" t="s">
        <v>7060</v>
      </c>
    </row>
    <row r="5444" spans="1:8">
      <c r="A5444" t="s">
        <v>240</v>
      </c>
      <c r="B5444" t="s">
        <v>19</v>
      </c>
      <c r="C5444">
        <v>112</v>
      </c>
      <c r="D5444" t="s">
        <v>7061</v>
      </c>
      <c r="E5444" t="s">
        <v>7062</v>
      </c>
      <c r="F5444" t="s">
        <v>19</v>
      </c>
      <c r="G5444" t="s">
        <v>7063</v>
      </c>
      <c r="H5444" t="s">
        <v>7064</v>
      </c>
    </row>
    <row r="5445" spans="1:8">
      <c r="A5445" t="s">
        <v>240</v>
      </c>
      <c r="B5445" t="s">
        <v>19</v>
      </c>
      <c r="C5445">
        <v>112</v>
      </c>
      <c r="D5445" t="s">
        <v>7065</v>
      </c>
      <c r="E5445" t="s">
        <v>7066</v>
      </c>
      <c r="F5445" t="s">
        <v>19</v>
      </c>
      <c r="G5445" t="s">
        <v>7067</v>
      </c>
      <c r="H5445" t="s">
        <v>7068</v>
      </c>
    </row>
    <row r="5446" spans="1:8">
      <c r="A5446" t="s">
        <v>240</v>
      </c>
      <c r="B5446" t="s">
        <v>19</v>
      </c>
      <c r="C5446">
        <v>112</v>
      </c>
      <c r="D5446" t="s">
        <v>7069</v>
      </c>
      <c r="E5446" t="s">
        <v>7070</v>
      </c>
      <c r="F5446" t="s">
        <v>19</v>
      </c>
      <c r="G5446" t="s">
        <v>7071</v>
      </c>
      <c r="H5446" t="s">
        <v>7072</v>
      </c>
    </row>
    <row r="5447" spans="1:8">
      <c r="A5447" t="s">
        <v>240</v>
      </c>
      <c r="B5447" t="s">
        <v>19</v>
      </c>
      <c r="C5447">
        <v>112</v>
      </c>
      <c r="D5447" t="s">
        <v>3797</v>
      </c>
      <c r="E5447" t="s">
        <v>7073</v>
      </c>
      <c r="F5447" t="s">
        <v>19</v>
      </c>
      <c r="G5447" t="s">
        <v>7074</v>
      </c>
      <c r="H5447" t="s">
        <v>7075</v>
      </c>
    </row>
    <row r="5448" spans="1:8">
      <c r="A5448" t="s">
        <v>240</v>
      </c>
      <c r="B5448" t="s">
        <v>19</v>
      </c>
      <c r="C5448">
        <v>112</v>
      </c>
      <c r="D5448" t="s">
        <v>7076</v>
      </c>
      <c r="E5448" t="s">
        <v>7077</v>
      </c>
      <c r="F5448" t="s">
        <v>19</v>
      </c>
      <c r="G5448" t="s">
        <v>7078</v>
      </c>
      <c r="H5448" t="s">
        <v>7079</v>
      </c>
    </row>
    <row r="5449" spans="1:8">
      <c r="A5449" t="s">
        <v>240</v>
      </c>
      <c r="B5449" t="s">
        <v>19</v>
      </c>
      <c r="C5449">
        <v>112</v>
      </c>
      <c r="D5449" t="s">
        <v>5610</v>
      </c>
      <c r="E5449" t="s">
        <v>7080</v>
      </c>
      <c r="F5449" t="s">
        <v>19</v>
      </c>
      <c r="G5449" t="s">
        <v>7081</v>
      </c>
      <c r="H5449" t="s">
        <v>7082</v>
      </c>
    </row>
    <row r="5450" spans="1:8">
      <c r="A5450" t="s">
        <v>240</v>
      </c>
      <c r="B5450" t="s">
        <v>19</v>
      </c>
      <c r="C5450">
        <v>112</v>
      </c>
      <c r="D5450" t="s">
        <v>7083</v>
      </c>
      <c r="E5450" t="s">
        <v>7084</v>
      </c>
      <c r="F5450" t="s">
        <v>19</v>
      </c>
      <c r="G5450" t="s">
        <v>7085</v>
      </c>
      <c r="H5450" t="s">
        <v>7086</v>
      </c>
    </row>
    <row r="5451" spans="1:8">
      <c r="A5451" t="s">
        <v>240</v>
      </c>
      <c r="B5451" t="s">
        <v>19</v>
      </c>
      <c r="C5451">
        <v>112</v>
      </c>
      <c r="D5451" t="s">
        <v>7087</v>
      </c>
      <c r="E5451" t="s">
        <v>7088</v>
      </c>
      <c r="F5451" t="s">
        <v>19</v>
      </c>
      <c r="G5451" t="s">
        <v>7089</v>
      </c>
      <c r="H5451" t="s">
        <v>7090</v>
      </c>
    </row>
    <row r="5452" spans="1:8">
      <c r="A5452" t="s">
        <v>240</v>
      </c>
      <c r="B5452" t="s">
        <v>19</v>
      </c>
      <c r="C5452">
        <v>112</v>
      </c>
      <c r="D5452" t="s">
        <v>7091</v>
      </c>
      <c r="E5452" t="s">
        <v>7092</v>
      </c>
      <c r="F5452" t="s">
        <v>19</v>
      </c>
      <c r="G5452" t="s">
        <v>7093</v>
      </c>
      <c r="H5452" t="s">
        <v>7094</v>
      </c>
    </row>
    <row r="5453" spans="1:8">
      <c r="A5453" t="s">
        <v>240</v>
      </c>
      <c r="B5453" t="s">
        <v>19</v>
      </c>
      <c r="C5453">
        <v>112</v>
      </c>
      <c r="D5453" t="s">
        <v>7095</v>
      </c>
      <c r="E5453" t="s">
        <v>7096</v>
      </c>
      <c r="F5453" t="s">
        <v>19</v>
      </c>
      <c r="G5453" t="s">
        <v>7097</v>
      </c>
    </row>
    <row r="5454" spans="1:8">
      <c r="A5454" t="s">
        <v>240</v>
      </c>
      <c r="B5454" t="s">
        <v>19</v>
      </c>
      <c r="C5454">
        <v>112</v>
      </c>
      <c r="D5454" t="s">
        <v>7098</v>
      </c>
      <c r="E5454" t="s">
        <v>7099</v>
      </c>
      <c r="F5454" t="s">
        <v>19</v>
      </c>
      <c r="G5454" t="s">
        <v>7100</v>
      </c>
      <c r="H5454" t="s">
        <v>7101</v>
      </c>
    </row>
    <row r="5455" spans="1:8">
      <c r="A5455" t="s">
        <v>243</v>
      </c>
      <c r="B5455" t="s">
        <v>19</v>
      </c>
      <c r="C5455">
        <v>112</v>
      </c>
      <c r="D5455" t="s">
        <v>7102</v>
      </c>
      <c r="E5455" t="s">
        <v>7103</v>
      </c>
      <c r="F5455" t="s">
        <v>19</v>
      </c>
      <c r="G5455" t="s">
        <v>7104</v>
      </c>
      <c r="H5455" t="s">
        <v>7105</v>
      </c>
    </row>
    <row r="5456" spans="1:8">
      <c r="A5456" t="s">
        <v>240</v>
      </c>
      <c r="B5456" t="s">
        <v>19</v>
      </c>
      <c r="C5456">
        <v>112</v>
      </c>
      <c r="D5456" t="s">
        <v>7106</v>
      </c>
      <c r="E5456" t="s">
        <v>7107</v>
      </c>
      <c r="F5456" t="s">
        <v>19</v>
      </c>
      <c r="G5456" t="s">
        <v>7108</v>
      </c>
      <c r="H5456" t="s">
        <v>7109</v>
      </c>
    </row>
    <row r="5457" spans="1:8">
      <c r="A5457" t="s">
        <v>240</v>
      </c>
      <c r="B5457" t="s">
        <v>19</v>
      </c>
      <c r="C5457">
        <v>112</v>
      </c>
      <c r="D5457" t="s">
        <v>7110</v>
      </c>
      <c r="E5457" t="s">
        <v>7111</v>
      </c>
      <c r="F5457" t="s">
        <v>19</v>
      </c>
      <c r="G5457" t="s">
        <v>7112</v>
      </c>
      <c r="H5457" t="s">
        <v>7113</v>
      </c>
    </row>
    <row r="5458" spans="1:8">
      <c r="A5458" t="s">
        <v>240</v>
      </c>
      <c r="B5458" t="s">
        <v>19</v>
      </c>
      <c r="C5458">
        <v>112</v>
      </c>
      <c r="D5458" t="s">
        <v>7114</v>
      </c>
      <c r="E5458" t="s">
        <v>7115</v>
      </c>
      <c r="F5458" t="s">
        <v>19</v>
      </c>
      <c r="G5458" t="s">
        <v>7116</v>
      </c>
      <c r="H5458" t="s">
        <v>7117</v>
      </c>
    </row>
    <row r="5459" spans="1:8">
      <c r="A5459" t="s">
        <v>240</v>
      </c>
      <c r="B5459" t="s">
        <v>19</v>
      </c>
      <c r="C5459">
        <v>112</v>
      </c>
      <c r="D5459" t="s">
        <v>7118</v>
      </c>
      <c r="E5459" t="s">
        <v>7119</v>
      </c>
      <c r="F5459" t="s">
        <v>19</v>
      </c>
      <c r="G5459" t="s">
        <v>7120</v>
      </c>
      <c r="H5459" t="s">
        <v>7121</v>
      </c>
    </row>
    <row r="5460" spans="1:8">
      <c r="A5460" t="s">
        <v>240</v>
      </c>
      <c r="B5460" t="s">
        <v>19</v>
      </c>
      <c r="C5460">
        <v>112</v>
      </c>
      <c r="D5460" t="s">
        <v>7122</v>
      </c>
      <c r="E5460" t="s">
        <v>7123</v>
      </c>
      <c r="F5460" t="s">
        <v>19</v>
      </c>
      <c r="G5460" t="s">
        <v>7124</v>
      </c>
      <c r="H5460" t="s">
        <v>7125</v>
      </c>
    </row>
    <row r="5461" spans="1:8">
      <c r="A5461" t="s">
        <v>240</v>
      </c>
      <c r="B5461" t="s">
        <v>19</v>
      </c>
      <c r="C5461">
        <v>112</v>
      </c>
      <c r="D5461" t="s">
        <v>7126</v>
      </c>
      <c r="E5461" t="s">
        <v>7127</v>
      </c>
      <c r="F5461" t="s">
        <v>19</v>
      </c>
      <c r="G5461" t="s">
        <v>7022</v>
      </c>
      <c r="H5461" t="s">
        <v>7023</v>
      </c>
    </row>
    <row r="5462" spans="1:8">
      <c r="A5462" t="s">
        <v>240</v>
      </c>
      <c r="B5462" t="s">
        <v>19</v>
      </c>
      <c r="C5462">
        <v>112</v>
      </c>
      <c r="D5462" t="s">
        <v>7128</v>
      </c>
      <c r="E5462" t="s">
        <v>7129</v>
      </c>
      <c r="F5462" t="s">
        <v>19</v>
      </c>
    </row>
    <row r="5463" spans="1:8">
      <c r="A5463" t="s">
        <v>240</v>
      </c>
      <c r="B5463" t="s">
        <v>19</v>
      </c>
      <c r="C5463">
        <v>112</v>
      </c>
      <c r="D5463" t="s">
        <v>7130</v>
      </c>
      <c r="E5463" t="s">
        <v>7131</v>
      </c>
      <c r="F5463" t="s">
        <v>19</v>
      </c>
      <c r="G5463" t="s">
        <v>7132</v>
      </c>
      <c r="H5463" t="s">
        <v>7133</v>
      </c>
    </row>
    <row r="5464" spans="1:8">
      <c r="A5464" t="s">
        <v>240</v>
      </c>
      <c r="B5464" t="s">
        <v>19</v>
      </c>
      <c r="C5464">
        <v>112</v>
      </c>
      <c r="D5464" t="s">
        <v>7134</v>
      </c>
      <c r="E5464" t="s">
        <v>7135</v>
      </c>
      <c r="F5464" t="s">
        <v>19</v>
      </c>
      <c r="G5464" t="s">
        <v>7112</v>
      </c>
      <c r="H5464" t="s">
        <v>7113</v>
      </c>
    </row>
    <row r="5465" spans="1:8">
      <c r="A5465" t="s">
        <v>240</v>
      </c>
      <c r="B5465" t="s">
        <v>19</v>
      </c>
      <c r="C5465">
        <v>112</v>
      </c>
      <c r="D5465" t="s">
        <v>7136</v>
      </c>
      <c r="E5465" t="s">
        <v>7137</v>
      </c>
      <c r="F5465" t="s">
        <v>19</v>
      </c>
      <c r="G5465" t="s">
        <v>7138</v>
      </c>
      <c r="H5465" t="s">
        <v>7139</v>
      </c>
    </row>
    <row r="5466" spans="1:8">
      <c r="A5466" t="s">
        <v>240</v>
      </c>
      <c r="B5466" t="s">
        <v>19</v>
      </c>
      <c r="C5466">
        <v>112</v>
      </c>
      <c r="D5466" t="s">
        <v>7140</v>
      </c>
      <c r="E5466" t="s">
        <v>7141</v>
      </c>
      <c r="F5466" t="s">
        <v>19</v>
      </c>
      <c r="G5466" t="s">
        <v>7142</v>
      </c>
      <c r="H5466" t="s">
        <v>7143</v>
      </c>
    </row>
    <row r="5467" spans="1:8">
      <c r="A5467" t="s">
        <v>240</v>
      </c>
      <c r="B5467" t="s">
        <v>19</v>
      </c>
      <c r="C5467">
        <v>112</v>
      </c>
      <c r="D5467" t="s">
        <v>7144</v>
      </c>
      <c r="E5467" t="s">
        <v>7145</v>
      </c>
      <c r="F5467" t="s">
        <v>19</v>
      </c>
      <c r="G5467" t="s">
        <v>7146</v>
      </c>
      <c r="H5467" t="s">
        <v>7147</v>
      </c>
    </row>
    <row r="5468" spans="1:8">
      <c r="A5468" t="s">
        <v>240</v>
      </c>
      <c r="B5468" t="s">
        <v>19</v>
      </c>
      <c r="C5468">
        <v>112</v>
      </c>
      <c r="D5468" t="s">
        <v>7148</v>
      </c>
      <c r="E5468" t="s">
        <v>7149</v>
      </c>
      <c r="F5468" t="s">
        <v>19</v>
      </c>
      <c r="G5468" t="s">
        <v>7150</v>
      </c>
      <c r="H5468" t="s">
        <v>7151</v>
      </c>
    </row>
    <row r="5469" spans="1:8">
      <c r="A5469" t="s">
        <v>240</v>
      </c>
      <c r="B5469" t="s">
        <v>19</v>
      </c>
      <c r="C5469">
        <v>112</v>
      </c>
      <c r="D5469" t="s">
        <v>7152</v>
      </c>
      <c r="E5469" t="s">
        <v>7153</v>
      </c>
      <c r="F5469" t="s">
        <v>19</v>
      </c>
      <c r="G5469" t="s">
        <v>7154</v>
      </c>
    </row>
    <row r="5470" spans="1:8">
      <c r="A5470" t="s">
        <v>240</v>
      </c>
      <c r="B5470" t="s">
        <v>19</v>
      </c>
      <c r="C5470">
        <v>112</v>
      </c>
      <c r="D5470" t="s">
        <v>7155</v>
      </c>
      <c r="E5470" t="s">
        <v>7156</v>
      </c>
      <c r="F5470" t="s">
        <v>19</v>
      </c>
      <c r="G5470" t="s">
        <v>7157</v>
      </c>
      <c r="H5470" t="s">
        <v>7158</v>
      </c>
    </row>
    <row r="5471" spans="1:8">
      <c r="A5471" t="s">
        <v>240</v>
      </c>
      <c r="B5471" t="s">
        <v>19</v>
      </c>
      <c r="C5471">
        <v>112</v>
      </c>
      <c r="D5471" t="s">
        <v>7159</v>
      </c>
      <c r="E5471" t="s">
        <v>7160</v>
      </c>
      <c r="F5471" t="s">
        <v>19</v>
      </c>
      <c r="G5471" t="s">
        <v>7161</v>
      </c>
      <c r="H5471" t="s">
        <v>7162</v>
      </c>
    </row>
    <row r="5472" spans="1:8">
      <c r="A5472" t="s">
        <v>243</v>
      </c>
      <c r="B5472" t="s">
        <v>19</v>
      </c>
      <c r="C5472">
        <v>112</v>
      </c>
      <c r="D5472" t="s">
        <v>7163</v>
      </c>
      <c r="E5472" t="s">
        <v>7164</v>
      </c>
      <c r="F5472" t="s">
        <v>19</v>
      </c>
      <c r="H5472" t="s">
        <v>7165</v>
      </c>
    </row>
    <row r="5473" spans="1:8">
      <c r="A5473" t="s">
        <v>248</v>
      </c>
      <c r="B5473" t="s">
        <v>19</v>
      </c>
      <c r="C5473">
        <v>112</v>
      </c>
      <c r="D5473" t="s">
        <v>7166</v>
      </c>
      <c r="E5473" t="s">
        <v>7167</v>
      </c>
      <c r="F5473" t="s">
        <v>19</v>
      </c>
      <c r="H5473" t="s">
        <v>7168</v>
      </c>
    </row>
    <row r="5474" spans="1:8">
      <c r="A5474" t="s">
        <v>240</v>
      </c>
      <c r="B5474" t="s">
        <v>19</v>
      </c>
      <c r="C5474">
        <v>112</v>
      </c>
      <c r="D5474" t="s">
        <v>7169</v>
      </c>
      <c r="E5474" t="s">
        <v>7170</v>
      </c>
      <c r="F5474" t="s">
        <v>19</v>
      </c>
      <c r="G5474" t="s">
        <v>7171</v>
      </c>
      <c r="H5474" t="s">
        <v>7172</v>
      </c>
    </row>
    <row r="5475" spans="1:8">
      <c r="A5475" t="s">
        <v>240</v>
      </c>
      <c r="B5475" t="s">
        <v>19</v>
      </c>
      <c r="C5475">
        <v>112</v>
      </c>
      <c r="D5475" t="s">
        <v>7173</v>
      </c>
      <c r="E5475" t="s">
        <v>7174</v>
      </c>
      <c r="F5475" t="s">
        <v>19</v>
      </c>
      <c r="G5475" t="s">
        <v>7175</v>
      </c>
      <c r="H5475" t="s">
        <v>7176</v>
      </c>
    </row>
    <row r="5476" spans="1:8">
      <c r="A5476" t="s">
        <v>240</v>
      </c>
      <c r="B5476" t="s">
        <v>19</v>
      </c>
      <c r="C5476">
        <v>112</v>
      </c>
      <c r="D5476" t="s">
        <v>7177</v>
      </c>
      <c r="E5476" t="s">
        <v>7178</v>
      </c>
      <c r="F5476" t="s">
        <v>19</v>
      </c>
      <c r="G5476" t="s">
        <v>7179</v>
      </c>
      <c r="H5476" t="s">
        <v>7180</v>
      </c>
    </row>
    <row r="5477" spans="1:8">
      <c r="A5477" t="s">
        <v>240</v>
      </c>
      <c r="B5477" t="s">
        <v>19</v>
      </c>
      <c r="C5477">
        <v>112</v>
      </c>
      <c r="D5477" t="s">
        <v>7181</v>
      </c>
      <c r="E5477" t="s">
        <v>7182</v>
      </c>
      <c r="F5477" t="s">
        <v>19</v>
      </c>
      <c r="G5477" t="s">
        <v>7108</v>
      </c>
      <c r="H5477" t="s">
        <v>7109</v>
      </c>
    </row>
    <row r="5478" spans="1:8">
      <c r="A5478" t="s">
        <v>240</v>
      </c>
      <c r="B5478" t="s">
        <v>19</v>
      </c>
      <c r="C5478">
        <v>112</v>
      </c>
      <c r="D5478" t="s">
        <v>7183</v>
      </c>
      <c r="E5478" t="s">
        <v>7184</v>
      </c>
      <c r="F5478" t="s">
        <v>19</v>
      </c>
      <c r="G5478" t="s">
        <v>7185</v>
      </c>
      <c r="H5478" t="s">
        <v>7186</v>
      </c>
    </row>
    <row r="5479" spans="1:8">
      <c r="A5479" t="s">
        <v>240</v>
      </c>
      <c r="B5479" t="s">
        <v>19</v>
      </c>
      <c r="C5479">
        <v>112</v>
      </c>
      <c r="D5479" t="s">
        <v>7187</v>
      </c>
      <c r="E5479" t="s">
        <v>7188</v>
      </c>
      <c r="F5479" t="s">
        <v>19</v>
      </c>
      <c r="G5479" t="s">
        <v>7189</v>
      </c>
      <c r="H5479" t="s">
        <v>7190</v>
      </c>
    </row>
    <row r="5480" spans="1:8">
      <c r="A5480" t="s">
        <v>240</v>
      </c>
      <c r="B5480" t="s">
        <v>19</v>
      </c>
      <c r="C5480">
        <v>112</v>
      </c>
      <c r="D5480" t="s">
        <v>7191</v>
      </c>
      <c r="E5480" t="s">
        <v>7192</v>
      </c>
      <c r="F5480" t="s">
        <v>19</v>
      </c>
      <c r="G5480" t="s">
        <v>7193</v>
      </c>
      <c r="H5480" t="s">
        <v>7194</v>
      </c>
    </row>
    <row r="5481" spans="1:8">
      <c r="A5481" t="s">
        <v>240</v>
      </c>
      <c r="B5481" t="s">
        <v>19</v>
      </c>
      <c r="C5481">
        <v>112</v>
      </c>
      <c r="D5481" t="s">
        <v>5440</v>
      </c>
      <c r="E5481" t="s">
        <v>7195</v>
      </c>
      <c r="F5481" t="s">
        <v>19</v>
      </c>
      <c r="G5481" t="s">
        <v>7196</v>
      </c>
    </row>
    <row r="5482" spans="1:8">
      <c r="A5482" t="s">
        <v>240</v>
      </c>
      <c r="B5482" t="s">
        <v>19</v>
      </c>
      <c r="C5482">
        <v>112</v>
      </c>
      <c r="D5482" t="s">
        <v>7197</v>
      </c>
      <c r="E5482" t="s">
        <v>7198</v>
      </c>
      <c r="F5482" t="s">
        <v>19</v>
      </c>
      <c r="G5482" t="s">
        <v>7199</v>
      </c>
      <c r="H5482" t="s">
        <v>7200</v>
      </c>
    </row>
    <row r="5483" spans="1:8">
      <c r="A5483" t="s">
        <v>240</v>
      </c>
      <c r="B5483" t="s">
        <v>19</v>
      </c>
      <c r="C5483">
        <v>112</v>
      </c>
      <c r="D5483" t="s">
        <v>7201</v>
      </c>
      <c r="E5483" t="s">
        <v>7202</v>
      </c>
      <c r="F5483" t="s">
        <v>19</v>
      </c>
      <c r="G5483" t="s">
        <v>7203</v>
      </c>
      <c r="H5483" t="s">
        <v>7204</v>
      </c>
    </row>
    <row r="5484" spans="1:8">
      <c r="A5484" t="s">
        <v>240</v>
      </c>
      <c r="B5484" t="s">
        <v>19</v>
      </c>
      <c r="C5484">
        <v>112</v>
      </c>
      <c r="D5484" t="s">
        <v>7205</v>
      </c>
      <c r="E5484" t="s">
        <v>7206</v>
      </c>
      <c r="F5484" t="s">
        <v>19</v>
      </c>
      <c r="G5484" t="s">
        <v>7207</v>
      </c>
      <c r="H5484" t="s">
        <v>7208</v>
      </c>
    </row>
    <row r="5485" spans="1:8">
      <c r="A5485" t="s">
        <v>240</v>
      </c>
      <c r="B5485" t="s">
        <v>19</v>
      </c>
      <c r="C5485">
        <v>112</v>
      </c>
      <c r="D5485" t="s">
        <v>7209</v>
      </c>
      <c r="E5485" t="s">
        <v>7210</v>
      </c>
      <c r="F5485" t="s">
        <v>19</v>
      </c>
      <c r="G5485" t="s">
        <v>7211</v>
      </c>
      <c r="H5485" t="s">
        <v>7212</v>
      </c>
    </row>
    <row r="5486" spans="1:8">
      <c r="A5486" t="s">
        <v>240</v>
      </c>
      <c r="B5486" t="s">
        <v>19</v>
      </c>
      <c r="C5486">
        <v>112</v>
      </c>
      <c r="D5486" t="s">
        <v>7213</v>
      </c>
      <c r="E5486" t="s">
        <v>7214</v>
      </c>
      <c r="F5486" t="s">
        <v>19</v>
      </c>
      <c r="G5486" t="s">
        <v>7215</v>
      </c>
      <c r="H5486" t="s">
        <v>7216</v>
      </c>
    </row>
    <row r="5487" spans="1:8">
      <c r="A5487" t="s">
        <v>240</v>
      </c>
      <c r="B5487" t="s">
        <v>19</v>
      </c>
      <c r="C5487">
        <v>112</v>
      </c>
      <c r="D5487" t="s">
        <v>7217</v>
      </c>
      <c r="E5487" t="s">
        <v>7218</v>
      </c>
      <c r="F5487" t="s">
        <v>19</v>
      </c>
      <c r="G5487" t="s">
        <v>7219</v>
      </c>
      <c r="H5487" t="s">
        <v>7220</v>
      </c>
    </row>
    <row r="5488" spans="1:8">
      <c r="A5488" t="s">
        <v>240</v>
      </c>
      <c r="B5488" t="s">
        <v>19</v>
      </c>
      <c r="C5488">
        <v>112</v>
      </c>
      <c r="D5488" t="s">
        <v>7221</v>
      </c>
      <c r="E5488" t="s">
        <v>7222</v>
      </c>
      <c r="F5488" t="s">
        <v>19</v>
      </c>
      <c r="G5488" t="s">
        <v>7223</v>
      </c>
      <c r="H5488" t="s">
        <v>7224</v>
      </c>
    </row>
    <row r="5489" spans="1:8">
      <c r="A5489" t="s">
        <v>248</v>
      </c>
      <c r="B5489" t="s">
        <v>19</v>
      </c>
      <c r="C5489">
        <v>112</v>
      </c>
      <c r="D5489" t="s">
        <v>7225</v>
      </c>
      <c r="E5489" t="s">
        <v>7226</v>
      </c>
      <c r="F5489" t="s">
        <v>19</v>
      </c>
      <c r="G5489" t="s">
        <v>7227</v>
      </c>
      <c r="H5489" t="s">
        <v>7228</v>
      </c>
    </row>
    <row r="5490" spans="1:8">
      <c r="A5490" t="s">
        <v>240</v>
      </c>
      <c r="B5490" t="s">
        <v>19</v>
      </c>
      <c r="C5490">
        <v>112</v>
      </c>
      <c r="D5490" t="s">
        <v>7229</v>
      </c>
      <c r="E5490" t="s">
        <v>7230</v>
      </c>
      <c r="F5490" t="s">
        <v>19</v>
      </c>
      <c r="G5490" t="s">
        <v>7227</v>
      </c>
      <c r="H5490" t="s">
        <v>7228</v>
      </c>
    </row>
    <row r="5491" spans="1:8">
      <c r="A5491" t="s">
        <v>240</v>
      </c>
      <c r="B5491" t="s">
        <v>19</v>
      </c>
      <c r="C5491">
        <v>112</v>
      </c>
      <c r="D5491" t="s">
        <v>3934</v>
      </c>
      <c r="E5491" t="s">
        <v>7231</v>
      </c>
      <c r="F5491" t="s">
        <v>19</v>
      </c>
      <c r="G5491" t="s">
        <v>7232</v>
      </c>
      <c r="H5491" t="s">
        <v>7233</v>
      </c>
    </row>
    <row r="5492" spans="1:8">
      <c r="A5492" t="s">
        <v>240</v>
      </c>
      <c r="B5492" t="s">
        <v>19</v>
      </c>
      <c r="C5492">
        <v>112</v>
      </c>
      <c r="D5492" t="s">
        <v>7234</v>
      </c>
      <c r="E5492" t="s">
        <v>7235</v>
      </c>
      <c r="F5492" t="s">
        <v>19</v>
      </c>
      <c r="G5492" t="s">
        <v>7236</v>
      </c>
      <c r="H5492" t="s">
        <v>7237</v>
      </c>
    </row>
    <row r="5493" spans="1:8">
      <c r="A5493" t="s">
        <v>240</v>
      </c>
      <c r="B5493" t="s">
        <v>19</v>
      </c>
      <c r="C5493">
        <v>112</v>
      </c>
      <c r="D5493" t="s">
        <v>7238</v>
      </c>
      <c r="E5493" t="s">
        <v>7239</v>
      </c>
      <c r="F5493" t="s">
        <v>19</v>
      </c>
      <c r="G5493" t="s">
        <v>7022</v>
      </c>
      <c r="H5493" t="s">
        <v>7023</v>
      </c>
    </row>
    <row r="5494" spans="1:8">
      <c r="A5494" t="s">
        <v>240</v>
      </c>
      <c r="B5494" t="s">
        <v>19</v>
      </c>
      <c r="C5494">
        <v>112</v>
      </c>
      <c r="D5494" t="s">
        <v>7240</v>
      </c>
      <c r="E5494" t="s">
        <v>7241</v>
      </c>
      <c r="F5494" t="s">
        <v>19</v>
      </c>
    </row>
    <row r="5495" spans="1:8">
      <c r="A5495" t="s">
        <v>250</v>
      </c>
      <c r="B5495" t="s">
        <v>19</v>
      </c>
      <c r="C5495">
        <v>112</v>
      </c>
      <c r="D5495" t="s">
        <v>7242</v>
      </c>
      <c r="F5495" t="s">
        <v>19</v>
      </c>
      <c r="H5495" t="s">
        <v>7243</v>
      </c>
    </row>
    <row r="5496" spans="1:8">
      <c r="A5496" t="s">
        <v>248</v>
      </c>
      <c r="B5496" t="s">
        <v>19</v>
      </c>
      <c r="C5496">
        <v>112</v>
      </c>
      <c r="D5496" t="s">
        <v>7244</v>
      </c>
      <c r="E5496" t="s">
        <v>7245</v>
      </c>
      <c r="F5496" t="s">
        <v>19</v>
      </c>
      <c r="G5496" t="s">
        <v>7246</v>
      </c>
      <c r="H5496" t="s">
        <v>7247</v>
      </c>
    </row>
    <row r="5497" spans="1:8">
      <c r="A5497" t="s">
        <v>239</v>
      </c>
      <c r="B5497" t="s">
        <v>19</v>
      </c>
      <c r="C5497">
        <v>112</v>
      </c>
      <c r="D5497" t="s">
        <v>7248</v>
      </c>
      <c r="E5497" t="s">
        <v>7249</v>
      </c>
      <c r="H5497" t="s">
        <v>7250</v>
      </c>
    </row>
    <row r="5498" spans="1:8">
      <c r="A5498" t="s">
        <v>240</v>
      </c>
      <c r="B5498" t="s">
        <v>19</v>
      </c>
      <c r="C5498">
        <v>112</v>
      </c>
      <c r="D5498" t="s">
        <v>7251</v>
      </c>
      <c r="E5498" t="s">
        <v>7252</v>
      </c>
      <c r="F5498" t="s">
        <v>19</v>
      </c>
      <c r="G5498" t="s">
        <v>7253</v>
      </c>
      <c r="H5498" t="s">
        <v>7254</v>
      </c>
    </row>
    <row r="5499" spans="1:8">
      <c r="A5499" t="s">
        <v>240</v>
      </c>
      <c r="B5499" t="s">
        <v>19</v>
      </c>
      <c r="C5499">
        <v>112</v>
      </c>
      <c r="D5499" t="s">
        <v>7255</v>
      </c>
      <c r="E5499" t="s">
        <v>7256</v>
      </c>
      <c r="F5499" t="s">
        <v>19</v>
      </c>
      <c r="G5499" t="s">
        <v>7257</v>
      </c>
      <c r="H5499" t="s">
        <v>7258</v>
      </c>
    </row>
    <row r="5500" spans="1:8">
      <c r="A5500" t="s">
        <v>240</v>
      </c>
      <c r="B5500" t="s">
        <v>19</v>
      </c>
      <c r="C5500">
        <v>112</v>
      </c>
      <c r="D5500" t="s">
        <v>885</v>
      </c>
      <c r="E5500" t="s">
        <v>7259</v>
      </c>
      <c r="F5500" t="s">
        <v>19</v>
      </c>
      <c r="G5500" t="s">
        <v>7260</v>
      </c>
      <c r="H5500" t="s">
        <v>7261</v>
      </c>
    </row>
    <row r="5501" spans="1:8">
      <c r="A5501" t="s">
        <v>241</v>
      </c>
      <c r="B5501" t="s">
        <v>19</v>
      </c>
      <c r="C5501">
        <v>112</v>
      </c>
      <c r="D5501" t="s">
        <v>7262</v>
      </c>
      <c r="E5501" t="s">
        <v>7263</v>
      </c>
      <c r="F5501" t="s">
        <v>19</v>
      </c>
      <c r="H5501" t="s">
        <v>7264</v>
      </c>
    </row>
    <row r="5502" spans="1:8">
      <c r="A5502" t="s">
        <v>243</v>
      </c>
      <c r="B5502" t="s">
        <v>19</v>
      </c>
      <c r="C5502">
        <v>112</v>
      </c>
      <c r="D5502" t="s">
        <v>7265</v>
      </c>
      <c r="E5502" t="s">
        <v>7266</v>
      </c>
      <c r="F5502" t="s">
        <v>19</v>
      </c>
      <c r="G5502" t="s">
        <v>7267</v>
      </c>
      <c r="H5502" t="s">
        <v>7268</v>
      </c>
    </row>
    <row r="5503" spans="1:8">
      <c r="A5503" t="s">
        <v>248</v>
      </c>
      <c r="B5503" t="s">
        <v>19</v>
      </c>
      <c r="C5503">
        <v>112</v>
      </c>
      <c r="D5503" t="s">
        <v>7269</v>
      </c>
      <c r="E5503" t="s">
        <v>7270</v>
      </c>
      <c r="F5503" t="s">
        <v>19</v>
      </c>
      <c r="G5503" t="s">
        <v>7271</v>
      </c>
      <c r="H5503" t="s">
        <v>7272</v>
      </c>
    </row>
    <row r="5504" spans="1:8">
      <c r="A5504" t="s">
        <v>240</v>
      </c>
      <c r="B5504" t="s">
        <v>19</v>
      </c>
      <c r="C5504">
        <v>112</v>
      </c>
      <c r="D5504" t="s">
        <v>5456</v>
      </c>
      <c r="E5504" t="s">
        <v>7273</v>
      </c>
      <c r="G5504" t="s">
        <v>7274</v>
      </c>
      <c r="H5504" t="s">
        <v>7275</v>
      </c>
    </row>
    <row r="5505" spans="1:8">
      <c r="A5505" t="s">
        <v>249</v>
      </c>
      <c r="B5505" t="s">
        <v>19</v>
      </c>
      <c r="C5505">
        <v>112</v>
      </c>
      <c r="D5505" t="s">
        <v>7276</v>
      </c>
      <c r="F5505" t="s">
        <v>19</v>
      </c>
      <c r="H5505" t="s">
        <v>7277</v>
      </c>
    </row>
    <row r="5506" spans="1:8">
      <c r="A5506" t="s">
        <v>239</v>
      </c>
      <c r="B5506" t="s">
        <v>19</v>
      </c>
      <c r="C5506">
        <v>112</v>
      </c>
      <c r="D5506" t="s">
        <v>7278</v>
      </c>
      <c r="E5506" t="s">
        <v>7279</v>
      </c>
    </row>
    <row r="5507" spans="1:8">
      <c r="A5507" t="s">
        <v>239</v>
      </c>
      <c r="B5507" t="s">
        <v>19</v>
      </c>
      <c r="C5507">
        <v>112</v>
      </c>
      <c r="D5507" t="s">
        <v>7280</v>
      </c>
      <c r="E5507" t="s">
        <v>7281</v>
      </c>
      <c r="F5507" t="s">
        <v>19</v>
      </c>
    </row>
    <row r="5508" spans="1:8">
      <c r="A5508" t="s">
        <v>239</v>
      </c>
      <c r="B5508" t="s">
        <v>19</v>
      </c>
      <c r="C5508">
        <v>112</v>
      </c>
      <c r="D5508" t="s">
        <v>7282</v>
      </c>
      <c r="E5508" t="s">
        <v>7283</v>
      </c>
    </row>
    <row r="5509" spans="1:8">
      <c r="A5509" t="s">
        <v>239</v>
      </c>
      <c r="B5509" t="s">
        <v>19</v>
      </c>
      <c r="C5509">
        <v>112</v>
      </c>
      <c r="D5509" t="s">
        <v>7284</v>
      </c>
      <c r="E5509" t="s">
        <v>7285</v>
      </c>
    </row>
    <row r="5510" spans="1:8">
      <c r="A5510" t="s">
        <v>239</v>
      </c>
      <c r="B5510" t="s">
        <v>19</v>
      </c>
      <c r="C5510">
        <v>112</v>
      </c>
      <c r="D5510" t="s">
        <v>7286</v>
      </c>
      <c r="E5510" t="s">
        <v>7287</v>
      </c>
    </row>
    <row r="5511" spans="1:8">
      <c r="A5511" t="s">
        <v>239</v>
      </c>
      <c r="B5511" t="s">
        <v>19</v>
      </c>
      <c r="C5511">
        <v>112</v>
      </c>
      <c r="D5511" t="s">
        <v>7288</v>
      </c>
      <c r="E5511" t="s">
        <v>7289</v>
      </c>
    </row>
    <row r="5512" spans="1:8">
      <c r="A5512" t="s">
        <v>240</v>
      </c>
      <c r="B5512" t="s">
        <v>19</v>
      </c>
      <c r="C5512">
        <v>112</v>
      </c>
      <c r="D5512" t="s">
        <v>7290</v>
      </c>
      <c r="E5512" t="s">
        <v>7291</v>
      </c>
      <c r="F5512" t="s">
        <v>19</v>
      </c>
      <c r="G5512" t="s">
        <v>7292</v>
      </c>
      <c r="H5512" t="s">
        <v>7293</v>
      </c>
    </row>
    <row r="5513" spans="1:8">
      <c r="A5513" t="s">
        <v>239</v>
      </c>
      <c r="B5513" t="s">
        <v>19</v>
      </c>
      <c r="C5513">
        <v>112</v>
      </c>
      <c r="D5513" t="s">
        <v>7294</v>
      </c>
      <c r="E5513" t="s">
        <v>7295</v>
      </c>
    </row>
    <row r="5514" spans="1:8">
      <c r="A5514" t="s">
        <v>240</v>
      </c>
      <c r="B5514" t="s">
        <v>19</v>
      </c>
      <c r="C5514">
        <v>112</v>
      </c>
      <c r="D5514" t="s">
        <v>7296</v>
      </c>
      <c r="E5514" t="s">
        <v>7297</v>
      </c>
      <c r="F5514" t="s">
        <v>19</v>
      </c>
      <c r="G5514" t="s">
        <v>7292</v>
      </c>
      <c r="H5514" t="s">
        <v>7293</v>
      </c>
    </row>
    <row r="5515" spans="1:8">
      <c r="A5515" t="s">
        <v>243</v>
      </c>
      <c r="B5515" t="s">
        <v>19</v>
      </c>
      <c r="C5515">
        <v>112</v>
      </c>
      <c r="D5515" t="s">
        <v>7298</v>
      </c>
      <c r="E5515" t="s">
        <v>7299</v>
      </c>
      <c r="G5515" t="s">
        <v>7300</v>
      </c>
      <c r="H5515" t="s">
        <v>7301</v>
      </c>
    </row>
    <row r="5516" spans="1:8">
      <c r="A5516" t="s">
        <v>239</v>
      </c>
      <c r="B5516" t="s">
        <v>19</v>
      </c>
      <c r="C5516">
        <v>112</v>
      </c>
      <c r="D5516" t="s">
        <v>7302</v>
      </c>
      <c r="E5516" t="s">
        <v>7303</v>
      </c>
    </row>
    <row r="5517" spans="1:8">
      <c r="A5517" t="s">
        <v>239</v>
      </c>
      <c r="B5517" t="s">
        <v>19</v>
      </c>
      <c r="C5517">
        <v>112</v>
      </c>
      <c r="D5517" t="s">
        <v>7304</v>
      </c>
      <c r="E5517" t="s">
        <v>7305</v>
      </c>
    </row>
    <row r="5518" spans="1:8">
      <c r="A5518" t="s">
        <v>239</v>
      </c>
      <c r="B5518" t="s">
        <v>19</v>
      </c>
      <c r="C5518">
        <v>112</v>
      </c>
      <c r="D5518" t="s">
        <v>7306</v>
      </c>
      <c r="E5518" t="s">
        <v>7307</v>
      </c>
    </row>
    <row r="5519" spans="1:8">
      <c r="A5519" t="s">
        <v>239</v>
      </c>
      <c r="B5519" t="s">
        <v>19</v>
      </c>
      <c r="C5519">
        <v>112</v>
      </c>
      <c r="D5519" t="s">
        <v>7308</v>
      </c>
      <c r="E5519" t="s">
        <v>7309</v>
      </c>
    </row>
    <row r="5520" spans="1:8">
      <c r="A5520" t="s">
        <v>239</v>
      </c>
      <c r="B5520" t="s">
        <v>19</v>
      </c>
      <c r="C5520">
        <v>112</v>
      </c>
      <c r="D5520" t="s">
        <v>7310</v>
      </c>
      <c r="E5520" t="s">
        <v>7311</v>
      </c>
    </row>
    <row r="5521" spans="1:8">
      <c r="A5521" t="s">
        <v>239</v>
      </c>
      <c r="B5521" t="s">
        <v>19</v>
      </c>
      <c r="C5521">
        <v>112</v>
      </c>
      <c r="D5521" t="s">
        <v>7312</v>
      </c>
      <c r="E5521" t="s">
        <v>7313</v>
      </c>
    </row>
    <row r="5522" spans="1:8">
      <c r="A5522" t="s">
        <v>239</v>
      </c>
      <c r="B5522" t="s">
        <v>19</v>
      </c>
      <c r="C5522">
        <v>112</v>
      </c>
      <c r="D5522" t="s">
        <v>7314</v>
      </c>
      <c r="E5522" t="s">
        <v>7315</v>
      </c>
    </row>
    <row r="5523" spans="1:8">
      <c r="A5523" t="s">
        <v>239</v>
      </c>
      <c r="B5523" t="s">
        <v>19</v>
      </c>
      <c r="C5523">
        <v>112</v>
      </c>
      <c r="D5523" t="s">
        <v>7316</v>
      </c>
      <c r="E5523" t="s">
        <v>7289</v>
      </c>
    </row>
    <row r="5524" spans="1:8">
      <c r="A5524" t="s">
        <v>239</v>
      </c>
      <c r="B5524" t="s">
        <v>19</v>
      </c>
      <c r="C5524">
        <v>112</v>
      </c>
      <c r="D5524" t="s">
        <v>7317</v>
      </c>
      <c r="E5524" t="s">
        <v>7289</v>
      </c>
    </row>
    <row r="5525" spans="1:8">
      <c r="A5525" t="s">
        <v>239</v>
      </c>
      <c r="B5525" t="s">
        <v>19</v>
      </c>
      <c r="C5525">
        <v>112</v>
      </c>
      <c r="D5525" t="s">
        <v>7318</v>
      </c>
      <c r="E5525" t="s">
        <v>7319</v>
      </c>
    </row>
    <row r="5526" spans="1:8">
      <c r="A5526" t="s">
        <v>239</v>
      </c>
      <c r="B5526" t="s">
        <v>19</v>
      </c>
      <c r="C5526">
        <v>112</v>
      </c>
      <c r="D5526" t="s">
        <v>7320</v>
      </c>
      <c r="E5526" t="s">
        <v>7321</v>
      </c>
    </row>
    <row r="5527" spans="1:8">
      <c r="A5527" t="s">
        <v>239</v>
      </c>
      <c r="B5527" t="s">
        <v>19</v>
      </c>
      <c r="C5527">
        <v>112</v>
      </c>
      <c r="D5527" t="s">
        <v>7322</v>
      </c>
      <c r="E5527" t="s">
        <v>7323</v>
      </c>
    </row>
    <row r="5528" spans="1:8">
      <c r="A5528" t="s">
        <v>239</v>
      </c>
      <c r="B5528" t="s">
        <v>19</v>
      </c>
      <c r="C5528">
        <v>112</v>
      </c>
      <c r="D5528" t="s">
        <v>7324</v>
      </c>
      <c r="E5528" t="s">
        <v>7325</v>
      </c>
    </row>
    <row r="5529" spans="1:8">
      <c r="A5529" t="s">
        <v>239</v>
      </c>
      <c r="B5529" t="s">
        <v>19</v>
      </c>
      <c r="C5529">
        <v>112</v>
      </c>
      <c r="D5529" t="s">
        <v>7326</v>
      </c>
      <c r="E5529" t="s">
        <v>7307</v>
      </c>
    </row>
    <row r="5530" spans="1:8">
      <c r="A5530" t="s">
        <v>240</v>
      </c>
      <c r="B5530" t="s">
        <v>19</v>
      </c>
      <c r="C5530">
        <v>112</v>
      </c>
      <c r="D5530" t="s">
        <v>7327</v>
      </c>
      <c r="E5530" t="s">
        <v>7328</v>
      </c>
      <c r="G5530" t="s">
        <v>7329</v>
      </c>
      <c r="H5530" t="s">
        <v>7330</v>
      </c>
    </row>
    <row r="5531" spans="1:8">
      <c r="A5531" t="s">
        <v>240</v>
      </c>
      <c r="B5531" t="s">
        <v>19</v>
      </c>
      <c r="C5531">
        <v>112</v>
      </c>
      <c r="D5531" t="s">
        <v>7331</v>
      </c>
      <c r="E5531" t="s">
        <v>7332</v>
      </c>
      <c r="G5531" t="s">
        <v>7333</v>
      </c>
      <c r="H5531" t="s">
        <v>7334</v>
      </c>
    </row>
    <row r="5532" spans="1:8">
      <c r="A5532" t="s">
        <v>239</v>
      </c>
      <c r="B5532" t="s">
        <v>19</v>
      </c>
      <c r="C5532">
        <v>112</v>
      </c>
      <c r="D5532" t="s">
        <v>7335</v>
      </c>
      <c r="E5532" t="s">
        <v>7336</v>
      </c>
    </row>
    <row r="5533" spans="1:8">
      <c r="A5533" t="s">
        <v>239</v>
      </c>
      <c r="B5533" t="s">
        <v>19</v>
      </c>
      <c r="C5533">
        <v>112</v>
      </c>
      <c r="D5533" t="s">
        <v>7337</v>
      </c>
      <c r="E5533" t="s">
        <v>7338</v>
      </c>
    </row>
    <row r="5534" spans="1:8">
      <c r="A5534" t="s">
        <v>240</v>
      </c>
      <c r="B5534" t="s">
        <v>19</v>
      </c>
      <c r="C5534">
        <v>112</v>
      </c>
      <c r="D5534" t="s">
        <v>7339</v>
      </c>
      <c r="E5534" t="s">
        <v>7340</v>
      </c>
      <c r="F5534" t="s">
        <v>19</v>
      </c>
      <c r="G5534" t="s">
        <v>7341</v>
      </c>
      <c r="H5534" t="s">
        <v>7342</v>
      </c>
    </row>
    <row r="5535" spans="1:8">
      <c r="A5535" t="s">
        <v>239</v>
      </c>
      <c r="B5535" t="s">
        <v>19</v>
      </c>
      <c r="C5535">
        <v>112</v>
      </c>
      <c r="D5535" t="s">
        <v>7343</v>
      </c>
      <c r="E5535" t="s">
        <v>7289</v>
      </c>
    </row>
    <row r="5536" spans="1:8">
      <c r="A5536" t="s">
        <v>248</v>
      </c>
      <c r="B5536" t="s">
        <v>19</v>
      </c>
      <c r="C5536">
        <v>112</v>
      </c>
      <c r="D5536" t="s">
        <v>7344</v>
      </c>
      <c r="E5536" t="s">
        <v>7345</v>
      </c>
      <c r="G5536" t="s">
        <v>7346</v>
      </c>
      <c r="H5536" t="s">
        <v>7347</v>
      </c>
    </row>
    <row r="5537" spans="1:8">
      <c r="A5537" t="s">
        <v>240</v>
      </c>
      <c r="B5537" t="s">
        <v>19</v>
      </c>
      <c r="C5537">
        <v>112</v>
      </c>
      <c r="D5537" t="s">
        <v>7348</v>
      </c>
      <c r="E5537" t="s">
        <v>7349</v>
      </c>
      <c r="F5537" t="s">
        <v>19</v>
      </c>
      <c r="H5537" t="s">
        <v>7350</v>
      </c>
    </row>
    <row r="5538" spans="1:8">
      <c r="A5538" t="s">
        <v>240</v>
      </c>
      <c r="B5538" t="s">
        <v>19</v>
      </c>
      <c r="C5538">
        <v>112</v>
      </c>
      <c r="D5538" t="s">
        <v>7351</v>
      </c>
      <c r="E5538" t="s">
        <v>7352</v>
      </c>
      <c r="F5538" t="s">
        <v>19</v>
      </c>
      <c r="G5538" t="s">
        <v>7353</v>
      </c>
      <c r="H5538" t="s">
        <v>7354</v>
      </c>
    </row>
    <row r="5539" spans="1:8">
      <c r="A5539" t="s">
        <v>240</v>
      </c>
      <c r="B5539" t="s">
        <v>19</v>
      </c>
      <c r="C5539">
        <v>112</v>
      </c>
      <c r="D5539" t="s">
        <v>7355</v>
      </c>
      <c r="E5539" t="s">
        <v>7356</v>
      </c>
      <c r="F5539" t="s">
        <v>19</v>
      </c>
      <c r="G5539" t="s">
        <v>7357</v>
      </c>
      <c r="H5539" t="s">
        <v>7358</v>
      </c>
    </row>
    <row r="5540" spans="1:8">
      <c r="A5540" t="s">
        <v>240</v>
      </c>
      <c r="B5540" t="s">
        <v>19</v>
      </c>
      <c r="C5540">
        <v>112</v>
      </c>
      <c r="D5540" t="s">
        <v>7359</v>
      </c>
      <c r="E5540" t="s">
        <v>7360</v>
      </c>
      <c r="F5540" t="s">
        <v>19</v>
      </c>
      <c r="G5540" t="s">
        <v>7361</v>
      </c>
      <c r="H5540" t="s">
        <v>7362</v>
      </c>
    </row>
    <row r="5541" spans="1:8">
      <c r="A5541" t="s">
        <v>240</v>
      </c>
      <c r="B5541" t="s">
        <v>19</v>
      </c>
      <c r="C5541">
        <v>112</v>
      </c>
      <c r="D5541" t="s">
        <v>7363</v>
      </c>
      <c r="E5541" t="s">
        <v>7364</v>
      </c>
      <c r="F5541" t="s">
        <v>19</v>
      </c>
      <c r="G5541" t="s">
        <v>7365</v>
      </c>
      <c r="H5541" t="s">
        <v>7366</v>
      </c>
    </row>
    <row r="5542" spans="1:8">
      <c r="A5542" t="s">
        <v>240</v>
      </c>
      <c r="B5542" t="s">
        <v>19</v>
      </c>
      <c r="C5542">
        <v>112</v>
      </c>
      <c r="D5542" t="s">
        <v>7367</v>
      </c>
      <c r="E5542" t="s">
        <v>7368</v>
      </c>
      <c r="F5542" t="s">
        <v>19</v>
      </c>
      <c r="G5542" t="s">
        <v>7369</v>
      </c>
      <c r="H5542" t="s">
        <v>7370</v>
      </c>
    </row>
    <row r="5543" spans="1:8">
      <c r="A5543" t="s">
        <v>248</v>
      </c>
      <c r="B5543" t="s">
        <v>19</v>
      </c>
      <c r="C5543">
        <v>112</v>
      </c>
      <c r="D5543" t="s">
        <v>7371</v>
      </c>
      <c r="E5543" t="s">
        <v>7372</v>
      </c>
      <c r="F5543" t="s">
        <v>19</v>
      </c>
      <c r="G5543" t="s">
        <v>7373</v>
      </c>
      <c r="H5543" t="s">
        <v>7374</v>
      </c>
    </row>
    <row r="5544" spans="1:8">
      <c r="A5544" t="s">
        <v>240</v>
      </c>
      <c r="B5544" t="s">
        <v>19</v>
      </c>
      <c r="C5544">
        <v>112</v>
      </c>
      <c r="D5544" t="s">
        <v>7375</v>
      </c>
      <c r="E5544" t="s">
        <v>7376</v>
      </c>
      <c r="F5544" t="s">
        <v>19</v>
      </c>
      <c r="G5544" t="s">
        <v>7377</v>
      </c>
      <c r="H5544" t="s">
        <v>7378</v>
      </c>
    </row>
    <row r="5545" spans="1:8">
      <c r="A5545" t="s">
        <v>240</v>
      </c>
      <c r="B5545" t="s">
        <v>19</v>
      </c>
      <c r="C5545">
        <v>112</v>
      </c>
      <c r="D5545" t="s">
        <v>7379</v>
      </c>
      <c r="E5545" t="s">
        <v>7380</v>
      </c>
      <c r="F5545" t="s">
        <v>19</v>
      </c>
      <c r="G5545" t="s">
        <v>7381</v>
      </c>
      <c r="H5545" t="s">
        <v>7382</v>
      </c>
    </row>
    <row r="5546" spans="1:8">
      <c r="A5546" t="s">
        <v>240</v>
      </c>
      <c r="B5546" t="s">
        <v>19</v>
      </c>
      <c r="C5546">
        <v>112</v>
      </c>
      <c r="D5546" t="s">
        <v>7383</v>
      </c>
      <c r="E5546" t="s">
        <v>7384</v>
      </c>
      <c r="F5546" t="s">
        <v>19</v>
      </c>
      <c r="G5546" t="s">
        <v>7385</v>
      </c>
      <c r="H5546" t="s">
        <v>7386</v>
      </c>
    </row>
    <row r="5547" spans="1:8">
      <c r="A5547" t="s">
        <v>240</v>
      </c>
      <c r="B5547" t="s">
        <v>19</v>
      </c>
      <c r="C5547">
        <v>112</v>
      </c>
      <c r="D5547" t="s">
        <v>7387</v>
      </c>
      <c r="E5547" t="s">
        <v>7388</v>
      </c>
      <c r="F5547" t="s">
        <v>19</v>
      </c>
      <c r="G5547" t="s">
        <v>7389</v>
      </c>
      <c r="H5547" t="s">
        <v>7390</v>
      </c>
    </row>
    <row r="5548" spans="1:8">
      <c r="A5548" t="s">
        <v>240</v>
      </c>
      <c r="B5548" t="s">
        <v>19</v>
      </c>
      <c r="C5548">
        <v>112</v>
      </c>
      <c r="D5548" t="s">
        <v>7391</v>
      </c>
      <c r="E5548" t="s">
        <v>7392</v>
      </c>
      <c r="F5548" t="s">
        <v>19</v>
      </c>
      <c r="G5548" t="s">
        <v>7393</v>
      </c>
      <c r="H5548" t="s">
        <v>7394</v>
      </c>
    </row>
    <row r="5549" spans="1:8">
      <c r="A5549" t="s">
        <v>240</v>
      </c>
      <c r="B5549" t="s">
        <v>19</v>
      </c>
      <c r="C5549">
        <v>112</v>
      </c>
      <c r="D5549" t="s">
        <v>3345</v>
      </c>
      <c r="E5549" t="s">
        <v>7395</v>
      </c>
      <c r="F5549" t="s">
        <v>19</v>
      </c>
      <c r="G5549" t="s">
        <v>7396</v>
      </c>
      <c r="H5549" t="s">
        <v>7397</v>
      </c>
    </row>
    <row r="5550" spans="1:8">
      <c r="A5550" t="s">
        <v>239</v>
      </c>
      <c r="B5550" t="s">
        <v>19</v>
      </c>
      <c r="C5550">
        <v>112</v>
      </c>
      <c r="D5550" t="s">
        <v>7398</v>
      </c>
      <c r="E5550" t="s">
        <v>7399</v>
      </c>
    </row>
    <row r="5551" spans="1:8">
      <c r="A5551" t="s">
        <v>239</v>
      </c>
      <c r="B5551" t="s">
        <v>19</v>
      </c>
      <c r="C5551">
        <v>112</v>
      </c>
      <c r="D5551" t="s">
        <v>7400</v>
      </c>
      <c r="E5551" t="s">
        <v>7401</v>
      </c>
    </row>
    <row r="5552" spans="1:8">
      <c r="A5552" t="s">
        <v>239</v>
      </c>
      <c r="B5552" t="s">
        <v>19</v>
      </c>
      <c r="C5552">
        <v>112</v>
      </c>
      <c r="D5552" t="s">
        <v>7402</v>
      </c>
      <c r="E5552" t="s">
        <v>7403</v>
      </c>
    </row>
    <row r="5553" spans="1:8">
      <c r="A5553" t="s">
        <v>239</v>
      </c>
      <c r="B5553" t="s">
        <v>19</v>
      </c>
      <c r="C5553">
        <v>112</v>
      </c>
      <c r="D5553" t="s">
        <v>7404</v>
      </c>
      <c r="E5553" t="s">
        <v>7405</v>
      </c>
    </row>
    <row r="5554" spans="1:8">
      <c r="A5554" t="s">
        <v>240</v>
      </c>
      <c r="B5554" t="s">
        <v>19</v>
      </c>
      <c r="C5554">
        <v>112</v>
      </c>
      <c r="D5554" t="s">
        <v>7406</v>
      </c>
      <c r="E5554" t="s">
        <v>7407</v>
      </c>
      <c r="F5554" t="s">
        <v>19</v>
      </c>
      <c r="G5554" t="s">
        <v>7408</v>
      </c>
      <c r="H5554" t="s">
        <v>7409</v>
      </c>
    </row>
    <row r="5555" spans="1:8">
      <c r="A5555" t="s">
        <v>239</v>
      </c>
      <c r="B5555" t="s">
        <v>19</v>
      </c>
      <c r="C5555">
        <v>112</v>
      </c>
      <c r="D5555" t="s">
        <v>7410</v>
      </c>
      <c r="E5555" t="s">
        <v>7411</v>
      </c>
      <c r="H5555" t="s">
        <v>7412</v>
      </c>
    </row>
    <row r="5556" spans="1:8">
      <c r="A5556" t="s">
        <v>239</v>
      </c>
      <c r="B5556" t="s">
        <v>19</v>
      </c>
      <c r="C5556">
        <v>112</v>
      </c>
      <c r="D5556" t="s">
        <v>7413</v>
      </c>
      <c r="E5556" t="s">
        <v>7414</v>
      </c>
    </row>
    <row r="5557" spans="1:8">
      <c r="A5557" t="s">
        <v>250</v>
      </c>
      <c r="B5557" t="s">
        <v>19</v>
      </c>
      <c r="C5557">
        <v>112</v>
      </c>
      <c r="D5557" t="s">
        <v>7415</v>
      </c>
      <c r="E5557" t="s">
        <v>5079</v>
      </c>
      <c r="F5557" t="s">
        <v>19</v>
      </c>
      <c r="G5557" t="s">
        <v>7416</v>
      </c>
      <c r="H5557" t="s">
        <v>7417</v>
      </c>
    </row>
    <row r="5558" spans="1:8">
      <c r="A5558" t="s">
        <v>250</v>
      </c>
      <c r="B5558" t="s">
        <v>19</v>
      </c>
      <c r="C5558">
        <v>112</v>
      </c>
      <c r="D5558" t="s">
        <v>7418</v>
      </c>
      <c r="F5558" t="s">
        <v>19</v>
      </c>
      <c r="H5558" t="s">
        <v>7243</v>
      </c>
    </row>
    <row r="5559" spans="1:8">
      <c r="A5559" t="s">
        <v>239</v>
      </c>
      <c r="B5559" t="s">
        <v>19</v>
      </c>
      <c r="C5559">
        <v>112</v>
      </c>
      <c r="D5559" t="s">
        <v>7419</v>
      </c>
      <c r="E5559" t="s">
        <v>7420</v>
      </c>
      <c r="H5559" t="s">
        <v>7421</v>
      </c>
    </row>
    <row r="5560" spans="1:8">
      <c r="A5560" t="s">
        <v>239</v>
      </c>
      <c r="B5560" t="s">
        <v>19</v>
      </c>
      <c r="C5560">
        <v>112</v>
      </c>
      <c r="D5560" t="s">
        <v>7422</v>
      </c>
      <c r="E5560" t="s">
        <v>7423</v>
      </c>
    </row>
    <row r="5561" spans="1:8">
      <c r="A5561" t="s">
        <v>240</v>
      </c>
      <c r="B5561" t="s">
        <v>19</v>
      </c>
      <c r="C5561">
        <v>112</v>
      </c>
      <c r="D5561" t="s">
        <v>7424</v>
      </c>
      <c r="E5561" t="s">
        <v>7425</v>
      </c>
      <c r="F5561" t="s">
        <v>19</v>
      </c>
      <c r="G5561" t="s">
        <v>7426</v>
      </c>
      <c r="H5561" t="s">
        <v>7427</v>
      </c>
    </row>
    <row r="5562" spans="1:8">
      <c r="A5562" t="s">
        <v>239</v>
      </c>
      <c r="B5562" t="s">
        <v>19</v>
      </c>
      <c r="C5562">
        <v>112</v>
      </c>
      <c r="D5562" t="s">
        <v>7428</v>
      </c>
      <c r="E5562" t="s">
        <v>7429</v>
      </c>
    </row>
    <row r="5563" spans="1:8">
      <c r="A5563" t="s">
        <v>239</v>
      </c>
      <c r="B5563" t="s">
        <v>19</v>
      </c>
      <c r="C5563">
        <v>112</v>
      </c>
      <c r="D5563" t="s">
        <v>7430</v>
      </c>
      <c r="E5563" t="s">
        <v>7431</v>
      </c>
    </row>
    <row r="5564" spans="1:8">
      <c r="A5564" t="s">
        <v>239</v>
      </c>
      <c r="B5564" t="s">
        <v>19</v>
      </c>
      <c r="C5564">
        <v>112</v>
      </c>
      <c r="D5564" t="s">
        <v>7432</v>
      </c>
      <c r="E5564" t="s">
        <v>7433</v>
      </c>
    </row>
    <row r="5565" spans="1:8">
      <c r="A5565" t="s">
        <v>239</v>
      </c>
      <c r="B5565" t="s">
        <v>19</v>
      </c>
      <c r="C5565">
        <v>112</v>
      </c>
      <c r="D5565" t="s">
        <v>7434</v>
      </c>
      <c r="E5565" t="s">
        <v>7289</v>
      </c>
    </row>
    <row r="5566" spans="1:8">
      <c r="A5566" t="s">
        <v>239</v>
      </c>
      <c r="B5566" t="s">
        <v>19</v>
      </c>
      <c r="C5566">
        <v>112</v>
      </c>
      <c r="D5566" t="s">
        <v>7435</v>
      </c>
      <c r="E5566" t="s">
        <v>7436</v>
      </c>
    </row>
    <row r="5567" spans="1:8">
      <c r="A5567" t="s">
        <v>239</v>
      </c>
      <c r="B5567" t="s">
        <v>19</v>
      </c>
      <c r="C5567">
        <v>112</v>
      </c>
      <c r="D5567" t="s">
        <v>7437</v>
      </c>
      <c r="E5567" t="s">
        <v>7438</v>
      </c>
    </row>
    <row r="5568" spans="1:8">
      <c r="A5568" t="s">
        <v>239</v>
      </c>
      <c r="B5568" t="s">
        <v>19</v>
      </c>
      <c r="C5568">
        <v>112</v>
      </c>
      <c r="D5568" t="s">
        <v>7439</v>
      </c>
      <c r="E5568" t="s">
        <v>7440</v>
      </c>
    </row>
    <row r="5569" spans="1:8">
      <c r="A5569" t="s">
        <v>239</v>
      </c>
      <c r="B5569" t="s">
        <v>19</v>
      </c>
      <c r="C5569">
        <v>112</v>
      </c>
      <c r="D5569" t="s">
        <v>7441</v>
      </c>
      <c r="E5569" t="s">
        <v>7442</v>
      </c>
    </row>
    <row r="5570" spans="1:8">
      <c r="A5570" t="s">
        <v>239</v>
      </c>
      <c r="B5570" t="s">
        <v>19</v>
      </c>
      <c r="C5570">
        <v>112</v>
      </c>
      <c r="D5570" t="s">
        <v>7443</v>
      </c>
      <c r="E5570" t="s">
        <v>7444</v>
      </c>
    </row>
    <row r="5571" spans="1:8">
      <c r="A5571" t="s">
        <v>250</v>
      </c>
      <c r="B5571" t="s">
        <v>19</v>
      </c>
      <c r="C5571">
        <v>112</v>
      </c>
      <c r="D5571" t="s">
        <v>7445</v>
      </c>
      <c r="E5571" t="s">
        <v>7446</v>
      </c>
      <c r="F5571" t="s">
        <v>19</v>
      </c>
    </row>
    <row r="5572" spans="1:8">
      <c r="A5572" t="s">
        <v>239</v>
      </c>
      <c r="B5572" t="s">
        <v>19</v>
      </c>
      <c r="C5572">
        <v>112</v>
      </c>
      <c r="D5572" t="s">
        <v>7447</v>
      </c>
      <c r="E5572" t="s">
        <v>7448</v>
      </c>
    </row>
    <row r="5573" spans="1:8">
      <c r="A5573" t="s">
        <v>250</v>
      </c>
      <c r="B5573" t="s">
        <v>19</v>
      </c>
      <c r="C5573">
        <v>112</v>
      </c>
      <c r="D5573" t="s">
        <v>7449</v>
      </c>
      <c r="E5573" t="s">
        <v>7450</v>
      </c>
      <c r="F5573" t="s">
        <v>19</v>
      </c>
    </row>
    <row r="5574" spans="1:8">
      <c r="A5574" t="s">
        <v>250</v>
      </c>
      <c r="B5574" t="s">
        <v>19</v>
      </c>
      <c r="C5574">
        <v>112</v>
      </c>
      <c r="D5574" t="s">
        <v>7451</v>
      </c>
      <c r="E5574" t="s">
        <v>7452</v>
      </c>
      <c r="F5574" t="s">
        <v>19</v>
      </c>
      <c r="G5574" t="s">
        <v>7453</v>
      </c>
    </row>
    <row r="5575" spans="1:8">
      <c r="A5575" t="s">
        <v>250</v>
      </c>
      <c r="B5575" t="s">
        <v>19</v>
      </c>
      <c r="C5575">
        <v>112</v>
      </c>
      <c r="D5575" t="s">
        <v>7454</v>
      </c>
      <c r="E5575" t="s">
        <v>7455</v>
      </c>
      <c r="F5575" t="s">
        <v>19</v>
      </c>
    </row>
    <row r="5576" spans="1:8">
      <c r="A5576" t="s">
        <v>250</v>
      </c>
      <c r="B5576" t="s">
        <v>19</v>
      </c>
      <c r="C5576">
        <v>112</v>
      </c>
      <c r="D5576" t="s">
        <v>7456</v>
      </c>
      <c r="E5576" t="s">
        <v>7457</v>
      </c>
      <c r="F5576" t="s">
        <v>19</v>
      </c>
    </row>
    <row r="5577" spans="1:8">
      <c r="A5577" t="s">
        <v>250</v>
      </c>
      <c r="B5577" t="s">
        <v>19</v>
      </c>
      <c r="C5577">
        <v>112</v>
      </c>
      <c r="D5577" t="s">
        <v>7458</v>
      </c>
      <c r="E5577" t="s">
        <v>7459</v>
      </c>
      <c r="F5577" t="s">
        <v>19</v>
      </c>
      <c r="G5577" t="s">
        <v>7460</v>
      </c>
    </row>
    <row r="5578" spans="1:8">
      <c r="A5578" t="s">
        <v>250</v>
      </c>
      <c r="B5578" t="s">
        <v>19</v>
      </c>
      <c r="C5578">
        <v>112</v>
      </c>
      <c r="D5578" t="s">
        <v>7461</v>
      </c>
      <c r="E5578" t="s">
        <v>7462</v>
      </c>
      <c r="F5578" t="s">
        <v>19</v>
      </c>
      <c r="G5578" t="s">
        <v>7463</v>
      </c>
    </row>
    <row r="5579" spans="1:8">
      <c r="A5579" t="s">
        <v>250</v>
      </c>
      <c r="B5579" t="s">
        <v>19</v>
      </c>
      <c r="C5579">
        <v>112</v>
      </c>
      <c r="D5579" t="s">
        <v>7464</v>
      </c>
      <c r="E5579" t="s">
        <v>7465</v>
      </c>
      <c r="F5579" t="s">
        <v>20</v>
      </c>
      <c r="G5579" t="s">
        <v>7466</v>
      </c>
      <c r="H5579" t="s">
        <v>7051</v>
      </c>
    </row>
    <row r="5580" spans="1:8">
      <c r="A5580" t="s">
        <v>250</v>
      </c>
      <c r="B5580" t="s">
        <v>19</v>
      </c>
      <c r="C5580">
        <v>112</v>
      </c>
      <c r="D5580" t="s">
        <v>7467</v>
      </c>
      <c r="E5580" t="s">
        <v>7468</v>
      </c>
      <c r="F5580" t="s">
        <v>19</v>
      </c>
      <c r="G5580" t="s">
        <v>7469</v>
      </c>
      <c r="H5580" t="s">
        <v>7470</v>
      </c>
    </row>
    <row r="5581" spans="1:8">
      <c r="A5581" t="s">
        <v>250</v>
      </c>
      <c r="B5581" t="s">
        <v>19</v>
      </c>
      <c r="C5581">
        <v>112</v>
      </c>
      <c r="D5581" t="s">
        <v>7471</v>
      </c>
      <c r="E5581" t="s">
        <v>7472</v>
      </c>
      <c r="F5581" t="s">
        <v>19</v>
      </c>
      <c r="G5581" t="s">
        <v>7473</v>
      </c>
    </row>
    <row r="5582" spans="1:8">
      <c r="A5582" t="s">
        <v>250</v>
      </c>
      <c r="B5582" t="s">
        <v>19</v>
      </c>
      <c r="C5582">
        <v>112</v>
      </c>
      <c r="D5582" t="s">
        <v>7474</v>
      </c>
      <c r="E5582" t="s">
        <v>5079</v>
      </c>
      <c r="F5582" t="s">
        <v>19</v>
      </c>
    </row>
    <row r="5583" spans="1:8">
      <c r="A5583" t="s">
        <v>250</v>
      </c>
      <c r="B5583" t="s">
        <v>19</v>
      </c>
      <c r="C5583">
        <v>112</v>
      </c>
      <c r="D5583" t="s">
        <v>7475</v>
      </c>
      <c r="E5583" t="s">
        <v>7476</v>
      </c>
      <c r="F5583" t="s">
        <v>19</v>
      </c>
    </row>
    <row r="5584" spans="1:8">
      <c r="A5584" t="s">
        <v>250</v>
      </c>
      <c r="B5584" t="s">
        <v>19</v>
      </c>
      <c r="C5584">
        <v>112</v>
      </c>
      <c r="D5584" t="s">
        <v>7477</v>
      </c>
      <c r="E5584" t="s">
        <v>7478</v>
      </c>
      <c r="F5584" t="s">
        <v>19</v>
      </c>
    </row>
    <row r="5585" spans="1:8">
      <c r="A5585" t="s">
        <v>250</v>
      </c>
      <c r="B5585" t="s">
        <v>19</v>
      </c>
      <c r="C5585">
        <v>112</v>
      </c>
      <c r="D5585" t="s">
        <v>7479</v>
      </c>
      <c r="E5585" t="s">
        <v>7480</v>
      </c>
      <c r="F5585" t="s">
        <v>19</v>
      </c>
    </row>
    <row r="5586" spans="1:8">
      <c r="A5586" t="s">
        <v>239</v>
      </c>
      <c r="B5586" t="s">
        <v>19</v>
      </c>
      <c r="C5586">
        <v>112</v>
      </c>
      <c r="D5586" t="s">
        <v>7481</v>
      </c>
      <c r="E5586" t="s">
        <v>7482</v>
      </c>
    </row>
    <row r="5587" spans="1:8">
      <c r="A5587" t="s">
        <v>250</v>
      </c>
      <c r="B5587" t="s">
        <v>19</v>
      </c>
      <c r="C5587">
        <v>112</v>
      </c>
      <c r="D5587" t="s">
        <v>7483</v>
      </c>
      <c r="E5587" t="s">
        <v>7484</v>
      </c>
      <c r="F5587" t="s">
        <v>19</v>
      </c>
      <c r="G5587" t="s">
        <v>7485</v>
      </c>
      <c r="H5587" t="s">
        <v>7486</v>
      </c>
    </row>
    <row r="5588" spans="1:8">
      <c r="A5588" t="s">
        <v>250</v>
      </c>
      <c r="B5588" t="s">
        <v>19</v>
      </c>
      <c r="C5588">
        <v>112</v>
      </c>
      <c r="D5588" t="s">
        <v>7487</v>
      </c>
      <c r="E5588" t="s">
        <v>7488</v>
      </c>
      <c r="F5588" t="s">
        <v>19</v>
      </c>
    </row>
    <row r="5589" spans="1:8">
      <c r="A5589" t="s">
        <v>250</v>
      </c>
      <c r="B5589" t="s">
        <v>19</v>
      </c>
      <c r="C5589">
        <v>112</v>
      </c>
      <c r="D5589" t="s">
        <v>7489</v>
      </c>
      <c r="E5589" t="s">
        <v>7490</v>
      </c>
      <c r="F5589" t="s">
        <v>19</v>
      </c>
      <c r="G5589" t="s">
        <v>7491</v>
      </c>
      <c r="H5589" t="s">
        <v>7492</v>
      </c>
    </row>
    <row r="5590" spans="1:8">
      <c r="A5590" t="s">
        <v>250</v>
      </c>
      <c r="B5590" t="s">
        <v>19</v>
      </c>
      <c r="C5590">
        <v>112</v>
      </c>
      <c r="D5590" t="s">
        <v>7493</v>
      </c>
      <c r="E5590" t="s">
        <v>7494</v>
      </c>
      <c r="G5590" t="s">
        <v>7495</v>
      </c>
      <c r="H5590" t="s">
        <v>7496</v>
      </c>
    </row>
    <row r="5591" spans="1:8">
      <c r="A5591" t="s">
        <v>250</v>
      </c>
      <c r="B5591" t="s">
        <v>19</v>
      </c>
      <c r="C5591">
        <v>112</v>
      </c>
      <c r="D5591" t="s">
        <v>7497</v>
      </c>
      <c r="E5591" t="s">
        <v>7498</v>
      </c>
      <c r="F5591" t="s">
        <v>19</v>
      </c>
      <c r="G5591" t="s">
        <v>7499</v>
      </c>
      <c r="H5591" t="s">
        <v>7500</v>
      </c>
    </row>
    <row r="5592" spans="1:8">
      <c r="A5592" t="s">
        <v>250</v>
      </c>
      <c r="B5592" t="s">
        <v>19</v>
      </c>
      <c r="C5592">
        <v>112</v>
      </c>
      <c r="D5592" t="s">
        <v>7501</v>
      </c>
      <c r="E5592" t="s">
        <v>7502</v>
      </c>
      <c r="F5592" t="s">
        <v>19</v>
      </c>
      <c r="G5592" t="s">
        <v>7113</v>
      </c>
      <c r="H5592" t="s">
        <v>7112</v>
      </c>
    </row>
    <row r="5593" spans="1:8">
      <c r="A5593" t="s">
        <v>250</v>
      </c>
      <c r="B5593" t="s">
        <v>19</v>
      </c>
      <c r="C5593">
        <v>112</v>
      </c>
      <c r="D5593" t="s">
        <v>7503</v>
      </c>
      <c r="E5593" t="s">
        <v>7504</v>
      </c>
      <c r="F5593" t="s">
        <v>7505</v>
      </c>
    </row>
    <row r="5594" spans="1:8">
      <c r="A5594" t="s">
        <v>250</v>
      </c>
      <c r="B5594" t="s">
        <v>19</v>
      </c>
      <c r="C5594">
        <v>112</v>
      </c>
      <c r="D5594" t="s">
        <v>7506</v>
      </c>
      <c r="E5594" t="s">
        <v>7472</v>
      </c>
      <c r="F5594" t="s">
        <v>19</v>
      </c>
    </row>
    <row r="5595" spans="1:8">
      <c r="A5595" t="s">
        <v>250</v>
      </c>
      <c r="B5595" t="s">
        <v>19</v>
      </c>
      <c r="C5595">
        <v>112</v>
      </c>
      <c r="D5595" t="s">
        <v>7507</v>
      </c>
      <c r="E5595" t="s">
        <v>7508</v>
      </c>
      <c r="F5595" t="s">
        <v>19</v>
      </c>
      <c r="G5595" t="s">
        <v>7499</v>
      </c>
      <c r="H5595" t="s">
        <v>7500</v>
      </c>
    </row>
    <row r="5596" spans="1:8">
      <c r="A5596" t="s">
        <v>250</v>
      </c>
      <c r="B5596" t="s">
        <v>19</v>
      </c>
      <c r="C5596">
        <v>112</v>
      </c>
      <c r="D5596" t="s">
        <v>7509</v>
      </c>
      <c r="E5596" t="s">
        <v>7510</v>
      </c>
      <c r="F5596" t="s">
        <v>19</v>
      </c>
      <c r="H5596" t="s">
        <v>7354</v>
      </c>
    </row>
    <row r="5597" spans="1:8">
      <c r="A5597" t="s">
        <v>250</v>
      </c>
      <c r="B5597" t="s">
        <v>19</v>
      </c>
      <c r="C5597">
        <v>112</v>
      </c>
      <c r="D5597" t="s">
        <v>7511</v>
      </c>
      <c r="E5597" t="s">
        <v>7452</v>
      </c>
      <c r="F5597" t="s">
        <v>19</v>
      </c>
      <c r="G5597" t="s">
        <v>7512</v>
      </c>
    </row>
    <row r="5598" spans="1:8">
      <c r="A5598" t="s">
        <v>250</v>
      </c>
      <c r="B5598" t="s">
        <v>19</v>
      </c>
      <c r="C5598">
        <v>112</v>
      </c>
      <c r="D5598" t="s">
        <v>7513</v>
      </c>
      <c r="E5598" t="s">
        <v>7514</v>
      </c>
      <c r="F5598" t="s">
        <v>19</v>
      </c>
    </row>
    <row r="5599" spans="1:8">
      <c r="A5599" t="s">
        <v>250</v>
      </c>
      <c r="B5599" t="s">
        <v>19</v>
      </c>
      <c r="C5599">
        <v>112</v>
      </c>
      <c r="D5599" t="s">
        <v>7515</v>
      </c>
      <c r="E5599" t="s">
        <v>7516</v>
      </c>
      <c r="F5599" t="s">
        <v>19</v>
      </c>
      <c r="G5599" t="s">
        <v>7517</v>
      </c>
      <c r="H5599" t="s">
        <v>7518</v>
      </c>
    </row>
    <row r="5600" spans="1:8">
      <c r="A5600" t="s">
        <v>250</v>
      </c>
      <c r="B5600" t="s">
        <v>19</v>
      </c>
      <c r="C5600">
        <v>112</v>
      </c>
      <c r="D5600" t="s">
        <v>7519</v>
      </c>
      <c r="E5600" t="s">
        <v>7520</v>
      </c>
      <c r="F5600" t="s">
        <v>19</v>
      </c>
    </row>
    <row r="5601" spans="1:8">
      <c r="A5601" t="s">
        <v>250</v>
      </c>
      <c r="B5601" t="s">
        <v>19</v>
      </c>
      <c r="C5601">
        <v>112</v>
      </c>
      <c r="D5601" t="s">
        <v>7521</v>
      </c>
      <c r="E5601" t="s">
        <v>7522</v>
      </c>
      <c r="F5601" t="s">
        <v>19</v>
      </c>
    </row>
    <row r="5602" spans="1:8">
      <c r="A5602" t="s">
        <v>250</v>
      </c>
      <c r="B5602" t="s">
        <v>19</v>
      </c>
      <c r="C5602">
        <v>112</v>
      </c>
      <c r="D5602" t="s">
        <v>7523</v>
      </c>
      <c r="E5602" t="s">
        <v>7524</v>
      </c>
      <c r="F5602" t="s">
        <v>19</v>
      </c>
      <c r="G5602" t="s">
        <v>7525</v>
      </c>
    </row>
    <row r="5603" spans="1:8">
      <c r="A5603" t="s">
        <v>250</v>
      </c>
      <c r="B5603" t="s">
        <v>19</v>
      </c>
      <c r="C5603">
        <v>112</v>
      </c>
      <c r="D5603" t="s">
        <v>7526</v>
      </c>
      <c r="E5603" t="s">
        <v>7527</v>
      </c>
      <c r="F5603" t="s">
        <v>41</v>
      </c>
    </row>
    <row r="5604" spans="1:8">
      <c r="A5604" t="s">
        <v>250</v>
      </c>
      <c r="B5604" t="s">
        <v>19</v>
      </c>
      <c r="C5604">
        <v>112</v>
      </c>
      <c r="D5604" t="s">
        <v>7528</v>
      </c>
      <c r="E5604" t="s">
        <v>5079</v>
      </c>
      <c r="F5604" t="s">
        <v>19</v>
      </c>
    </row>
    <row r="5605" spans="1:8">
      <c r="A5605" t="s">
        <v>250</v>
      </c>
      <c r="B5605" t="s">
        <v>19</v>
      </c>
      <c r="C5605">
        <v>112</v>
      </c>
      <c r="D5605" t="s">
        <v>7529</v>
      </c>
      <c r="E5605" t="s">
        <v>7530</v>
      </c>
      <c r="F5605" t="s">
        <v>19</v>
      </c>
    </row>
    <row r="5606" spans="1:8">
      <c r="A5606" t="s">
        <v>250</v>
      </c>
      <c r="B5606" t="s">
        <v>19</v>
      </c>
      <c r="C5606">
        <v>112</v>
      </c>
      <c r="D5606" t="s">
        <v>7531</v>
      </c>
      <c r="E5606" t="s">
        <v>7457</v>
      </c>
      <c r="F5606" t="s">
        <v>19</v>
      </c>
      <c r="G5606" t="s">
        <v>7532</v>
      </c>
    </row>
    <row r="5607" spans="1:8">
      <c r="A5607" t="s">
        <v>250</v>
      </c>
      <c r="B5607" t="s">
        <v>19</v>
      </c>
      <c r="C5607">
        <v>112</v>
      </c>
      <c r="D5607" t="s">
        <v>7533</v>
      </c>
      <c r="E5607" t="s">
        <v>7534</v>
      </c>
      <c r="F5607" t="s">
        <v>19</v>
      </c>
    </row>
    <row r="5608" spans="1:8">
      <c r="A5608" t="s">
        <v>242</v>
      </c>
      <c r="B5608" t="s">
        <v>215</v>
      </c>
      <c r="C5608">
        <v>112</v>
      </c>
      <c r="D5608" t="s">
        <v>10547</v>
      </c>
      <c r="F5608" t="s">
        <v>215</v>
      </c>
      <c r="G5608" t="s">
        <v>10548</v>
      </c>
      <c r="H5608" t="s">
        <v>10549</v>
      </c>
    </row>
    <row r="5609" spans="1:8">
      <c r="A5609" t="s">
        <v>248</v>
      </c>
      <c r="B5609" t="s">
        <v>215</v>
      </c>
      <c r="C5609">
        <v>112</v>
      </c>
      <c r="D5609" t="s">
        <v>10550</v>
      </c>
      <c r="E5609" t="s">
        <v>10551</v>
      </c>
      <c r="F5609" t="s">
        <v>215</v>
      </c>
      <c r="G5609" t="s">
        <v>10552</v>
      </c>
      <c r="H5609" t="s">
        <v>10553</v>
      </c>
    </row>
    <row r="5610" spans="1:8">
      <c r="A5610" t="s">
        <v>239</v>
      </c>
      <c r="B5610" t="s">
        <v>215</v>
      </c>
      <c r="C5610">
        <v>112</v>
      </c>
      <c r="D5610" t="s">
        <v>10554</v>
      </c>
      <c r="E5610" t="s">
        <v>10555</v>
      </c>
      <c r="G5610" t="s">
        <v>10556</v>
      </c>
      <c r="H5610" t="s">
        <v>10557</v>
      </c>
    </row>
    <row r="5611" spans="1:8">
      <c r="A5611" t="s">
        <v>241</v>
      </c>
      <c r="B5611" t="s">
        <v>215</v>
      </c>
      <c r="C5611">
        <v>112</v>
      </c>
      <c r="D5611" t="s">
        <v>10558</v>
      </c>
      <c r="E5611" t="s">
        <v>10559</v>
      </c>
    </row>
    <row r="5612" spans="1:8">
      <c r="A5612" t="s">
        <v>241</v>
      </c>
      <c r="B5612" t="s">
        <v>215</v>
      </c>
      <c r="C5612">
        <v>112</v>
      </c>
      <c r="D5612" t="s">
        <v>10560</v>
      </c>
      <c r="E5612" t="s">
        <v>10561</v>
      </c>
      <c r="F5612" t="s">
        <v>10562</v>
      </c>
      <c r="G5612" t="s">
        <v>10563</v>
      </c>
      <c r="H5612" t="s">
        <v>10564</v>
      </c>
    </row>
    <row r="5613" spans="1:8">
      <c r="A5613" t="s">
        <v>242</v>
      </c>
      <c r="B5613" t="s">
        <v>215</v>
      </c>
      <c r="C5613">
        <v>112</v>
      </c>
      <c r="D5613" t="s">
        <v>10565</v>
      </c>
      <c r="F5613" t="s">
        <v>10566</v>
      </c>
      <c r="H5613" t="s">
        <v>10567</v>
      </c>
    </row>
    <row r="5614" spans="1:8">
      <c r="A5614" t="s">
        <v>241</v>
      </c>
      <c r="B5614" t="s">
        <v>215</v>
      </c>
      <c r="C5614">
        <v>112</v>
      </c>
      <c r="D5614" t="s">
        <v>10568</v>
      </c>
      <c r="E5614" t="s">
        <v>10569</v>
      </c>
    </row>
    <row r="5615" spans="1:8">
      <c r="A5615" t="s">
        <v>241</v>
      </c>
      <c r="B5615" t="s">
        <v>215</v>
      </c>
      <c r="C5615">
        <v>112</v>
      </c>
      <c r="D5615" t="s">
        <v>10570</v>
      </c>
      <c r="E5615" t="s">
        <v>10571</v>
      </c>
      <c r="H5615" t="s">
        <v>10572</v>
      </c>
    </row>
    <row r="5616" spans="1:8">
      <c r="A5616" t="s">
        <v>242</v>
      </c>
      <c r="B5616" t="s">
        <v>215</v>
      </c>
      <c r="C5616">
        <v>112</v>
      </c>
      <c r="D5616" t="s">
        <v>10573</v>
      </c>
      <c r="E5616" t="s">
        <v>10574</v>
      </c>
      <c r="G5616" t="s">
        <v>10575</v>
      </c>
      <c r="H5616" t="s">
        <v>10576</v>
      </c>
    </row>
    <row r="5617" spans="1:8">
      <c r="A5617" t="s">
        <v>245</v>
      </c>
      <c r="B5617" t="s">
        <v>215</v>
      </c>
      <c r="C5617">
        <v>112</v>
      </c>
      <c r="D5617" t="s">
        <v>10577</v>
      </c>
      <c r="E5617" t="s">
        <v>10578</v>
      </c>
      <c r="H5617" t="s">
        <v>10579</v>
      </c>
    </row>
    <row r="5618" spans="1:8">
      <c r="A5618" t="s">
        <v>242</v>
      </c>
      <c r="B5618" t="s">
        <v>215</v>
      </c>
      <c r="C5618">
        <v>112</v>
      </c>
      <c r="D5618" t="s">
        <v>10580</v>
      </c>
      <c r="E5618" t="s">
        <v>10581</v>
      </c>
      <c r="F5618" t="s">
        <v>215</v>
      </c>
      <c r="G5618" t="s">
        <v>10582</v>
      </c>
      <c r="H5618" t="s">
        <v>10583</v>
      </c>
    </row>
    <row r="5619" spans="1:8">
      <c r="A5619" t="s">
        <v>242</v>
      </c>
      <c r="B5619" t="s">
        <v>215</v>
      </c>
      <c r="C5619">
        <v>112</v>
      </c>
      <c r="D5619" t="s">
        <v>10584</v>
      </c>
      <c r="G5619" t="s">
        <v>10585</v>
      </c>
      <c r="H5619" t="s">
        <v>10586</v>
      </c>
    </row>
    <row r="5620" spans="1:8">
      <c r="A5620" t="s">
        <v>242</v>
      </c>
      <c r="B5620" t="s">
        <v>215</v>
      </c>
      <c r="C5620">
        <v>112</v>
      </c>
      <c r="D5620" t="s">
        <v>10587</v>
      </c>
      <c r="E5620" t="s">
        <v>10588</v>
      </c>
      <c r="F5620" t="s">
        <v>215</v>
      </c>
      <c r="G5620" t="s">
        <v>10589</v>
      </c>
      <c r="H5620" t="s">
        <v>10590</v>
      </c>
    </row>
    <row r="5621" spans="1:8">
      <c r="A5621" t="s">
        <v>242</v>
      </c>
      <c r="B5621" t="s">
        <v>215</v>
      </c>
      <c r="C5621">
        <v>112</v>
      </c>
      <c r="D5621" t="s">
        <v>10591</v>
      </c>
      <c r="E5621" t="s">
        <v>10592</v>
      </c>
      <c r="F5621" t="s">
        <v>215</v>
      </c>
    </row>
    <row r="5622" spans="1:8">
      <c r="A5622" t="s">
        <v>243</v>
      </c>
      <c r="B5622" t="s">
        <v>215</v>
      </c>
      <c r="C5622">
        <v>112</v>
      </c>
      <c r="D5622" t="s">
        <v>10593</v>
      </c>
      <c r="E5622" t="s">
        <v>10594</v>
      </c>
      <c r="G5622" t="s">
        <v>10595</v>
      </c>
      <c r="H5622" t="s">
        <v>10596</v>
      </c>
    </row>
    <row r="5623" spans="1:8">
      <c r="A5623" t="s">
        <v>241</v>
      </c>
      <c r="B5623" t="s">
        <v>215</v>
      </c>
      <c r="C5623">
        <v>112</v>
      </c>
      <c r="D5623" t="s">
        <v>10597</v>
      </c>
      <c r="E5623" t="s">
        <v>10598</v>
      </c>
      <c r="H5623" t="s">
        <v>10599</v>
      </c>
    </row>
    <row r="5624" spans="1:8">
      <c r="A5624" t="s">
        <v>241</v>
      </c>
      <c r="B5624" t="s">
        <v>231</v>
      </c>
      <c r="C5624">
        <v>112</v>
      </c>
      <c r="D5624" t="s">
        <v>16185</v>
      </c>
      <c r="E5624" t="s">
        <v>16186</v>
      </c>
      <c r="F5624" t="s">
        <v>16187</v>
      </c>
      <c r="G5624" t="s">
        <v>16188</v>
      </c>
      <c r="H5624" t="s">
        <v>16189</v>
      </c>
    </row>
    <row r="5625" spans="1:8">
      <c r="A5625" t="s">
        <v>238</v>
      </c>
      <c r="B5625" t="s">
        <v>231</v>
      </c>
      <c r="C5625">
        <v>112</v>
      </c>
      <c r="D5625" t="s">
        <v>16190</v>
      </c>
      <c r="E5625" t="s">
        <v>16191</v>
      </c>
      <c r="F5625" t="s">
        <v>201</v>
      </c>
      <c r="G5625" t="s">
        <v>16192</v>
      </c>
      <c r="H5625" t="s">
        <v>16193</v>
      </c>
    </row>
    <row r="5626" spans="1:8">
      <c r="A5626" t="s">
        <v>242</v>
      </c>
      <c r="B5626" t="s">
        <v>231</v>
      </c>
      <c r="C5626">
        <v>112</v>
      </c>
      <c r="D5626" t="s">
        <v>16194</v>
      </c>
      <c r="E5626" t="s">
        <v>16195</v>
      </c>
      <c r="G5626" t="s">
        <v>16196</v>
      </c>
      <c r="H5626" t="s">
        <v>16197</v>
      </c>
    </row>
    <row r="5627" spans="1:8">
      <c r="A5627" t="s">
        <v>241</v>
      </c>
      <c r="B5627" t="s">
        <v>231</v>
      </c>
      <c r="C5627">
        <v>112</v>
      </c>
      <c r="D5627" t="s">
        <v>16198</v>
      </c>
      <c r="E5627" t="s">
        <v>16199</v>
      </c>
      <c r="G5627" t="s">
        <v>16200</v>
      </c>
      <c r="H5627" t="s">
        <v>16201</v>
      </c>
    </row>
    <row r="5628" spans="1:8">
      <c r="A5628" t="s">
        <v>242</v>
      </c>
      <c r="B5628" t="s">
        <v>231</v>
      </c>
      <c r="C5628">
        <v>112</v>
      </c>
      <c r="D5628" t="s">
        <v>3583</v>
      </c>
      <c r="G5628" t="s">
        <v>16202</v>
      </c>
      <c r="H5628" t="s">
        <v>16203</v>
      </c>
    </row>
    <row r="5629" spans="1:8">
      <c r="A5629" t="s">
        <v>242</v>
      </c>
      <c r="B5629" t="s">
        <v>231</v>
      </c>
      <c r="C5629">
        <v>112</v>
      </c>
      <c r="D5629" t="s">
        <v>16204</v>
      </c>
      <c r="E5629" t="s">
        <v>16205</v>
      </c>
      <c r="F5629" t="s">
        <v>231</v>
      </c>
    </row>
    <row r="5630" spans="1:8">
      <c r="A5630" t="s">
        <v>242</v>
      </c>
      <c r="B5630" t="s">
        <v>231</v>
      </c>
      <c r="C5630">
        <v>112</v>
      </c>
      <c r="D5630" t="s">
        <v>16206</v>
      </c>
      <c r="E5630" t="s">
        <v>16207</v>
      </c>
      <c r="G5630" t="s">
        <v>16208</v>
      </c>
      <c r="H5630" t="s">
        <v>16209</v>
      </c>
    </row>
    <row r="5631" spans="1:8">
      <c r="A5631" t="s">
        <v>243</v>
      </c>
      <c r="B5631" t="s">
        <v>231</v>
      </c>
      <c r="C5631">
        <v>112</v>
      </c>
      <c r="D5631" t="s">
        <v>613</v>
      </c>
      <c r="E5631" t="s">
        <v>16210</v>
      </c>
      <c r="F5631" t="s">
        <v>231</v>
      </c>
      <c r="G5631" t="s">
        <v>614</v>
      </c>
      <c r="H5631" t="s">
        <v>615</v>
      </c>
    </row>
    <row r="5632" spans="1:8">
      <c r="A5632" t="s">
        <v>240</v>
      </c>
      <c r="B5632" t="s">
        <v>231</v>
      </c>
      <c r="C5632">
        <v>112</v>
      </c>
      <c r="D5632" t="s">
        <v>16211</v>
      </c>
      <c r="E5632" t="s">
        <v>16212</v>
      </c>
      <c r="F5632" t="s">
        <v>231</v>
      </c>
      <c r="H5632" t="s">
        <v>16213</v>
      </c>
    </row>
    <row r="5633" spans="1:8">
      <c r="A5633" t="s">
        <v>241</v>
      </c>
      <c r="B5633" t="s">
        <v>231</v>
      </c>
      <c r="C5633">
        <v>112</v>
      </c>
      <c r="D5633" t="s">
        <v>16214</v>
      </c>
      <c r="E5633" t="s">
        <v>2863</v>
      </c>
      <c r="F5633" t="s">
        <v>231</v>
      </c>
      <c r="G5633" t="s">
        <v>16215</v>
      </c>
      <c r="H5633" t="s">
        <v>16216</v>
      </c>
    </row>
    <row r="5634" spans="1:8">
      <c r="A5634" t="s">
        <v>241</v>
      </c>
      <c r="B5634" t="s">
        <v>231</v>
      </c>
      <c r="C5634">
        <v>112</v>
      </c>
      <c r="D5634" t="s">
        <v>16217</v>
      </c>
      <c r="E5634" t="s">
        <v>16218</v>
      </c>
      <c r="F5634" t="s">
        <v>231</v>
      </c>
      <c r="H5634" t="s">
        <v>16219</v>
      </c>
    </row>
    <row r="5635" spans="1:8">
      <c r="A5635" t="s">
        <v>241</v>
      </c>
      <c r="B5635" t="s">
        <v>231</v>
      </c>
      <c r="C5635">
        <v>112</v>
      </c>
      <c r="D5635" t="s">
        <v>16220</v>
      </c>
      <c r="E5635" t="s">
        <v>16221</v>
      </c>
      <c r="G5635" t="s">
        <v>16222</v>
      </c>
      <c r="H5635" t="s">
        <v>16223</v>
      </c>
    </row>
    <row r="5636" spans="1:8">
      <c r="A5636" t="s">
        <v>241</v>
      </c>
      <c r="B5636" t="s">
        <v>207</v>
      </c>
      <c r="C5636">
        <v>113</v>
      </c>
      <c r="D5636" t="s">
        <v>9545</v>
      </c>
      <c r="E5636" t="s">
        <v>9546</v>
      </c>
      <c r="F5636" t="s">
        <v>9547</v>
      </c>
      <c r="G5636" t="s">
        <v>9548</v>
      </c>
      <c r="H5636" t="s">
        <v>9549</v>
      </c>
    </row>
    <row r="5637" spans="1:8">
      <c r="A5637" t="s">
        <v>241</v>
      </c>
      <c r="B5637" t="s">
        <v>207</v>
      </c>
      <c r="C5637">
        <v>113</v>
      </c>
      <c r="D5637" t="s">
        <v>8429</v>
      </c>
      <c r="E5637" t="s">
        <v>9550</v>
      </c>
      <c r="F5637" t="s">
        <v>207</v>
      </c>
      <c r="H5637" t="s">
        <v>9551</v>
      </c>
    </row>
    <row r="5638" spans="1:8">
      <c r="A5638" t="s">
        <v>238</v>
      </c>
      <c r="B5638" t="s">
        <v>207</v>
      </c>
      <c r="C5638">
        <v>113</v>
      </c>
      <c r="D5638" t="s">
        <v>9552</v>
      </c>
      <c r="E5638" t="s">
        <v>9553</v>
      </c>
      <c r="H5638" t="s">
        <v>9554</v>
      </c>
    </row>
    <row r="5639" spans="1:8">
      <c r="A5639" t="s">
        <v>238</v>
      </c>
      <c r="B5639" t="s">
        <v>216</v>
      </c>
      <c r="C5639">
        <v>113</v>
      </c>
      <c r="D5639" t="s">
        <v>9811</v>
      </c>
      <c r="E5639" t="s">
        <v>9812</v>
      </c>
      <c r="F5639" t="s">
        <v>216</v>
      </c>
      <c r="G5639" t="s">
        <v>9620</v>
      </c>
      <c r="H5639" t="s">
        <v>9621</v>
      </c>
    </row>
    <row r="5640" spans="1:8">
      <c r="A5640" t="s">
        <v>243</v>
      </c>
      <c r="B5640" t="s">
        <v>216</v>
      </c>
      <c r="C5640">
        <v>113</v>
      </c>
      <c r="D5640" t="s">
        <v>9813</v>
      </c>
      <c r="E5640" t="s">
        <v>9814</v>
      </c>
      <c r="H5640" t="s">
        <v>9815</v>
      </c>
    </row>
    <row r="5641" spans="1:8">
      <c r="A5641" t="s">
        <v>242</v>
      </c>
      <c r="B5641" t="s">
        <v>216</v>
      </c>
      <c r="C5641">
        <v>113</v>
      </c>
      <c r="D5641" t="s">
        <v>9816</v>
      </c>
      <c r="E5641" t="s">
        <v>9817</v>
      </c>
      <c r="F5641" t="s">
        <v>216</v>
      </c>
      <c r="H5641" t="s">
        <v>9818</v>
      </c>
    </row>
    <row r="5642" spans="1:8">
      <c r="A5642" t="s">
        <v>242</v>
      </c>
      <c r="B5642" t="s">
        <v>216</v>
      </c>
      <c r="C5642">
        <v>113</v>
      </c>
      <c r="D5642" t="s">
        <v>9819</v>
      </c>
      <c r="E5642" t="s">
        <v>9820</v>
      </c>
      <c r="G5642" t="s">
        <v>9821</v>
      </c>
      <c r="H5642" t="s">
        <v>9822</v>
      </c>
    </row>
    <row r="5643" spans="1:8">
      <c r="A5643" t="s">
        <v>242</v>
      </c>
      <c r="B5643" t="s">
        <v>216</v>
      </c>
      <c r="C5643">
        <v>113</v>
      </c>
      <c r="D5643" t="s">
        <v>9823</v>
      </c>
      <c r="E5643" t="s">
        <v>9824</v>
      </c>
      <c r="F5643" t="s">
        <v>216</v>
      </c>
      <c r="G5643" t="s">
        <v>9825</v>
      </c>
      <c r="H5643" t="s">
        <v>9826</v>
      </c>
    </row>
    <row r="5644" spans="1:8">
      <c r="A5644" t="s">
        <v>242</v>
      </c>
      <c r="B5644" t="s">
        <v>216</v>
      </c>
      <c r="C5644">
        <v>113</v>
      </c>
      <c r="D5644" t="s">
        <v>9827</v>
      </c>
      <c r="E5644" t="s">
        <v>9828</v>
      </c>
      <c r="F5644" t="s">
        <v>216</v>
      </c>
      <c r="G5644" t="s">
        <v>9829</v>
      </c>
      <c r="H5644" t="s">
        <v>9830</v>
      </c>
    </row>
    <row r="5645" spans="1:8">
      <c r="A5645" t="s">
        <v>241</v>
      </c>
      <c r="B5645" t="s">
        <v>216</v>
      </c>
      <c r="C5645">
        <v>113</v>
      </c>
      <c r="D5645" t="s">
        <v>9831</v>
      </c>
      <c r="E5645" t="s">
        <v>9832</v>
      </c>
      <c r="F5645" t="s">
        <v>216</v>
      </c>
      <c r="G5645" t="s">
        <v>9833</v>
      </c>
      <c r="H5645" t="s">
        <v>9834</v>
      </c>
    </row>
    <row r="5646" spans="1:8">
      <c r="A5646" t="s">
        <v>242</v>
      </c>
      <c r="B5646" t="s">
        <v>234</v>
      </c>
      <c r="C5646">
        <v>113</v>
      </c>
      <c r="D5646" t="s">
        <v>18158</v>
      </c>
      <c r="E5646" t="s">
        <v>18159</v>
      </c>
    </row>
    <row r="5647" spans="1:8">
      <c r="A5647" t="s">
        <v>246</v>
      </c>
      <c r="B5647" t="s">
        <v>234</v>
      </c>
      <c r="C5647">
        <v>113</v>
      </c>
      <c r="D5647" t="s">
        <v>18160</v>
      </c>
      <c r="E5647" t="s">
        <v>18161</v>
      </c>
      <c r="F5647" t="s">
        <v>234</v>
      </c>
      <c r="H5647" t="s">
        <v>18162</v>
      </c>
    </row>
    <row r="5648" spans="1:8">
      <c r="A5648" t="s">
        <v>241</v>
      </c>
      <c r="B5648" t="s">
        <v>234</v>
      </c>
      <c r="C5648">
        <v>113</v>
      </c>
      <c r="D5648" t="s">
        <v>18163</v>
      </c>
      <c r="E5648" t="s">
        <v>18164</v>
      </c>
      <c r="F5648" t="s">
        <v>234</v>
      </c>
      <c r="H5648" t="s">
        <v>18165</v>
      </c>
    </row>
    <row r="5649" spans="1:8">
      <c r="A5649" t="s">
        <v>242</v>
      </c>
      <c r="B5649" t="s">
        <v>234</v>
      </c>
      <c r="C5649">
        <v>113</v>
      </c>
      <c r="D5649" t="s">
        <v>18166</v>
      </c>
      <c r="E5649" t="s">
        <v>18167</v>
      </c>
      <c r="F5649" t="s">
        <v>234</v>
      </c>
    </row>
    <row r="5650" spans="1:8">
      <c r="A5650" t="s">
        <v>242</v>
      </c>
      <c r="B5650" t="s">
        <v>234</v>
      </c>
      <c r="C5650">
        <v>113</v>
      </c>
      <c r="D5650" t="s">
        <v>18168</v>
      </c>
      <c r="E5650" t="s">
        <v>18169</v>
      </c>
      <c r="G5650" t="s">
        <v>18170</v>
      </c>
      <c r="H5650" t="s">
        <v>18171</v>
      </c>
    </row>
    <row r="5651" spans="1:8">
      <c r="A5651" t="s">
        <v>244</v>
      </c>
      <c r="B5651" t="s">
        <v>234</v>
      </c>
      <c r="C5651">
        <v>113</v>
      </c>
      <c r="D5651" t="s">
        <v>18172</v>
      </c>
      <c r="H5651" t="s">
        <v>18173</v>
      </c>
    </row>
    <row r="5652" spans="1:8">
      <c r="A5652" t="s">
        <v>242</v>
      </c>
      <c r="B5652" t="s">
        <v>234</v>
      </c>
      <c r="C5652">
        <v>113</v>
      </c>
      <c r="D5652" t="s">
        <v>5061</v>
      </c>
      <c r="E5652" t="s">
        <v>18174</v>
      </c>
      <c r="F5652" t="s">
        <v>234</v>
      </c>
    </row>
    <row r="5653" spans="1:8">
      <c r="A5653" t="s">
        <v>243</v>
      </c>
      <c r="B5653" t="s">
        <v>234</v>
      </c>
      <c r="C5653">
        <v>113</v>
      </c>
      <c r="D5653" t="s">
        <v>15612</v>
      </c>
      <c r="E5653" t="s">
        <v>18175</v>
      </c>
      <c r="F5653" t="s">
        <v>234</v>
      </c>
    </row>
    <row r="5654" spans="1:8">
      <c r="A5654" t="s">
        <v>243</v>
      </c>
      <c r="B5654" t="s">
        <v>234</v>
      </c>
      <c r="C5654">
        <v>113</v>
      </c>
      <c r="D5654" t="s">
        <v>17700</v>
      </c>
      <c r="E5654" t="s">
        <v>18176</v>
      </c>
      <c r="F5654" t="s">
        <v>234</v>
      </c>
      <c r="H5654" t="s">
        <v>18177</v>
      </c>
    </row>
    <row r="5655" spans="1:8">
      <c r="A5655" t="s">
        <v>241</v>
      </c>
      <c r="B5655" t="s">
        <v>234</v>
      </c>
      <c r="C5655">
        <v>113</v>
      </c>
      <c r="D5655" t="s">
        <v>18178</v>
      </c>
      <c r="E5655" t="s">
        <v>18179</v>
      </c>
      <c r="F5655" t="s">
        <v>234</v>
      </c>
      <c r="H5655" t="s">
        <v>18180</v>
      </c>
    </row>
    <row r="5656" spans="1:8">
      <c r="A5656" t="s">
        <v>242</v>
      </c>
      <c r="B5656" t="s">
        <v>234</v>
      </c>
      <c r="C5656">
        <v>113</v>
      </c>
      <c r="D5656" t="s">
        <v>18181</v>
      </c>
      <c r="E5656" t="s">
        <v>18182</v>
      </c>
      <c r="F5656" t="s">
        <v>18183</v>
      </c>
      <c r="G5656" t="s">
        <v>18184</v>
      </c>
      <c r="H5656" t="s">
        <v>18185</v>
      </c>
    </row>
    <row r="5657" spans="1:8">
      <c r="A5657" t="s">
        <v>243</v>
      </c>
      <c r="B5657" t="s">
        <v>234</v>
      </c>
      <c r="C5657">
        <v>113</v>
      </c>
      <c r="D5657" t="s">
        <v>18186</v>
      </c>
      <c r="E5657" t="s">
        <v>18187</v>
      </c>
      <c r="G5657" t="s">
        <v>18188</v>
      </c>
      <c r="H5657" t="s">
        <v>18189</v>
      </c>
    </row>
    <row r="5658" spans="1:8">
      <c r="A5658" t="s">
        <v>243</v>
      </c>
      <c r="B5658" t="s">
        <v>234</v>
      </c>
      <c r="C5658">
        <v>113</v>
      </c>
      <c r="D5658" t="s">
        <v>18190</v>
      </c>
      <c r="E5658" t="s">
        <v>18191</v>
      </c>
      <c r="H5658" t="s">
        <v>18192</v>
      </c>
    </row>
    <row r="5659" spans="1:8">
      <c r="A5659" t="s">
        <v>240</v>
      </c>
      <c r="B5659" t="s">
        <v>218</v>
      </c>
      <c r="C5659">
        <v>114</v>
      </c>
      <c r="D5659" t="s">
        <v>9885</v>
      </c>
      <c r="E5659" t="s">
        <v>9723</v>
      </c>
      <c r="F5659" t="s">
        <v>218</v>
      </c>
      <c r="H5659" t="s">
        <v>9886</v>
      </c>
    </row>
    <row r="5660" spans="1:8">
      <c r="A5660" t="s">
        <v>242</v>
      </c>
      <c r="B5660" t="s">
        <v>218</v>
      </c>
      <c r="C5660">
        <v>114</v>
      </c>
      <c r="D5660" t="s">
        <v>9887</v>
      </c>
      <c r="E5660" t="s">
        <v>9888</v>
      </c>
      <c r="F5660" t="s">
        <v>218</v>
      </c>
      <c r="H5660" t="s">
        <v>9889</v>
      </c>
    </row>
    <row r="5661" spans="1:8">
      <c r="A5661" t="s">
        <v>241</v>
      </c>
      <c r="B5661" t="s">
        <v>218</v>
      </c>
      <c r="C5661">
        <v>114</v>
      </c>
      <c r="D5661" t="s">
        <v>8298</v>
      </c>
      <c r="E5661" t="s">
        <v>9890</v>
      </c>
      <c r="F5661" t="s">
        <v>218</v>
      </c>
    </row>
    <row r="5662" spans="1:8">
      <c r="A5662" t="s">
        <v>239</v>
      </c>
      <c r="B5662" t="s">
        <v>218</v>
      </c>
      <c r="C5662">
        <v>114</v>
      </c>
      <c r="D5662" t="s">
        <v>9891</v>
      </c>
      <c r="E5662" t="s">
        <v>9892</v>
      </c>
      <c r="F5662" t="s">
        <v>218</v>
      </c>
    </row>
    <row r="5663" spans="1:8">
      <c r="A5663" t="s">
        <v>244</v>
      </c>
      <c r="B5663" t="s">
        <v>218</v>
      </c>
      <c r="C5663">
        <v>114</v>
      </c>
      <c r="D5663" t="s">
        <v>9893</v>
      </c>
    </row>
    <row r="5664" spans="1:8">
      <c r="A5664" t="s">
        <v>242</v>
      </c>
      <c r="B5664" t="s">
        <v>218</v>
      </c>
      <c r="C5664">
        <v>114</v>
      </c>
      <c r="D5664" t="s">
        <v>1150</v>
      </c>
      <c r="E5664" t="s">
        <v>9894</v>
      </c>
      <c r="G5664" t="s">
        <v>9895</v>
      </c>
      <c r="H5664" t="s">
        <v>9896</v>
      </c>
    </row>
    <row r="5665" spans="1:8">
      <c r="A5665" t="s">
        <v>241</v>
      </c>
      <c r="B5665" t="s">
        <v>145</v>
      </c>
      <c r="C5665">
        <v>114</v>
      </c>
      <c r="D5665" t="s">
        <v>13247</v>
      </c>
      <c r="E5665" t="s">
        <v>13248</v>
      </c>
      <c r="F5665" t="s">
        <v>13249</v>
      </c>
      <c r="G5665" t="s">
        <v>13250</v>
      </c>
      <c r="H5665" t="s">
        <v>13251</v>
      </c>
    </row>
    <row r="5666" spans="1:8">
      <c r="A5666" t="s">
        <v>241</v>
      </c>
      <c r="B5666" t="s">
        <v>71</v>
      </c>
      <c r="C5666">
        <v>115</v>
      </c>
      <c r="D5666" t="s">
        <v>3472</v>
      </c>
      <c r="E5666" t="s">
        <v>3473</v>
      </c>
      <c r="H5666" t="s">
        <v>3474</v>
      </c>
    </row>
    <row r="5667" spans="1:8">
      <c r="A5667" t="s">
        <v>241</v>
      </c>
      <c r="B5667" t="s">
        <v>71</v>
      </c>
      <c r="C5667">
        <v>115</v>
      </c>
      <c r="D5667" t="s">
        <v>3475</v>
      </c>
      <c r="E5667" t="s">
        <v>3476</v>
      </c>
      <c r="G5667" t="s">
        <v>3477</v>
      </c>
      <c r="H5667" t="s">
        <v>3478</v>
      </c>
    </row>
    <row r="5668" spans="1:8">
      <c r="A5668" t="s">
        <v>238</v>
      </c>
      <c r="B5668" t="s">
        <v>71</v>
      </c>
      <c r="C5668">
        <v>115</v>
      </c>
      <c r="D5668" t="s">
        <v>3479</v>
      </c>
      <c r="E5668" t="s">
        <v>3480</v>
      </c>
      <c r="F5668" t="s">
        <v>3481</v>
      </c>
      <c r="G5668" t="s">
        <v>3482</v>
      </c>
      <c r="H5668" t="s">
        <v>3483</v>
      </c>
    </row>
    <row r="5669" spans="1:8">
      <c r="A5669" t="s">
        <v>242</v>
      </c>
      <c r="B5669" t="s">
        <v>71</v>
      </c>
      <c r="C5669">
        <v>115</v>
      </c>
      <c r="D5669" t="s">
        <v>3484</v>
      </c>
      <c r="E5669" t="s">
        <v>3485</v>
      </c>
      <c r="F5669" t="s">
        <v>3481</v>
      </c>
      <c r="H5669" t="s">
        <v>3486</v>
      </c>
    </row>
    <row r="5670" spans="1:8">
      <c r="A5670" t="s">
        <v>241</v>
      </c>
      <c r="B5670" t="s">
        <v>71</v>
      </c>
      <c r="C5670">
        <v>115</v>
      </c>
      <c r="D5670" t="s">
        <v>3487</v>
      </c>
      <c r="E5670" t="s">
        <v>3488</v>
      </c>
      <c r="F5670" t="s">
        <v>71</v>
      </c>
      <c r="H5670" t="s">
        <v>3489</v>
      </c>
    </row>
    <row r="5671" spans="1:8">
      <c r="A5671" t="s">
        <v>240</v>
      </c>
      <c r="B5671" t="s">
        <v>71</v>
      </c>
      <c r="C5671">
        <v>115</v>
      </c>
      <c r="D5671" t="s">
        <v>3490</v>
      </c>
      <c r="E5671" t="s">
        <v>3491</v>
      </c>
      <c r="F5671" t="s">
        <v>3481</v>
      </c>
      <c r="G5671" t="s">
        <v>3492</v>
      </c>
      <c r="H5671" t="s">
        <v>3493</v>
      </c>
    </row>
    <row r="5672" spans="1:8">
      <c r="A5672" t="s">
        <v>242</v>
      </c>
      <c r="B5672" t="s">
        <v>152</v>
      </c>
      <c r="C5672">
        <v>115</v>
      </c>
      <c r="D5672" t="s">
        <v>15789</v>
      </c>
      <c r="E5672" t="s">
        <v>15790</v>
      </c>
      <c r="F5672" t="s">
        <v>152</v>
      </c>
      <c r="G5672" t="s">
        <v>15791</v>
      </c>
      <c r="H5672" t="s">
        <v>15792</v>
      </c>
    </row>
    <row r="5673" spans="1:8">
      <c r="A5673" t="s">
        <v>239</v>
      </c>
      <c r="B5673" t="s">
        <v>152</v>
      </c>
      <c r="C5673">
        <v>115</v>
      </c>
      <c r="D5673" t="s">
        <v>15793</v>
      </c>
      <c r="E5673" t="s">
        <v>15794</v>
      </c>
      <c r="F5673" t="s">
        <v>152</v>
      </c>
      <c r="H5673" t="s">
        <v>15795</v>
      </c>
    </row>
    <row r="5674" spans="1:8">
      <c r="A5674" t="s">
        <v>241</v>
      </c>
      <c r="B5674" t="s">
        <v>152</v>
      </c>
      <c r="C5674">
        <v>115</v>
      </c>
      <c r="D5674" t="s">
        <v>15796</v>
      </c>
      <c r="E5674" t="s">
        <v>15797</v>
      </c>
      <c r="H5674" t="s">
        <v>15798</v>
      </c>
    </row>
    <row r="5675" spans="1:8">
      <c r="A5675" t="s">
        <v>243</v>
      </c>
      <c r="B5675" t="s">
        <v>152</v>
      </c>
      <c r="C5675">
        <v>115</v>
      </c>
      <c r="D5675" t="s">
        <v>15799</v>
      </c>
      <c r="E5675" t="s">
        <v>15800</v>
      </c>
      <c r="F5675" t="s">
        <v>15801</v>
      </c>
      <c r="G5675" t="s">
        <v>15802</v>
      </c>
      <c r="H5675" t="s">
        <v>15803</v>
      </c>
    </row>
    <row r="5676" spans="1:8">
      <c r="A5676" t="s">
        <v>242</v>
      </c>
      <c r="B5676" t="s">
        <v>152</v>
      </c>
      <c r="C5676">
        <v>115</v>
      </c>
      <c r="D5676" t="s">
        <v>15804</v>
      </c>
      <c r="E5676" t="s">
        <v>15805</v>
      </c>
      <c r="G5676" t="s">
        <v>15806</v>
      </c>
      <c r="H5676" t="s">
        <v>15807</v>
      </c>
    </row>
    <row r="5677" spans="1:8">
      <c r="A5677" t="s">
        <v>243</v>
      </c>
      <c r="B5677" t="s">
        <v>152</v>
      </c>
      <c r="C5677">
        <v>115</v>
      </c>
      <c r="D5677" t="s">
        <v>15808</v>
      </c>
      <c r="E5677" t="s">
        <v>15809</v>
      </c>
      <c r="H5677" t="s">
        <v>15810</v>
      </c>
    </row>
    <row r="5678" spans="1:8">
      <c r="A5678" t="s">
        <v>239</v>
      </c>
      <c r="B5678" t="s">
        <v>152</v>
      </c>
      <c r="C5678">
        <v>115</v>
      </c>
      <c r="D5678" t="s">
        <v>15811</v>
      </c>
      <c r="F5678" t="s">
        <v>15801</v>
      </c>
      <c r="H5678" t="s">
        <v>15812</v>
      </c>
    </row>
    <row r="5679" spans="1:8">
      <c r="A5679" t="s">
        <v>239</v>
      </c>
      <c r="B5679" t="s">
        <v>152</v>
      </c>
      <c r="C5679">
        <v>115</v>
      </c>
      <c r="D5679" t="s">
        <v>15813</v>
      </c>
      <c r="E5679" t="s">
        <v>15814</v>
      </c>
      <c r="F5679" t="s">
        <v>15815</v>
      </c>
      <c r="G5679" t="s">
        <v>15816</v>
      </c>
      <c r="H5679" t="s">
        <v>15817</v>
      </c>
    </row>
    <row r="5680" spans="1:8">
      <c r="A5680" t="s">
        <v>241</v>
      </c>
      <c r="B5680" t="s">
        <v>152</v>
      </c>
      <c r="C5680">
        <v>115</v>
      </c>
      <c r="D5680" t="s">
        <v>15818</v>
      </c>
      <c r="E5680" t="s">
        <v>15819</v>
      </c>
      <c r="G5680" t="s">
        <v>15820</v>
      </c>
      <c r="H5680" t="s">
        <v>15821</v>
      </c>
    </row>
    <row r="5681" spans="1:8">
      <c r="A5681" t="s">
        <v>242</v>
      </c>
      <c r="B5681" t="s">
        <v>152</v>
      </c>
      <c r="C5681">
        <v>115</v>
      </c>
      <c r="D5681" t="s">
        <v>15822</v>
      </c>
      <c r="E5681" t="s">
        <v>15823</v>
      </c>
      <c r="F5681" t="s">
        <v>15824</v>
      </c>
      <c r="H5681" t="s">
        <v>15825</v>
      </c>
    </row>
    <row r="5682" spans="1:8">
      <c r="A5682" t="s">
        <v>241</v>
      </c>
      <c r="B5682" t="s">
        <v>152</v>
      </c>
      <c r="C5682">
        <v>115</v>
      </c>
      <c r="D5682" t="s">
        <v>15826</v>
      </c>
      <c r="E5682" t="s">
        <v>15827</v>
      </c>
      <c r="F5682" t="s">
        <v>15828</v>
      </c>
      <c r="G5682" t="s">
        <v>15829</v>
      </c>
      <c r="H5682" t="s">
        <v>15830</v>
      </c>
    </row>
    <row r="5683" spans="1:8">
      <c r="A5683" t="s">
        <v>243</v>
      </c>
      <c r="B5683" t="s">
        <v>152</v>
      </c>
      <c r="C5683">
        <v>115</v>
      </c>
      <c r="D5683" t="s">
        <v>15831</v>
      </c>
      <c r="E5683" t="s">
        <v>15832</v>
      </c>
      <c r="H5683" t="s">
        <v>15833</v>
      </c>
    </row>
    <row r="5684" spans="1:8">
      <c r="A5684" t="s">
        <v>243</v>
      </c>
      <c r="B5684" t="s">
        <v>152</v>
      </c>
      <c r="C5684">
        <v>115</v>
      </c>
      <c r="D5684" t="s">
        <v>15834</v>
      </c>
      <c r="E5684" t="s">
        <v>15835</v>
      </c>
      <c r="H5684" t="s">
        <v>15836</v>
      </c>
    </row>
    <row r="5685" spans="1:8">
      <c r="A5685" t="s">
        <v>241</v>
      </c>
      <c r="B5685" t="s">
        <v>152</v>
      </c>
      <c r="C5685">
        <v>115</v>
      </c>
      <c r="D5685" t="s">
        <v>15837</v>
      </c>
      <c r="E5685" t="s">
        <v>15838</v>
      </c>
      <c r="G5685" t="s">
        <v>15839</v>
      </c>
      <c r="H5685" t="s">
        <v>15840</v>
      </c>
    </row>
    <row r="5686" spans="1:8">
      <c r="A5686" t="s">
        <v>241</v>
      </c>
      <c r="B5686" t="s">
        <v>152</v>
      </c>
      <c r="C5686">
        <v>115</v>
      </c>
      <c r="D5686" t="s">
        <v>15841</v>
      </c>
      <c r="E5686" t="s">
        <v>15842</v>
      </c>
      <c r="F5686" t="s">
        <v>15843</v>
      </c>
      <c r="G5686" t="s">
        <v>15844</v>
      </c>
      <c r="H5686" t="s">
        <v>15845</v>
      </c>
    </row>
    <row r="5687" spans="1:8">
      <c r="A5687" t="s">
        <v>241</v>
      </c>
      <c r="B5687" t="s">
        <v>152</v>
      </c>
      <c r="C5687">
        <v>115</v>
      </c>
      <c r="D5687" t="s">
        <v>15846</v>
      </c>
      <c r="E5687" t="s">
        <v>15847</v>
      </c>
      <c r="H5687" t="s">
        <v>15848</v>
      </c>
    </row>
    <row r="5688" spans="1:8">
      <c r="A5688" t="s">
        <v>239</v>
      </c>
      <c r="B5688" t="s">
        <v>152</v>
      </c>
      <c r="C5688">
        <v>115</v>
      </c>
      <c r="D5688" t="s">
        <v>15849</v>
      </c>
      <c r="E5688" t="s">
        <v>15850</v>
      </c>
      <c r="F5688" t="s">
        <v>15851</v>
      </c>
    </row>
    <row r="5689" spans="1:8">
      <c r="A5689" t="s">
        <v>238</v>
      </c>
      <c r="B5689" t="s">
        <v>152</v>
      </c>
      <c r="C5689">
        <v>115</v>
      </c>
      <c r="D5689" t="s">
        <v>15852</v>
      </c>
      <c r="E5689" t="s">
        <v>15853</v>
      </c>
      <c r="F5689" t="s">
        <v>15854</v>
      </c>
      <c r="H5689" t="s">
        <v>15855</v>
      </c>
    </row>
    <row r="5690" spans="1:8">
      <c r="A5690" t="s">
        <v>241</v>
      </c>
      <c r="B5690" t="s">
        <v>152</v>
      </c>
      <c r="C5690">
        <v>115</v>
      </c>
      <c r="D5690" t="s">
        <v>15856</v>
      </c>
      <c r="E5690" t="s">
        <v>15857</v>
      </c>
      <c r="H5690" t="s">
        <v>15858</v>
      </c>
    </row>
    <row r="5691" spans="1:8">
      <c r="A5691" t="s">
        <v>239</v>
      </c>
      <c r="B5691" t="s">
        <v>152</v>
      </c>
      <c r="C5691">
        <v>115</v>
      </c>
      <c r="D5691" t="s">
        <v>15859</v>
      </c>
      <c r="E5691" t="s">
        <v>15860</v>
      </c>
      <c r="H5691" t="s">
        <v>15858</v>
      </c>
    </row>
    <row r="5692" spans="1:8">
      <c r="A5692" t="s">
        <v>243</v>
      </c>
      <c r="B5692" t="s">
        <v>152</v>
      </c>
      <c r="C5692">
        <v>115</v>
      </c>
      <c r="D5692" t="s">
        <v>15861</v>
      </c>
      <c r="E5692" t="s">
        <v>15862</v>
      </c>
      <c r="F5692" t="s">
        <v>152</v>
      </c>
      <c r="H5692" t="s">
        <v>15863</v>
      </c>
    </row>
    <row r="5693" spans="1:8">
      <c r="A5693" t="s">
        <v>241</v>
      </c>
      <c r="B5693" t="s">
        <v>152</v>
      </c>
      <c r="C5693">
        <v>115</v>
      </c>
      <c r="D5693" t="s">
        <v>15864</v>
      </c>
      <c r="E5693" t="s">
        <v>15865</v>
      </c>
      <c r="F5693" t="s">
        <v>15866</v>
      </c>
      <c r="H5693" t="s">
        <v>15867</v>
      </c>
    </row>
    <row r="5694" spans="1:8">
      <c r="A5694" t="s">
        <v>249</v>
      </c>
      <c r="B5694" t="s">
        <v>152</v>
      </c>
      <c r="C5694">
        <v>115</v>
      </c>
      <c r="D5694" t="s">
        <v>15868</v>
      </c>
      <c r="E5694" t="s">
        <v>15869</v>
      </c>
      <c r="F5694" t="s">
        <v>15870</v>
      </c>
      <c r="H5694" t="s">
        <v>15871</v>
      </c>
    </row>
    <row r="5695" spans="1:8">
      <c r="A5695" t="s">
        <v>243</v>
      </c>
      <c r="B5695" t="s">
        <v>152</v>
      </c>
      <c r="C5695">
        <v>115</v>
      </c>
      <c r="D5695" t="s">
        <v>15872</v>
      </c>
      <c r="E5695" t="s">
        <v>15842</v>
      </c>
      <c r="H5695" t="s">
        <v>15873</v>
      </c>
    </row>
    <row r="5696" spans="1:8">
      <c r="A5696" t="s">
        <v>238</v>
      </c>
      <c r="B5696" t="s">
        <v>152</v>
      </c>
      <c r="C5696">
        <v>115</v>
      </c>
      <c r="D5696" t="s">
        <v>15874</v>
      </c>
      <c r="E5696" t="s">
        <v>15875</v>
      </c>
      <c r="F5696" t="s">
        <v>152</v>
      </c>
      <c r="G5696" t="s">
        <v>15876</v>
      </c>
      <c r="H5696" t="s">
        <v>15877</v>
      </c>
    </row>
    <row r="5697" spans="1:8">
      <c r="A5697" t="s">
        <v>241</v>
      </c>
      <c r="B5697" t="s">
        <v>152</v>
      </c>
      <c r="C5697">
        <v>115</v>
      </c>
      <c r="D5697" t="s">
        <v>15878</v>
      </c>
      <c r="E5697" t="s">
        <v>15879</v>
      </c>
      <c r="F5697" t="s">
        <v>152</v>
      </c>
      <c r="H5697" t="s">
        <v>15880</v>
      </c>
    </row>
    <row r="5698" spans="1:8">
      <c r="A5698" t="s">
        <v>241</v>
      </c>
      <c r="B5698" t="s">
        <v>152</v>
      </c>
      <c r="C5698">
        <v>115</v>
      </c>
      <c r="D5698" t="s">
        <v>15881</v>
      </c>
      <c r="E5698" t="s">
        <v>15882</v>
      </c>
      <c r="G5698" t="s">
        <v>15883</v>
      </c>
      <c r="H5698" t="s">
        <v>15884</v>
      </c>
    </row>
    <row r="5699" spans="1:8">
      <c r="A5699" t="s">
        <v>239</v>
      </c>
      <c r="B5699" t="s">
        <v>152</v>
      </c>
      <c r="C5699">
        <v>115</v>
      </c>
      <c r="D5699" t="s">
        <v>15885</v>
      </c>
      <c r="E5699" t="s">
        <v>15886</v>
      </c>
      <c r="H5699" t="s">
        <v>15880</v>
      </c>
    </row>
    <row r="5700" spans="1:8">
      <c r="A5700" t="s">
        <v>239</v>
      </c>
      <c r="B5700" t="s">
        <v>152</v>
      </c>
      <c r="C5700">
        <v>115</v>
      </c>
      <c r="D5700" t="s">
        <v>15887</v>
      </c>
      <c r="E5700" t="s">
        <v>15888</v>
      </c>
    </row>
    <row r="5701" spans="1:8">
      <c r="A5701" t="s">
        <v>238</v>
      </c>
      <c r="B5701" t="s">
        <v>152</v>
      </c>
      <c r="C5701">
        <v>115</v>
      </c>
      <c r="D5701" t="s">
        <v>15889</v>
      </c>
      <c r="E5701" t="s">
        <v>15890</v>
      </c>
      <c r="F5701" t="s">
        <v>15891</v>
      </c>
      <c r="G5701" t="s">
        <v>15892</v>
      </c>
      <c r="H5701" t="s">
        <v>15893</v>
      </c>
    </row>
    <row r="5702" spans="1:8">
      <c r="A5702" t="s">
        <v>239</v>
      </c>
      <c r="B5702" t="s">
        <v>152</v>
      </c>
      <c r="C5702">
        <v>115</v>
      </c>
      <c r="D5702" t="s">
        <v>15894</v>
      </c>
      <c r="E5702" t="s">
        <v>15895</v>
      </c>
      <c r="F5702" t="s">
        <v>15896</v>
      </c>
    </row>
    <row r="5703" spans="1:8">
      <c r="A5703" t="s">
        <v>241</v>
      </c>
      <c r="B5703" t="s">
        <v>152</v>
      </c>
      <c r="C5703">
        <v>115</v>
      </c>
      <c r="D5703" t="s">
        <v>15897</v>
      </c>
      <c r="E5703" t="s">
        <v>15898</v>
      </c>
      <c r="F5703" t="s">
        <v>15899</v>
      </c>
      <c r="G5703" t="s">
        <v>15900</v>
      </c>
      <c r="H5703" t="s">
        <v>15901</v>
      </c>
    </row>
    <row r="5704" spans="1:8">
      <c r="A5704" t="s">
        <v>241</v>
      </c>
      <c r="B5704" t="s">
        <v>152</v>
      </c>
      <c r="C5704">
        <v>115</v>
      </c>
      <c r="D5704" t="s">
        <v>1685</v>
      </c>
      <c r="E5704" t="s">
        <v>15902</v>
      </c>
      <c r="F5704" t="s">
        <v>152</v>
      </c>
      <c r="G5704" t="s">
        <v>15903</v>
      </c>
      <c r="H5704" t="s">
        <v>15904</v>
      </c>
    </row>
    <row r="5705" spans="1:8">
      <c r="A5705" t="s">
        <v>242</v>
      </c>
      <c r="B5705" t="s">
        <v>152</v>
      </c>
      <c r="C5705">
        <v>115</v>
      </c>
      <c r="D5705" t="s">
        <v>15905</v>
      </c>
      <c r="E5705" t="s">
        <v>15906</v>
      </c>
      <c r="F5705" t="s">
        <v>152</v>
      </c>
      <c r="G5705" t="s">
        <v>15907</v>
      </c>
      <c r="H5705" t="s">
        <v>15908</v>
      </c>
    </row>
    <row r="5706" spans="1:8">
      <c r="A5706" t="s">
        <v>242</v>
      </c>
      <c r="B5706" t="s">
        <v>152</v>
      </c>
      <c r="C5706">
        <v>115</v>
      </c>
      <c r="D5706" t="s">
        <v>2795</v>
      </c>
      <c r="E5706" t="s">
        <v>15909</v>
      </c>
      <c r="F5706" t="s">
        <v>152</v>
      </c>
      <c r="H5706" t="s">
        <v>15910</v>
      </c>
    </row>
    <row r="5707" spans="1:8">
      <c r="A5707" t="s">
        <v>242</v>
      </c>
      <c r="B5707" t="s">
        <v>152</v>
      </c>
      <c r="C5707">
        <v>115</v>
      </c>
      <c r="D5707" t="s">
        <v>15911</v>
      </c>
      <c r="E5707" t="s">
        <v>15912</v>
      </c>
      <c r="F5707" t="s">
        <v>152</v>
      </c>
      <c r="G5707" t="s">
        <v>15913</v>
      </c>
      <c r="H5707" t="s">
        <v>15914</v>
      </c>
    </row>
    <row r="5708" spans="1:8">
      <c r="A5708" t="s">
        <v>242</v>
      </c>
      <c r="B5708" t="s">
        <v>152</v>
      </c>
      <c r="C5708">
        <v>115</v>
      </c>
      <c r="D5708" t="s">
        <v>15915</v>
      </c>
      <c r="F5708" t="s">
        <v>15916</v>
      </c>
      <c r="G5708" t="s">
        <v>15917</v>
      </c>
      <c r="H5708" t="s">
        <v>15918</v>
      </c>
    </row>
    <row r="5709" spans="1:8">
      <c r="A5709" t="s">
        <v>246</v>
      </c>
      <c r="B5709" t="s">
        <v>152</v>
      </c>
      <c r="C5709">
        <v>115</v>
      </c>
      <c r="D5709" t="s">
        <v>15919</v>
      </c>
      <c r="E5709" t="s">
        <v>15920</v>
      </c>
      <c r="F5709" t="s">
        <v>152</v>
      </c>
      <c r="G5709" t="s">
        <v>15921</v>
      </c>
      <c r="H5709" t="s">
        <v>15922</v>
      </c>
    </row>
    <row r="5710" spans="1:8">
      <c r="A5710" t="s">
        <v>246</v>
      </c>
      <c r="B5710" t="s">
        <v>152</v>
      </c>
      <c r="C5710">
        <v>115</v>
      </c>
      <c r="D5710" t="s">
        <v>15923</v>
      </c>
      <c r="E5710" t="s">
        <v>15924</v>
      </c>
      <c r="F5710" t="s">
        <v>152</v>
      </c>
      <c r="H5710" t="s">
        <v>15925</v>
      </c>
    </row>
    <row r="5711" spans="1:8">
      <c r="A5711" t="s">
        <v>242</v>
      </c>
      <c r="B5711" t="s">
        <v>152</v>
      </c>
      <c r="C5711">
        <v>115</v>
      </c>
      <c r="D5711" t="s">
        <v>15926</v>
      </c>
      <c r="E5711" t="s">
        <v>15927</v>
      </c>
      <c r="F5711" t="s">
        <v>152</v>
      </c>
      <c r="G5711" t="s">
        <v>15928</v>
      </c>
      <c r="H5711" t="s">
        <v>15929</v>
      </c>
    </row>
    <row r="5712" spans="1:8">
      <c r="A5712" t="s">
        <v>243</v>
      </c>
      <c r="B5712" t="s">
        <v>152</v>
      </c>
      <c r="C5712">
        <v>115</v>
      </c>
      <c r="D5712" t="s">
        <v>15930</v>
      </c>
      <c r="E5712" t="s">
        <v>15931</v>
      </c>
      <c r="F5712" t="s">
        <v>152</v>
      </c>
      <c r="H5712" t="s">
        <v>15932</v>
      </c>
    </row>
    <row r="5713" spans="1:8">
      <c r="A5713" t="s">
        <v>241</v>
      </c>
      <c r="B5713" t="s">
        <v>152</v>
      </c>
      <c r="C5713">
        <v>115</v>
      </c>
      <c r="D5713" t="s">
        <v>15933</v>
      </c>
      <c r="E5713" t="s">
        <v>15934</v>
      </c>
      <c r="F5713" t="s">
        <v>152</v>
      </c>
      <c r="H5713" t="s">
        <v>15935</v>
      </c>
    </row>
    <row r="5714" spans="1:8">
      <c r="A5714" t="s">
        <v>240</v>
      </c>
      <c r="B5714" t="s">
        <v>152</v>
      </c>
      <c r="C5714">
        <v>115</v>
      </c>
      <c r="D5714" t="s">
        <v>15936</v>
      </c>
      <c r="E5714" t="s">
        <v>15937</v>
      </c>
      <c r="F5714" t="s">
        <v>152</v>
      </c>
      <c r="H5714" t="s">
        <v>15938</v>
      </c>
    </row>
    <row r="5715" spans="1:8">
      <c r="A5715" t="s">
        <v>241</v>
      </c>
      <c r="B5715" t="s">
        <v>152</v>
      </c>
      <c r="C5715">
        <v>115</v>
      </c>
      <c r="D5715" t="s">
        <v>15939</v>
      </c>
      <c r="E5715" t="s">
        <v>15940</v>
      </c>
      <c r="F5715" t="s">
        <v>152</v>
      </c>
    </row>
    <row r="5716" spans="1:8">
      <c r="A5716" t="s">
        <v>240</v>
      </c>
      <c r="B5716" t="s">
        <v>152</v>
      </c>
      <c r="C5716">
        <v>115</v>
      </c>
      <c r="D5716" t="s">
        <v>12101</v>
      </c>
      <c r="E5716" t="s">
        <v>15941</v>
      </c>
      <c r="F5716" t="s">
        <v>152</v>
      </c>
      <c r="G5716" t="s">
        <v>15942</v>
      </c>
      <c r="H5716" t="s">
        <v>15863</v>
      </c>
    </row>
    <row r="5717" spans="1:8">
      <c r="A5717" t="s">
        <v>244</v>
      </c>
      <c r="B5717" t="s">
        <v>152</v>
      </c>
      <c r="C5717">
        <v>115</v>
      </c>
      <c r="D5717" t="s">
        <v>1282</v>
      </c>
      <c r="F5717" t="s">
        <v>152</v>
      </c>
    </row>
    <row r="5718" spans="1:8">
      <c r="A5718" t="s">
        <v>240</v>
      </c>
      <c r="B5718" t="s">
        <v>152</v>
      </c>
      <c r="C5718">
        <v>115</v>
      </c>
      <c r="D5718" t="s">
        <v>15943</v>
      </c>
      <c r="E5718" t="s">
        <v>15944</v>
      </c>
      <c r="F5718" t="s">
        <v>152</v>
      </c>
      <c r="G5718" t="s">
        <v>15945</v>
      </c>
      <c r="H5718" t="s">
        <v>15946</v>
      </c>
    </row>
    <row r="5719" spans="1:8">
      <c r="A5719" t="s">
        <v>243</v>
      </c>
      <c r="B5719" t="s">
        <v>152</v>
      </c>
      <c r="C5719">
        <v>115</v>
      </c>
      <c r="D5719" t="s">
        <v>15947</v>
      </c>
      <c r="E5719" t="s">
        <v>15937</v>
      </c>
      <c r="F5719" t="s">
        <v>152</v>
      </c>
    </row>
    <row r="5720" spans="1:8">
      <c r="A5720" t="s">
        <v>238</v>
      </c>
      <c r="B5720" t="s">
        <v>152</v>
      </c>
      <c r="C5720">
        <v>115</v>
      </c>
      <c r="D5720" t="s">
        <v>15948</v>
      </c>
      <c r="E5720" t="s">
        <v>15949</v>
      </c>
      <c r="F5720" t="s">
        <v>15950</v>
      </c>
      <c r="G5720" t="s">
        <v>15951</v>
      </c>
      <c r="H5720" t="s">
        <v>15952</v>
      </c>
    </row>
    <row r="5721" spans="1:8">
      <c r="A5721" t="s">
        <v>240</v>
      </c>
      <c r="B5721" t="s">
        <v>152</v>
      </c>
      <c r="C5721">
        <v>115</v>
      </c>
      <c r="D5721" t="s">
        <v>15953</v>
      </c>
      <c r="E5721" t="s">
        <v>15954</v>
      </c>
      <c r="F5721" t="s">
        <v>152</v>
      </c>
      <c r="H5721" t="s">
        <v>15955</v>
      </c>
    </row>
    <row r="5722" spans="1:8">
      <c r="A5722" t="s">
        <v>243</v>
      </c>
      <c r="B5722" t="s">
        <v>152</v>
      </c>
      <c r="C5722">
        <v>115</v>
      </c>
      <c r="D5722" t="s">
        <v>15956</v>
      </c>
      <c r="E5722" t="s">
        <v>15957</v>
      </c>
      <c r="F5722" t="s">
        <v>152</v>
      </c>
      <c r="G5722" t="s">
        <v>15958</v>
      </c>
      <c r="H5722" t="s">
        <v>15959</v>
      </c>
    </row>
    <row r="5723" spans="1:8">
      <c r="A5723" t="s">
        <v>238</v>
      </c>
      <c r="B5723" t="s">
        <v>152</v>
      </c>
      <c r="C5723">
        <v>115</v>
      </c>
      <c r="D5723" t="s">
        <v>15960</v>
      </c>
      <c r="E5723" t="s">
        <v>15961</v>
      </c>
      <c r="F5723" t="s">
        <v>152</v>
      </c>
      <c r="G5723" t="s">
        <v>15962</v>
      </c>
      <c r="H5723" t="s">
        <v>15963</v>
      </c>
    </row>
    <row r="5724" spans="1:8">
      <c r="A5724" t="s">
        <v>240</v>
      </c>
      <c r="B5724" t="s">
        <v>152</v>
      </c>
      <c r="C5724">
        <v>115</v>
      </c>
      <c r="D5724" t="s">
        <v>15964</v>
      </c>
      <c r="E5724" t="s">
        <v>15965</v>
      </c>
      <c r="F5724" t="s">
        <v>152</v>
      </c>
      <c r="G5724" t="s">
        <v>15966</v>
      </c>
      <c r="H5724" t="s">
        <v>15967</v>
      </c>
    </row>
    <row r="5725" spans="1:8">
      <c r="A5725" t="s">
        <v>238</v>
      </c>
      <c r="B5725" t="s">
        <v>152</v>
      </c>
      <c r="C5725">
        <v>115</v>
      </c>
      <c r="D5725" t="s">
        <v>15968</v>
      </c>
      <c r="E5725" t="s">
        <v>15969</v>
      </c>
      <c r="F5725" t="s">
        <v>152</v>
      </c>
      <c r="H5725" t="s">
        <v>15970</v>
      </c>
    </row>
    <row r="5726" spans="1:8">
      <c r="A5726" t="s">
        <v>241</v>
      </c>
      <c r="B5726" t="s">
        <v>152</v>
      </c>
      <c r="C5726">
        <v>115</v>
      </c>
      <c r="D5726" t="s">
        <v>15971</v>
      </c>
      <c r="E5726" t="s">
        <v>15972</v>
      </c>
      <c r="F5726" t="s">
        <v>152</v>
      </c>
      <c r="G5726" t="s">
        <v>15973</v>
      </c>
      <c r="H5726" t="s">
        <v>15974</v>
      </c>
    </row>
    <row r="5727" spans="1:8">
      <c r="A5727" t="s">
        <v>241</v>
      </c>
      <c r="B5727" t="s">
        <v>152</v>
      </c>
      <c r="C5727">
        <v>115</v>
      </c>
      <c r="D5727" t="s">
        <v>15975</v>
      </c>
      <c r="E5727" t="s">
        <v>15976</v>
      </c>
      <c r="F5727" t="s">
        <v>15977</v>
      </c>
    </row>
    <row r="5728" spans="1:8">
      <c r="A5728" t="s">
        <v>241</v>
      </c>
      <c r="B5728" t="s">
        <v>106</v>
      </c>
      <c r="C5728">
        <v>115</v>
      </c>
      <c r="D5728" t="s">
        <v>18478</v>
      </c>
      <c r="E5728" t="s">
        <v>15927</v>
      </c>
      <c r="H5728" t="s">
        <v>18479</v>
      </c>
    </row>
    <row r="5729" spans="1:8">
      <c r="A5729" t="s">
        <v>239</v>
      </c>
      <c r="B5729" t="s">
        <v>106</v>
      </c>
      <c r="C5729">
        <v>115</v>
      </c>
      <c r="D5729" t="s">
        <v>18480</v>
      </c>
      <c r="E5729" t="s">
        <v>18481</v>
      </c>
      <c r="F5729" t="s">
        <v>18482</v>
      </c>
      <c r="G5729" t="s">
        <v>18483</v>
      </c>
      <c r="H5729" t="s">
        <v>18484</v>
      </c>
    </row>
    <row r="5730" spans="1:8">
      <c r="A5730" t="s">
        <v>241</v>
      </c>
      <c r="B5730" t="s">
        <v>106</v>
      </c>
      <c r="C5730">
        <v>115</v>
      </c>
      <c r="D5730" t="s">
        <v>18485</v>
      </c>
      <c r="E5730" t="s">
        <v>18486</v>
      </c>
      <c r="F5730" t="s">
        <v>18487</v>
      </c>
      <c r="G5730" t="s">
        <v>18488</v>
      </c>
      <c r="H5730" t="s">
        <v>18489</v>
      </c>
    </row>
    <row r="5731" spans="1:8">
      <c r="A5731" t="s">
        <v>241</v>
      </c>
      <c r="B5731" t="s">
        <v>106</v>
      </c>
      <c r="C5731">
        <v>115</v>
      </c>
      <c r="D5731" t="s">
        <v>18490</v>
      </c>
      <c r="E5731" t="s">
        <v>18491</v>
      </c>
      <c r="F5731" t="s">
        <v>18492</v>
      </c>
      <c r="H5731" t="s">
        <v>18493</v>
      </c>
    </row>
    <row r="5732" spans="1:8">
      <c r="A5732" t="s">
        <v>242</v>
      </c>
      <c r="B5732" t="s">
        <v>106</v>
      </c>
      <c r="C5732">
        <v>115</v>
      </c>
      <c r="D5732" t="s">
        <v>18494</v>
      </c>
      <c r="E5732" t="s">
        <v>18495</v>
      </c>
      <c r="F5732" t="s">
        <v>18496</v>
      </c>
      <c r="H5732" t="s">
        <v>18497</v>
      </c>
    </row>
    <row r="5733" spans="1:8">
      <c r="A5733" t="s">
        <v>238</v>
      </c>
      <c r="B5733" t="s">
        <v>106</v>
      </c>
      <c r="C5733">
        <v>115</v>
      </c>
      <c r="D5733" t="s">
        <v>18498</v>
      </c>
      <c r="E5733" t="s">
        <v>18499</v>
      </c>
      <c r="F5733" t="s">
        <v>10521</v>
      </c>
      <c r="G5733" t="s">
        <v>18500</v>
      </c>
      <c r="H5733" t="s">
        <v>18501</v>
      </c>
    </row>
    <row r="5734" spans="1:8">
      <c r="A5734" t="s">
        <v>241</v>
      </c>
      <c r="B5734" t="s">
        <v>106</v>
      </c>
      <c r="C5734">
        <v>115</v>
      </c>
      <c r="D5734" t="s">
        <v>18502</v>
      </c>
      <c r="E5734" t="s">
        <v>18503</v>
      </c>
      <c r="F5734" t="s">
        <v>10521</v>
      </c>
      <c r="G5734" t="s">
        <v>18504</v>
      </c>
      <c r="H5734" t="s">
        <v>18505</v>
      </c>
    </row>
    <row r="5735" spans="1:8">
      <c r="A5735" t="s">
        <v>241</v>
      </c>
      <c r="B5735" t="s">
        <v>106</v>
      </c>
      <c r="C5735">
        <v>115</v>
      </c>
      <c r="D5735" t="s">
        <v>18506</v>
      </c>
      <c r="E5735" t="s">
        <v>18507</v>
      </c>
      <c r="F5735" t="s">
        <v>10521</v>
      </c>
      <c r="G5735" t="s">
        <v>18508</v>
      </c>
      <c r="H5735" t="s">
        <v>18509</v>
      </c>
    </row>
    <row r="5736" spans="1:8">
      <c r="A5736" t="s">
        <v>239</v>
      </c>
      <c r="B5736" t="s">
        <v>106</v>
      </c>
      <c r="C5736">
        <v>115</v>
      </c>
      <c r="D5736" t="s">
        <v>18510</v>
      </c>
      <c r="E5736" t="s">
        <v>18511</v>
      </c>
      <c r="F5736" t="s">
        <v>106</v>
      </c>
      <c r="H5736" t="s">
        <v>18512</v>
      </c>
    </row>
    <row r="5737" spans="1:8">
      <c r="A5737" t="s">
        <v>242</v>
      </c>
      <c r="B5737" t="s">
        <v>106</v>
      </c>
      <c r="C5737">
        <v>115</v>
      </c>
      <c r="D5737" t="s">
        <v>18513</v>
      </c>
      <c r="E5737" t="s">
        <v>18514</v>
      </c>
      <c r="H5737" t="s">
        <v>18515</v>
      </c>
    </row>
    <row r="5738" spans="1:8">
      <c r="A5738" t="s">
        <v>242</v>
      </c>
      <c r="B5738" t="s">
        <v>106</v>
      </c>
      <c r="C5738">
        <v>115</v>
      </c>
      <c r="D5738" t="s">
        <v>18516</v>
      </c>
      <c r="E5738" t="s">
        <v>18517</v>
      </c>
      <c r="F5738" t="s">
        <v>10521</v>
      </c>
      <c r="G5738" t="s">
        <v>18518</v>
      </c>
      <c r="H5738" t="s">
        <v>18519</v>
      </c>
    </row>
    <row r="5739" spans="1:8">
      <c r="A5739" t="s">
        <v>241</v>
      </c>
      <c r="B5739" t="s">
        <v>106</v>
      </c>
      <c r="C5739">
        <v>115</v>
      </c>
      <c r="D5739" t="s">
        <v>18520</v>
      </c>
      <c r="E5739" t="s">
        <v>18521</v>
      </c>
      <c r="F5739" t="s">
        <v>18522</v>
      </c>
      <c r="G5739" t="s">
        <v>18523</v>
      </c>
      <c r="H5739" t="s">
        <v>18524</v>
      </c>
    </row>
    <row r="5740" spans="1:8">
      <c r="A5740" t="s">
        <v>241</v>
      </c>
      <c r="B5740" t="s">
        <v>106</v>
      </c>
      <c r="C5740">
        <v>115</v>
      </c>
      <c r="D5740" t="s">
        <v>18525</v>
      </c>
      <c r="E5740" t="s">
        <v>18526</v>
      </c>
      <c r="F5740" t="s">
        <v>18527</v>
      </c>
      <c r="G5740" t="s">
        <v>18528</v>
      </c>
      <c r="H5740" t="s">
        <v>18529</v>
      </c>
    </row>
    <row r="5741" spans="1:8">
      <c r="A5741" t="s">
        <v>241</v>
      </c>
      <c r="B5741" t="s">
        <v>106</v>
      </c>
      <c r="C5741">
        <v>115</v>
      </c>
      <c r="D5741" t="s">
        <v>18530</v>
      </c>
      <c r="E5741" t="s">
        <v>18531</v>
      </c>
      <c r="F5741" t="s">
        <v>18532</v>
      </c>
      <c r="G5741" t="s">
        <v>18533</v>
      </c>
      <c r="H5741" t="s">
        <v>18534</v>
      </c>
    </row>
    <row r="5742" spans="1:8">
      <c r="A5742" t="s">
        <v>241</v>
      </c>
      <c r="B5742" t="s">
        <v>106</v>
      </c>
      <c r="C5742">
        <v>115</v>
      </c>
      <c r="D5742" t="s">
        <v>18535</v>
      </c>
      <c r="E5742" t="s">
        <v>18536</v>
      </c>
      <c r="G5742" t="s">
        <v>18537</v>
      </c>
      <c r="H5742" t="s">
        <v>18538</v>
      </c>
    </row>
    <row r="5743" spans="1:8">
      <c r="A5743" t="s">
        <v>240</v>
      </c>
      <c r="B5743" t="s">
        <v>106</v>
      </c>
      <c r="C5743">
        <v>115</v>
      </c>
      <c r="D5743" t="s">
        <v>18539</v>
      </c>
      <c r="E5743" t="s">
        <v>18540</v>
      </c>
      <c r="F5743" t="s">
        <v>18541</v>
      </c>
      <c r="G5743" t="s">
        <v>18542</v>
      </c>
      <c r="H5743" t="s">
        <v>18543</v>
      </c>
    </row>
    <row r="5744" spans="1:8">
      <c r="A5744" t="s">
        <v>241</v>
      </c>
      <c r="B5744" t="s">
        <v>106</v>
      </c>
      <c r="C5744">
        <v>115</v>
      </c>
      <c r="D5744" t="s">
        <v>18544</v>
      </c>
      <c r="E5744" t="s">
        <v>18545</v>
      </c>
      <c r="F5744" t="s">
        <v>18546</v>
      </c>
      <c r="G5744" t="s">
        <v>18547</v>
      </c>
      <c r="H5744" t="s">
        <v>18548</v>
      </c>
    </row>
    <row r="5745" spans="1:8">
      <c r="A5745" t="s">
        <v>242</v>
      </c>
      <c r="B5745" t="s">
        <v>113</v>
      </c>
      <c r="C5745">
        <v>116</v>
      </c>
      <c r="D5745" t="s">
        <v>2967</v>
      </c>
      <c r="E5745" t="s">
        <v>2968</v>
      </c>
      <c r="F5745" t="s">
        <v>113</v>
      </c>
      <c r="G5745" t="s">
        <v>2969</v>
      </c>
      <c r="H5745" t="s">
        <v>2970</v>
      </c>
    </row>
    <row r="5746" spans="1:8">
      <c r="A5746" t="s">
        <v>245</v>
      </c>
      <c r="B5746" t="s">
        <v>113</v>
      </c>
      <c r="C5746">
        <v>116</v>
      </c>
      <c r="D5746" t="s">
        <v>2971</v>
      </c>
      <c r="E5746" t="s">
        <v>2972</v>
      </c>
      <c r="H5746" t="s">
        <v>2973</v>
      </c>
    </row>
    <row r="5747" spans="1:8">
      <c r="A5747" t="s">
        <v>242</v>
      </c>
      <c r="B5747" t="s">
        <v>113</v>
      </c>
      <c r="C5747">
        <v>116</v>
      </c>
      <c r="D5747" t="s">
        <v>2974</v>
      </c>
      <c r="E5747" t="s">
        <v>2975</v>
      </c>
      <c r="F5747" t="s">
        <v>113</v>
      </c>
      <c r="H5747" t="s">
        <v>2976</v>
      </c>
    </row>
    <row r="5748" spans="1:8">
      <c r="A5748" t="s">
        <v>241</v>
      </c>
      <c r="B5748" t="s">
        <v>113</v>
      </c>
      <c r="C5748">
        <v>116</v>
      </c>
      <c r="D5748" t="s">
        <v>2977</v>
      </c>
      <c r="E5748" t="s">
        <v>2968</v>
      </c>
      <c r="F5748" t="s">
        <v>113</v>
      </c>
      <c r="G5748" t="s">
        <v>2969</v>
      </c>
      <c r="H5748" t="s">
        <v>2970</v>
      </c>
    </row>
    <row r="5749" spans="1:8">
      <c r="A5749" t="s">
        <v>241</v>
      </c>
      <c r="B5749" t="s">
        <v>113</v>
      </c>
      <c r="C5749">
        <v>116</v>
      </c>
      <c r="D5749" t="s">
        <v>2978</v>
      </c>
      <c r="E5749" t="s">
        <v>2979</v>
      </c>
      <c r="F5749" t="s">
        <v>113</v>
      </c>
      <c r="G5749" t="s">
        <v>2980</v>
      </c>
      <c r="H5749" t="s">
        <v>2981</v>
      </c>
    </row>
    <row r="5750" spans="1:8">
      <c r="A5750" t="s">
        <v>239</v>
      </c>
      <c r="B5750" t="s">
        <v>113</v>
      </c>
      <c r="C5750">
        <v>116</v>
      </c>
      <c r="D5750" t="s">
        <v>2982</v>
      </c>
      <c r="E5750" t="s">
        <v>2983</v>
      </c>
      <c r="H5750" t="s">
        <v>2984</v>
      </c>
    </row>
    <row r="5751" spans="1:8">
      <c r="A5751" t="s">
        <v>239</v>
      </c>
      <c r="B5751" t="s">
        <v>27</v>
      </c>
      <c r="C5751">
        <v>116</v>
      </c>
      <c r="D5751" t="s">
        <v>9290</v>
      </c>
      <c r="E5751" t="s">
        <v>9291</v>
      </c>
      <c r="F5751" t="s">
        <v>27</v>
      </c>
      <c r="H5751" t="s">
        <v>9292</v>
      </c>
    </row>
    <row r="5752" spans="1:8">
      <c r="A5752" t="s">
        <v>243</v>
      </c>
      <c r="B5752" t="s">
        <v>27</v>
      </c>
      <c r="C5752">
        <v>116</v>
      </c>
      <c r="D5752" t="s">
        <v>9293</v>
      </c>
      <c r="E5752" t="s">
        <v>9294</v>
      </c>
      <c r="G5752" t="s">
        <v>9295</v>
      </c>
      <c r="H5752" t="s">
        <v>9296</v>
      </c>
    </row>
    <row r="5753" spans="1:8">
      <c r="A5753" t="s">
        <v>242</v>
      </c>
      <c r="B5753" t="s">
        <v>27</v>
      </c>
      <c r="C5753">
        <v>116</v>
      </c>
      <c r="D5753" t="s">
        <v>9297</v>
      </c>
      <c r="E5753" t="s">
        <v>9298</v>
      </c>
      <c r="F5753" t="s">
        <v>27</v>
      </c>
      <c r="H5753" t="s">
        <v>9299</v>
      </c>
    </row>
    <row r="5754" spans="1:8">
      <c r="A5754" t="s">
        <v>242</v>
      </c>
      <c r="B5754" t="s">
        <v>27</v>
      </c>
      <c r="C5754">
        <v>116</v>
      </c>
      <c r="D5754" t="s">
        <v>9300</v>
      </c>
      <c r="E5754" t="s">
        <v>9301</v>
      </c>
      <c r="F5754" t="s">
        <v>27</v>
      </c>
      <c r="G5754" t="s">
        <v>9302</v>
      </c>
      <c r="H5754" t="s">
        <v>9303</v>
      </c>
    </row>
    <row r="5755" spans="1:8">
      <c r="A5755" t="s">
        <v>241</v>
      </c>
      <c r="B5755" t="s">
        <v>27</v>
      </c>
      <c r="C5755">
        <v>116</v>
      </c>
      <c r="D5755" t="s">
        <v>9304</v>
      </c>
      <c r="E5755" t="s">
        <v>9305</v>
      </c>
      <c r="F5755" t="s">
        <v>9306</v>
      </c>
      <c r="G5755" t="s">
        <v>9307</v>
      </c>
      <c r="H5755" t="s">
        <v>9308</v>
      </c>
    </row>
    <row r="5756" spans="1:8">
      <c r="A5756" t="s">
        <v>238</v>
      </c>
      <c r="B5756" t="s">
        <v>27</v>
      </c>
      <c r="C5756">
        <v>116</v>
      </c>
      <c r="D5756" t="s">
        <v>9309</v>
      </c>
      <c r="E5756" t="s">
        <v>9310</v>
      </c>
      <c r="G5756" t="s">
        <v>9311</v>
      </c>
      <c r="H5756" t="s">
        <v>9312</v>
      </c>
    </row>
    <row r="5757" spans="1:8">
      <c r="A5757" t="s">
        <v>241</v>
      </c>
      <c r="B5757" t="s">
        <v>27</v>
      </c>
      <c r="C5757">
        <v>116</v>
      </c>
      <c r="D5757" t="s">
        <v>9313</v>
      </c>
      <c r="E5757" t="s">
        <v>9314</v>
      </c>
      <c r="H5757" t="s">
        <v>9315</v>
      </c>
    </row>
    <row r="5758" spans="1:8">
      <c r="A5758" t="s">
        <v>240</v>
      </c>
      <c r="B5758" t="s">
        <v>27</v>
      </c>
      <c r="C5758">
        <v>116</v>
      </c>
      <c r="D5758" t="s">
        <v>9316</v>
      </c>
      <c r="E5758" t="s">
        <v>9317</v>
      </c>
      <c r="F5758" t="s">
        <v>27</v>
      </c>
      <c r="G5758" t="s">
        <v>9318</v>
      </c>
      <c r="H5758" t="s">
        <v>9319</v>
      </c>
    </row>
    <row r="5759" spans="1:8">
      <c r="A5759" t="s">
        <v>242</v>
      </c>
      <c r="B5759" t="s">
        <v>27</v>
      </c>
      <c r="C5759">
        <v>116</v>
      </c>
      <c r="D5759" t="s">
        <v>9320</v>
      </c>
      <c r="E5759" t="s">
        <v>9321</v>
      </c>
      <c r="H5759" t="s">
        <v>9322</v>
      </c>
    </row>
    <row r="5760" spans="1:8">
      <c r="A5760" t="s">
        <v>244</v>
      </c>
      <c r="B5760" t="s">
        <v>27</v>
      </c>
      <c r="C5760">
        <v>116</v>
      </c>
      <c r="D5760" t="s">
        <v>1282</v>
      </c>
    </row>
    <row r="5761" spans="1:8">
      <c r="A5761" t="s">
        <v>243</v>
      </c>
      <c r="B5761" t="s">
        <v>27</v>
      </c>
      <c r="C5761">
        <v>116</v>
      </c>
      <c r="D5761" t="s">
        <v>9323</v>
      </c>
      <c r="E5761" t="s">
        <v>9324</v>
      </c>
      <c r="F5761" t="s">
        <v>27</v>
      </c>
      <c r="H5761" t="s">
        <v>9319</v>
      </c>
    </row>
    <row r="5762" spans="1:8">
      <c r="A5762" t="s">
        <v>242</v>
      </c>
      <c r="B5762" t="s">
        <v>27</v>
      </c>
      <c r="C5762">
        <v>116</v>
      </c>
      <c r="D5762" t="s">
        <v>9325</v>
      </c>
      <c r="E5762" t="s">
        <v>9326</v>
      </c>
      <c r="F5762" t="s">
        <v>27</v>
      </c>
      <c r="G5762" t="s">
        <v>9327</v>
      </c>
      <c r="H5762" t="s">
        <v>9328</v>
      </c>
    </row>
    <row r="5763" spans="1:8">
      <c r="A5763" t="s">
        <v>242</v>
      </c>
      <c r="B5763" t="s">
        <v>27</v>
      </c>
      <c r="C5763">
        <v>116</v>
      </c>
      <c r="D5763" t="s">
        <v>9329</v>
      </c>
      <c r="E5763" t="s">
        <v>9330</v>
      </c>
      <c r="F5763" t="s">
        <v>27</v>
      </c>
      <c r="H5763" t="s">
        <v>9331</v>
      </c>
    </row>
    <row r="5764" spans="1:8">
      <c r="A5764" t="s">
        <v>243</v>
      </c>
      <c r="B5764" t="s">
        <v>88</v>
      </c>
      <c r="C5764">
        <v>116</v>
      </c>
      <c r="D5764" t="s">
        <v>10964</v>
      </c>
      <c r="E5764" t="s">
        <v>10965</v>
      </c>
      <c r="G5764" t="s">
        <v>10966</v>
      </c>
      <c r="H5764" t="s">
        <v>10967</v>
      </c>
    </row>
    <row r="5765" spans="1:8">
      <c r="A5765" t="s">
        <v>241</v>
      </c>
      <c r="B5765" t="s">
        <v>88</v>
      </c>
      <c r="C5765">
        <v>116</v>
      </c>
      <c r="D5765" t="s">
        <v>10968</v>
      </c>
      <c r="E5765" t="s">
        <v>10969</v>
      </c>
      <c r="H5765" t="s">
        <v>10970</v>
      </c>
    </row>
    <row r="5766" spans="1:8">
      <c r="A5766" t="s">
        <v>241</v>
      </c>
      <c r="B5766" t="s">
        <v>88</v>
      </c>
      <c r="C5766">
        <v>116</v>
      </c>
      <c r="D5766" t="s">
        <v>10971</v>
      </c>
      <c r="E5766" t="s">
        <v>10972</v>
      </c>
      <c r="H5766" t="s">
        <v>10973</v>
      </c>
    </row>
    <row r="5767" spans="1:8">
      <c r="A5767" t="s">
        <v>238</v>
      </c>
      <c r="B5767" t="s">
        <v>88</v>
      </c>
      <c r="C5767">
        <v>116</v>
      </c>
      <c r="D5767" t="s">
        <v>10974</v>
      </c>
      <c r="E5767" t="s">
        <v>10975</v>
      </c>
      <c r="H5767" t="s">
        <v>10976</v>
      </c>
    </row>
    <row r="5768" spans="1:8">
      <c r="A5768" t="s">
        <v>239</v>
      </c>
      <c r="B5768" t="s">
        <v>88</v>
      </c>
      <c r="C5768">
        <v>116</v>
      </c>
      <c r="D5768" t="s">
        <v>10977</v>
      </c>
      <c r="E5768" t="s">
        <v>10978</v>
      </c>
      <c r="G5768" t="s">
        <v>10979</v>
      </c>
      <c r="H5768" t="s">
        <v>10980</v>
      </c>
    </row>
    <row r="5769" spans="1:8">
      <c r="A5769" t="s">
        <v>243</v>
      </c>
      <c r="B5769" t="s">
        <v>88</v>
      </c>
      <c r="C5769">
        <v>116</v>
      </c>
      <c r="D5769" t="s">
        <v>10981</v>
      </c>
      <c r="E5769" t="s">
        <v>10982</v>
      </c>
      <c r="F5769" t="s">
        <v>10983</v>
      </c>
      <c r="G5769" t="s">
        <v>10984</v>
      </c>
      <c r="H5769" t="s">
        <v>10985</v>
      </c>
    </row>
    <row r="5770" spans="1:8">
      <c r="A5770" t="s">
        <v>240</v>
      </c>
      <c r="B5770" t="s">
        <v>88</v>
      </c>
      <c r="C5770">
        <v>116</v>
      </c>
      <c r="D5770" t="s">
        <v>10986</v>
      </c>
      <c r="E5770" t="s">
        <v>10987</v>
      </c>
      <c r="F5770" t="s">
        <v>10983</v>
      </c>
      <c r="G5770" t="s">
        <v>10988</v>
      </c>
      <c r="H5770" t="s">
        <v>10989</v>
      </c>
    </row>
    <row r="5771" spans="1:8">
      <c r="A5771" t="s">
        <v>241</v>
      </c>
      <c r="B5771" t="s">
        <v>88</v>
      </c>
      <c r="C5771">
        <v>116</v>
      </c>
      <c r="D5771" t="s">
        <v>9509</v>
      </c>
      <c r="E5771" t="s">
        <v>10990</v>
      </c>
      <c r="H5771" t="s">
        <v>10991</v>
      </c>
    </row>
    <row r="5772" spans="1:8">
      <c r="A5772" t="s">
        <v>238</v>
      </c>
      <c r="B5772" t="s">
        <v>88</v>
      </c>
      <c r="C5772">
        <v>116</v>
      </c>
      <c r="D5772" t="s">
        <v>10992</v>
      </c>
      <c r="E5772" t="s">
        <v>10993</v>
      </c>
      <c r="F5772" t="s">
        <v>10983</v>
      </c>
      <c r="G5772" t="s">
        <v>10994</v>
      </c>
      <c r="H5772" t="s">
        <v>10995</v>
      </c>
    </row>
    <row r="5773" spans="1:8">
      <c r="A5773" t="s">
        <v>238</v>
      </c>
      <c r="B5773" t="s">
        <v>88</v>
      </c>
      <c r="C5773">
        <v>116</v>
      </c>
      <c r="D5773" t="s">
        <v>10996</v>
      </c>
      <c r="E5773" t="s">
        <v>10997</v>
      </c>
      <c r="F5773" t="s">
        <v>10983</v>
      </c>
      <c r="H5773" t="s">
        <v>10998</v>
      </c>
    </row>
    <row r="5774" spans="1:8">
      <c r="A5774" t="s">
        <v>238</v>
      </c>
      <c r="B5774" t="s">
        <v>88</v>
      </c>
      <c r="C5774">
        <v>116</v>
      </c>
      <c r="D5774" t="s">
        <v>10999</v>
      </c>
      <c r="E5774" t="s">
        <v>11000</v>
      </c>
      <c r="F5774" t="s">
        <v>88</v>
      </c>
      <c r="H5774" t="s">
        <v>11001</v>
      </c>
    </row>
    <row r="5775" spans="1:8">
      <c r="A5775" t="s">
        <v>238</v>
      </c>
      <c r="B5775" t="s">
        <v>142</v>
      </c>
      <c r="C5775">
        <v>117</v>
      </c>
      <c r="D5775" t="s">
        <v>3181</v>
      </c>
      <c r="E5775" t="s">
        <v>13120</v>
      </c>
      <c r="F5775" t="s">
        <v>13121</v>
      </c>
      <c r="G5775" t="s">
        <v>13122</v>
      </c>
      <c r="H5775" t="s">
        <v>13123</v>
      </c>
    </row>
    <row r="5776" spans="1:8">
      <c r="A5776" t="s">
        <v>241</v>
      </c>
      <c r="B5776" t="s">
        <v>142</v>
      </c>
      <c r="C5776">
        <v>117</v>
      </c>
      <c r="D5776" t="s">
        <v>13124</v>
      </c>
      <c r="E5776" t="s">
        <v>13125</v>
      </c>
      <c r="G5776" t="s">
        <v>13126</v>
      </c>
      <c r="H5776" t="s">
        <v>13127</v>
      </c>
    </row>
    <row r="5777" spans="1:8">
      <c r="A5777" t="s">
        <v>241</v>
      </c>
      <c r="B5777" t="s">
        <v>142</v>
      </c>
      <c r="C5777">
        <v>117</v>
      </c>
      <c r="D5777" t="s">
        <v>13128</v>
      </c>
      <c r="E5777" t="s">
        <v>13129</v>
      </c>
      <c r="F5777" t="s">
        <v>13130</v>
      </c>
      <c r="G5777" t="s">
        <v>13122</v>
      </c>
      <c r="H5777" t="s">
        <v>13123</v>
      </c>
    </row>
    <row r="5778" spans="1:8">
      <c r="A5778" t="s">
        <v>243</v>
      </c>
      <c r="B5778" t="s">
        <v>142</v>
      </c>
      <c r="C5778">
        <v>117</v>
      </c>
      <c r="D5778" t="s">
        <v>13131</v>
      </c>
      <c r="E5778" t="s">
        <v>13132</v>
      </c>
      <c r="H5778" t="s">
        <v>13133</v>
      </c>
    </row>
    <row r="5779" spans="1:8">
      <c r="A5779" t="s">
        <v>244</v>
      </c>
      <c r="B5779" t="s">
        <v>142</v>
      </c>
      <c r="C5779">
        <v>117</v>
      </c>
      <c r="D5779" t="s">
        <v>13134</v>
      </c>
      <c r="E5779" t="s">
        <v>13135</v>
      </c>
      <c r="F5779" t="s">
        <v>142</v>
      </c>
      <c r="H5779" t="s">
        <v>13136</v>
      </c>
    </row>
    <row r="5780" spans="1:8">
      <c r="A5780" t="s">
        <v>242</v>
      </c>
      <c r="B5780" t="s">
        <v>142</v>
      </c>
      <c r="C5780">
        <v>117</v>
      </c>
      <c r="D5780" t="s">
        <v>13137</v>
      </c>
      <c r="E5780" t="s">
        <v>13135</v>
      </c>
      <c r="F5780" t="s">
        <v>142</v>
      </c>
      <c r="G5780" t="s">
        <v>13138</v>
      </c>
      <c r="H5780" t="s">
        <v>13139</v>
      </c>
    </row>
    <row r="5781" spans="1:8">
      <c r="A5781" t="s">
        <v>242</v>
      </c>
      <c r="B5781" t="s">
        <v>142</v>
      </c>
      <c r="C5781">
        <v>117</v>
      </c>
      <c r="D5781" t="s">
        <v>13140</v>
      </c>
      <c r="G5781" t="s">
        <v>13141</v>
      </c>
      <c r="H5781" t="s">
        <v>13142</v>
      </c>
    </row>
    <row r="5782" spans="1:8">
      <c r="A5782" t="s">
        <v>238</v>
      </c>
      <c r="B5782" t="s">
        <v>142</v>
      </c>
      <c r="C5782">
        <v>117</v>
      </c>
      <c r="D5782" t="s">
        <v>13143</v>
      </c>
      <c r="E5782" t="s">
        <v>13144</v>
      </c>
      <c r="F5782" t="s">
        <v>142</v>
      </c>
      <c r="G5782" t="s">
        <v>13145</v>
      </c>
      <c r="H5782" t="s">
        <v>13146</v>
      </c>
    </row>
    <row r="5783" spans="1:8">
      <c r="A5783" t="s">
        <v>242</v>
      </c>
      <c r="B5783" t="s">
        <v>142</v>
      </c>
      <c r="C5783">
        <v>117</v>
      </c>
      <c r="D5783" t="s">
        <v>13147</v>
      </c>
      <c r="G5783" t="s">
        <v>6714</v>
      </c>
      <c r="H5783" t="s">
        <v>6715</v>
      </c>
    </row>
    <row r="5784" spans="1:8">
      <c r="A5784" t="s">
        <v>238</v>
      </c>
      <c r="B5784" t="s">
        <v>142</v>
      </c>
      <c r="C5784">
        <v>117</v>
      </c>
      <c r="D5784" t="s">
        <v>13148</v>
      </c>
      <c r="H5784" t="s">
        <v>13149</v>
      </c>
    </row>
    <row r="5785" spans="1:8">
      <c r="A5785" t="s">
        <v>242</v>
      </c>
      <c r="B5785" t="s">
        <v>142</v>
      </c>
      <c r="C5785">
        <v>117</v>
      </c>
      <c r="D5785" t="s">
        <v>13150</v>
      </c>
      <c r="E5785" t="s">
        <v>13151</v>
      </c>
      <c r="F5785" t="s">
        <v>142</v>
      </c>
      <c r="G5785" t="s">
        <v>13152</v>
      </c>
      <c r="H5785" t="s">
        <v>13153</v>
      </c>
    </row>
    <row r="5786" spans="1:8">
      <c r="A5786" t="s">
        <v>243</v>
      </c>
      <c r="B5786" t="s">
        <v>46</v>
      </c>
      <c r="C5786">
        <v>117</v>
      </c>
      <c r="D5786" t="s">
        <v>13154</v>
      </c>
      <c r="E5786" t="s">
        <v>13155</v>
      </c>
      <c r="F5786" t="s">
        <v>46</v>
      </c>
      <c r="G5786" t="s">
        <v>13156</v>
      </c>
      <c r="H5786" t="s">
        <v>13157</v>
      </c>
    </row>
    <row r="5787" spans="1:8">
      <c r="A5787" t="s">
        <v>238</v>
      </c>
      <c r="B5787" t="s">
        <v>46</v>
      </c>
      <c r="C5787">
        <v>117</v>
      </c>
      <c r="D5787" t="s">
        <v>13158</v>
      </c>
      <c r="E5787" t="s">
        <v>13159</v>
      </c>
      <c r="F5787" t="s">
        <v>46</v>
      </c>
      <c r="G5787" t="s">
        <v>13160</v>
      </c>
      <c r="H5787" t="s">
        <v>13161</v>
      </c>
    </row>
    <row r="5788" spans="1:8">
      <c r="A5788" t="s">
        <v>238</v>
      </c>
      <c r="B5788" t="s">
        <v>46</v>
      </c>
      <c r="C5788">
        <v>117</v>
      </c>
      <c r="D5788" t="s">
        <v>13162</v>
      </c>
      <c r="E5788" t="s">
        <v>13163</v>
      </c>
      <c r="F5788" t="s">
        <v>46</v>
      </c>
      <c r="G5788" t="s">
        <v>13164</v>
      </c>
      <c r="H5788" t="s">
        <v>13165</v>
      </c>
    </row>
    <row r="5789" spans="1:8">
      <c r="A5789" t="s">
        <v>242</v>
      </c>
      <c r="B5789" t="s">
        <v>46</v>
      </c>
      <c r="C5789">
        <v>117</v>
      </c>
      <c r="D5789" t="s">
        <v>13166</v>
      </c>
      <c r="E5789" t="s">
        <v>13167</v>
      </c>
      <c r="F5789" t="s">
        <v>46</v>
      </c>
      <c r="G5789" t="s">
        <v>13168</v>
      </c>
      <c r="H5789" t="s">
        <v>13169</v>
      </c>
    </row>
    <row r="5790" spans="1:8">
      <c r="A5790" t="s">
        <v>242</v>
      </c>
      <c r="B5790" t="s">
        <v>46</v>
      </c>
      <c r="C5790">
        <v>117</v>
      </c>
      <c r="D5790" t="s">
        <v>13170</v>
      </c>
      <c r="F5790" t="s">
        <v>13171</v>
      </c>
      <c r="H5790" t="s">
        <v>13172</v>
      </c>
    </row>
    <row r="5791" spans="1:8">
      <c r="A5791" t="s">
        <v>246</v>
      </c>
      <c r="B5791" t="s">
        <v>46</v>
      </c>
      <c r="C5791">
        <v>117</v>
      </c>
      <c r="D5791" t="s">
        <v>13173</v>
      </c>
      <c r="F5791" t="s">
        <v>13174</v>
      </c>
      <c r="H5791" t="s">
        <v>13175</v>
      </c>
    </row>
    <row r="5792" spans="1:8">
      <c r="A5792" t="s">
        <v>243</v>
      </c>
      <c r="B5792" t="s">
        <v>46</v>
      </c>
      <c r="C5792">
        <v>117</v>
      </c>
      <c r="D5792" t="s">
        <v>13176</v>
      </c>
      <c r="F5792" t="s">
        <v>13177</v>
      </c>
      <c r="G5792" t="s">
        <v>13178</v>
      </c>
      <c r="H5792" t="s">
        <v>13179</v>
      </c>
    </row>
    <row r="5793" spans="1:8">
      <c r="A5793" t="s">
        <v>242</v>
      </c>
      <c r="B5793" t="s">
        <v>46</v>
      </c>
      <c r="C5793">
        <v>117</v>
      </c>
      <c r="D5793" t="s">
        <v>13180</v>
      </c>
      <c r="E5793" t="s">
        <v>13181</v>
      </c>
      <c r="F5793" t="s">
        <v>46</v>
      </c>
      <c r="H5793" t="s">
        <v>13182</v>
      </c>
    </row>
    <row r="5794" spans="1:8">
      <c r="A5794" t="s">
        <v>240</v>
      </c>
      <c r="B5794" t="s">
        <v>46</v>
      </c>
      <c r="C5794">
        <v>117</v>
      </c>
      <c r="D5794" t="s">
        <v>1328</v>
      </c>
      <c r="E5794" t="s">
        <v>13183</v>
      </c>
      <c r="F5794" t="s">
        <v>46</v>
      </c>
      <c r="H5794" t="s">
        <v>13184</v>
      </c>
    </row>
    <row r="5795" spans="1:8">
      <c r="A5795" t="s">
        <v>241</v>
      </c>
      <c r="B5795" t="s">
        <v>46</v>
      </c>
      <c r="C5795">
        <v>117</v>
      </c>
      <c r="D5795" t="s">
        <v>13185</v>
      </c>
      <c r="E5795" t="s">
        <v>13186</v>
      </c>
      <c r="F5795" t="s">
        <v>46</v>
      </c>
      <c r="G5795" t="s">
        <v>13187</v>
      </c>
      <c r="H5795" t="s">
        <v>13188</v>
      </c>
    </row>
    <row r="5796" spans="1:8">
      <c r="A5796" t="s">
        <v>238</v>
      </c>
      <c r="B5796" t="s">
        <v>46</v>
      </c>
      <c r="C5796">
        <v>117</v>
      </c>
      <c r="D5796" t="s">
        <v>13189</v>
      </c>
      <c r="F5796" t="s">
        <v>13190</v>
      </c>
      <c r="G5796" t="s">
        <v>13191</v>
      </c>
      <c r="H5796" t="s">
        <v>13192</v>
      </c>
    </row>
    <row r="5797" spans="1:8">
      <c r="A5797" t="s">
        <v>247</v>
      </c>
      <c r="B5797" t="s">
        <v>46</v>
      </c>
      <c r="C5797">
        <v>117</v>
      </c>
      <c r="D5797" t="s">
        <v>13193</v>
      </c>
      <c r="E5797" t="s">
        <v>13194</v>
      </c>
      <c r="F5797" t="s">
        <v>46</v>
      </c>
      <c r="G5797" t="s">
        <v>3008</v>
      </c>
      <c r="H5797" t="s">
        <v>3009</v>
      </c>
    </row>
    <row r="5798" spans="1:8">
      <c r="A5798" t="s">
        <v>238</v>
      </c>
      <c r="B5798" t="s">
        <v>46</v>
      </c>
      <c r="C5798">
        <v>117</v>
      </c>
      <c r="D5798" t="s">
        <v>13195</v>
      </c>
      <c r="E5798" t="s">
        <v>13196</v>
      </c>
      <c r="G5798" t="s">
        <v>13197</v>
      </c>
      <c r="H5798" t="s">
        <v>13198</v>
      </c>
    </row>
    <row r="5799" spans="1:8">
      <c r="A5799" t="s">
        <v>242</v>
      </c>
      <c r="B5799" t="s">
        <v>46</v>
      </c>
      <c r="C5799">
        <v>117</v>
      </c>
      <c r="D5799" t="s">
        <v>1254</v>
      </c>
      <c r="E5799" t="s">
        <v>13199</v>
      </c>
      <c r="F5799" t="s">
        <v>46</v>
      </c>
      <c r="G5799" t="s">
        <v>13168</v>
      </c>
      <c r="H5799" t="s">
        <v>13200</v>
      </c>
    </row>
    <row r="5800" spans="1:8">
      <c r="A5800" t="s">
        <v>242</v>
      </c>
      <c r="B5800" t="s">
        <v>46</v>
      </c>
      <c r="C5800">
        <v>117</v>
      </c>
      <c r="D5800" t="s">
        <v>13201</v>
      </c>
      <c r="E5800" t="s">
        <v>13202</v>
      </c>
      <c r="F5800" t="s">
        <v>13203</v>
      </c>
      <c r="G5800" t="s">
        <v>13204</v>
      </c>
      <c r="H5800" t="s">
        <v>13205</v>
      </c>
    </row>
    <row r="5801" spans="1:8">
      <c r="A5801" t="s">
        <v>247</v>
      </c>
      <c r="B5801" t="s">
        <v>46</v>
      </c>
      <c r="C5801">
        <v>117</v>
      </c>
      <c r="D5801" t="s">
        <v>13206</v>
      </c>
      <c r="E5801" t="s">
        <v>13207</v>
      </c>
      <c r="F5801" t="s">
        <v>13208</v>
      </c>
      <c r="H5801" t="s">
        <v>13209</v>
      </c>
    </row>
    <row r="5802" spans="1:8">
      <c r="A5802" t="s">
        <v>242</v>
      </c>
      <c r="B5802" t="s">
        <v>46</v>
      </c>
      <c r="C5802">
        <v>117</v>
      </c>
      <c r="D5802" t="s">
        <v>13210</v>
      </c>
      <c r="E5802" t="s">
        <v>13211</v>
      </c>
      <c r="F5802" t="s">
        <v>46</v>
      </c>
      <c r="H5802" t="s">
        <v>13212</v>
      </c>
    </row>
    <row r="5803" spans="1:8">
      <c r="A5803" t="s">
        <v>242</v>
      </c>
      <c r="B5803" t="s">
        <v>46</v>
      </c>
      <c r="C5803">
        <v>117</v>
      </c>
      <c r="D5803" t="s">
        <v>13213</v>
      </c>
      <c r="E5803" t="s">
        <v>13214</v>
      </c>
      <c r="F5803" t="s">
        <v>13215</v>
      </c>
      <c r="H5803" t="s">
        <v>13216</v>
      </c>
    </row>
    <row r="5804" spans="1:8">
      <c r="A5804" t="s">
        <v>244</v>
      </c>
      <c r="B5804" t="s">
        <v>46</v>
      </c>
      <c r="C5804">
        <v>117</v>
      </c>
      <c r="D5804" t="s">
        <v>1282</v>
      </c>
      <c r="F5804" t="s">
        <v>13217</v>
      </c>
      <c r="G5804" t="s">
        <v>13218</v>
      </c>
      <c r="H5804" t="s">
        <v>13219</v>
      </c>
    </row>
    <row r="5805" spans="1:8">
      <c r="A5805" t="s">
        <v>243</v>
      </c>
      <c r="B5805" t="s">
        <v>11</v>
      </c>
      <c r="C5805">
        <v>118</v>
      </c>
      <c r="D5805" t="s">
        <v>3059</v>
      </c>
      <c r="E5805" t="s">
        <v>3060</v>
      </c>
      <c r="F5805" t="s">
        <v>11</v>
      </c>
      <c r="G5805" t="s">
        <v>3061</v>
      </c>
      <c r="H5805" t="s">
        <v>3062</v>
      </c>
    </row>
    <row r="5806" spans="1:8">
      <c r="A5806" t="s">
        <v>241</v>
      </c>
      <c r="B5806" t="s">
        <v>11</v>
      </c>
      <c r="C5806">
        <v>118</v>
      </c>
      <c r="D5806" t="s">
        <v>3063</v>
      </c>
      <c r="E5806" t="s">
        <v>3064</v>
      </c>
      <c r="G5806" t="s">
        <v>3065</v>
      </c>
      <c r="H5806" t="s">
        <v>3066</v>
      </c>
    </row>
    <row r="5807" spans="1:8">
      <c r="A5807" t="s">
        <v>241</v>
      </c>
      <c r="B5807" t="s">
        <v>11</v>
      </c>
      <c r="C5807">
        <v>118</v>
      </c>
      <c r="D5807" t="s">
        <v>3067</v>
      </c>
      <c r="E5807" t="s">
        <v>3068</v>
      </c>
      <c r="F5807" t="s">
        <v>3069</v>
      </c>
      <c r="G5807" t="s">
        <v>3070</v>
      </c>
      <c r="H5807" t="s">
        <v>3071</v>
      </c>
    </row>
    <row r="5808" spans="1:8">
      <c r="A5808" t="s">
        <v>240</v>
      </c>
      <c r="B5808" t="s">
        <v>11</v>
      </c>
      <c r="C5808">
        <v>118</v>
      </c>
      <c r="D5808" t="s">
        <v>3072</v>
      </c>
      <c r="E5808" t="s">
        <v>3060</v>
      </c>
      <c r="F5808" t="s">
        <v>11</v>
      </c>
      <c r="H5808" t="s">
        <v>3062</v>
      </c>
    </row>
    <row r="5809" spans="1:8">
      <c r="A5809" t="s">
        <v>244</v>
      </c>
      <c r="B5809" t="s">
        <v>11</v>
      </c>
      <c r="C5809">
        <v>118</v>
      </c>
      <c r="D5809" t="s">
        <v>1282</v>
      </c>
    </row>
    <row r="5810" spans="1:8">
      <c r="A5810" t="s">
        <v>243</v>
      </c>
      <c r="B5810" t="s">
        <v>11</v>
      </c>
      <c r="C5810">
        <v>118</v>
      </c>
      <c r="D5810" t="s">
        <v>3073</v>
      </c>
      <c r="E5810" t="s">
        <v>3074</v>
      </c>
      <c r="F5810" t="s">
        <v>11</v>
      </c>
      <c r="G5810" t="s">
        <v>3075</v>
      </c>
      <c r="H5810" t="s">
        <v>3076</v>
      </c>
    </row>
    <row r="5811" spans="1:8">
      <c r="A5811" t="s">
        <v>243</v>
      </c>
      <c r="B5811" t="s">
        <v>11</v>
      </c>
      <c r="C5811">
        <v>118</v>
      </c>
      <c r="D5811" t="s">
        <v>3077</v>
      </c>
      <c r="E5811" t="s">
        <v>3078</v>
      </c>
      <c r="F5811" t="s">
        <v>11</v>
      </c>
      <c r="H5811" t="s">
        <v>3079</v>
      </c>
    </row>
    <row r="5812" spans="1:8">
      <c r="A5812" t="s">
        <v>240</v>
      </c>
      <c r="B5812" t="s">
        <v>11</v>
      </c>
      <c r="C5812">
        <v>118</v>
      </c>
      <c r="D5812" t="s">
        <v>3080</v>
      </c>
      <c r="E5812" t="s">
        <v>3081</v>
      </c>
      <c r="F5812" t="s">
        <v>11</v>
      </c>
      <c r="G5812" t="s">
        <v>3082</v>
      </c>
      <c r="H5812" t="s">
        <v>3083</v>
      </c>
    </row>
    <row r="5813" spans="1:8">
      <c r="A5813" t="s">
        <v>240</v>
      </c>
      <c r="B5813" t="s">
        <v>11</v>
      </c>
      <c r="C5813">
        <v>118</v>
      </c>
      <c r="D5813" t="s">
        <v>3084</v>
      </c>
      <c r="E5813" t="s">
        <v>3085</v>
      </c>
      <c r="F5813" t="s">
        <v>11</v>
      </c>
      <c r="G5813" t="s">
        <v>3086</v>
      </c>
      <c r="H5813" t="s">
        <v>3087</v>
      </c>
    </row>
    <row r="5814" spans="1:8">
      <c r="A5814" t="s">
        <v>242</v>
      </c>
      <c r="B5814" t="s">
        <v>11</v>
      </c>
      <c r="C5814">
        <v>118</v>
      </c>
      <c r="D5814" t="s">
        <v>3088</v>
      </c>
      <c r="E5814" t="s">
        <v>3089</v>
      </c>
      <c r="F5814" t="s">
        <v>3090</v>
      </c>
      <c r="G5814" t="s">
        <v>3091</v>
      </c>
      <c r="H5814" t="s">
        <v>3092</v>
      </c>
    </row>
    <row r="5815" spans="1:8">
      <c r="A5815" t="s">
        <v>239</v>
      </c>
      <c r="B5815" t="s">
        <v>11</v>
      </c>
      <c r="C5815">
        <v>118</v>
      </c>
      <c r="D5815" t="s">
        <v>3093</v>
      </c>
      <c r="E5815" t="s">
        <v>3094</v>
      </c>
      <c r="F5815" t="s">
        <v>11</v>
      </c>
      <c r="H5815" t="s">
        <v>3095</v>
      </c>
    </row>
    <row r="5816" spans="1:8">
      <c r="A5816" t="s">
        <v>239</v>
      </c>
      <c r="B5816" t="s">
        <v>11</v>
      </c>
      <c r="C5816">
        <v>118</v>
      </c>
      <c r="D5816" t="s">
        <v>3096</v>
      </c>
      <c r="E5816" t="s">
        <v>3094</v>
      </c>
      <c r="F5816" t="s">
        <v>11</v>
      </c>
      <c r="H5816" t="s">
        <v>3095</v>
      </c>
    </row>
    <row r="5817" spans="1:8">
      <c r="A5817" t="s">
        <v>239</v>
      </c>
      <c r="B5817" t="s">
        <v>11</v>
      </c>
      <c r="C5817">
        <v>118</v>
      </c>
      <c r="D5817" t="s">
        <v>3097</v>
      </c>
      <c r="E5817" t="s">
        <v>3094</v>
      </c>
      <c r="F5817" t="s">
        <v>11</v>
      </c>
      <c r="H5817" t="s">
        <v>3095</v>
      </c>
    </row>
    <row r="5818" spans="1:8">
      <c r="A5818" t="s">
        <v>241</v>
      </c>
      <c r="B5818" t="s">
        <v>11</v>
      </c>
      <c r="C5818">
        <v>118</v>
      </c>
      <c r="D5818" t="s">
        <v>3098</v>
      </c>
      <c r="E5818" t="s">
        <v>3099</v>
      </c>
      <c r="F5818" t="s">
        <v>11</v>
      </c>
      <c r="G5818" t="s">
        <v>3100</v>
      </c>
      <c r="H5818" t="s">
        <v>3101</v>
      </c>
    </row>
    <row r="5819" spans="1:8">
      <c r="A5819" t="s">
        <v>245</v>
      </c>
      <c r="B5819" t="s">
        <v>11</v>
      </c>
      <c r="C5819">
        <v>118</v>
      </c>
      <c r="D5819" t="s">
        <v>3102</v>
      </c>
      <c r="E5819" t="s">
        <v>3103</v>
      </c>
      <c r="F5819" t="s">
        <v>11</v>
      </c>
    </row>
    <row r="5820" spans="1:8">
      <c r="A5820" t="s">
        <v>240</v>
      </c>
      <c r="B5820" t="s">
        <v>11</v>
      </c>
      <c r="C5820">
        <v>118</v>
      </c>
      <c r="D5820" t="s">
        <v>3104</v>
      </c>
      <c r="E5820" t="s">
        <v>3105</v>
      </c>
      <c r="F5820" t="s">
        <v>11</v>
      </c>
      <c r="G5820" t="s">
        <v>3106</v>
      </c>
      <c r="H5820" t="s">
        <v>3107</v>
      </c>
    </row>
    <row r="5821" spans="1:8">
      <c r="A5821" t="s">
        <v>249</v>
      </c>
      <c r="B5821" t="s">
        <v>11</v>
      </c>
      <c r="C5821">
        <v>118</v>
      </c>
      <c r="D5821" t="s">
        <v>3108</v>
      </c>
      <c r="E5821" t="s">
        <v>3094</v>
      </c>
      <c r="F5821" t="s">
        <v>11</v>
      </c>
      <c r="G5821" t="s">
        <v>3109</v>
      </c>
      <c r="H5821" t="s">
        <v>3095</v>
      </c>
    </row>
    <row r="5822" spans="1:8">
      <c r="A5822" t="s">
        <v>241</v>
      </c>
      <c r="B5822" t="s">
        <v>123</v>
      </c>
      <c r="C5822">
        <v>118</v>
      </c>
      <c r="D5822" t="s">
        <v>5093</v>
      </c>
      <c r="E5822" t="s">
        <v>6776</v>
      </c>
      <c r="F5822" t="s">
        <v>6777</v>
      </c>
      <c r="G5822" t="s">
        <v>6778</v>
      </c>
      <c r="H5822" t="s">
        <v>6779</v>
      </c>
    </row>
    <row r="5823" spans="1:8">
      <c r="A5823" t="s">
        <v>242</v>
      </c>
      <c r="B5823" t="s">
        <v>16</v>
      </c>
      <c r="C5823">
        <v>119</v>
      </c>
      <c r="D5823" t="s">
        <v>6909</v>
      </c>
      <c r="E5823" t="s">
        <v>6910</v>
      </c>
      <c r="H5823" t="s">
        <v>6911</v>
      </c>
    </row>
    <row r="5824" spans="1:8">
      <c r="A5824" t="s">
        <v>242</v>
      </c>
      <c r="B5824" t="s">
        <v>16</v>
      </c>
      <c r="C5824">
        <v>119</v>
      </c>
      <c r="D5824" t="s">
        <v>6912</v>
      </c>
      <c r="E5824" t="s">
        <v>6913</v>
      </c>
      <c r="F5824" t="s">
        <v>16</v>
      </c>
      <c r="H5824" t="s">
        <v>6914</v>
      </c>
    </row>
    <row r="5825" spans="1:8">
      <c r="A5825" t="s">
        <v>240</v>
      </c>
      <c r="B5825" t="s">
        <v>16</v>
      </c>
      <c r="C5825">
        <v>119</v>
      </c>
      <c r="D5825" t="s">
        <v>6915</v>
      </c>
      <c r="E5825" t="s">
        <v>6916</v>
      </c>
      <c r="G5825" t="s">
        <v>6917</v>
      </c>
      <c r="H5825" t="s">
        <v>6918</v>
      </c>
    </row>
    <row r="5826" spans="1:8">
      <c r="A5826" t="s">
        <v>239</v>
      </c>
      <c r="B5826" t="s">
        <v>16</v>
      </c>
      <c r="C5826">
        <v>119</v>
      </c>
      <c r="D5826" t="s">
        <v>6919</v>
      </c>
      <c r="E5826" t="s">
        <v>6920</v>
      </c>
      <c r="H5826" t="s">
        <v>6921</v>
      </c>
    </row>
    <row r="5827" spans="1:8">
      <c r="A5827" t="s">
        <v>241</v>
      </c>
      <c r="B5827" t="s">
        <v>37</v>
      </c>
      <c r="C5827">
        <v>119</v>
      </c>
      <c r="D5827" t="s">
        <v>9777</v>
      </c>
      <c r="E5827" t="s">
        <v>9778</v>
      </c>
      <c r="F5827" t="s">
        <v>9779</v>
      </c>
      <c r="H5827" t="s">
        <v>9487</v>
      </c>
    </row>
    <row r="5828" spans="1:8">
      <c r="A5828" t="s">
        <v>238</v>
      </c>
      <c r="B5828" t="s">
        <v>37</v>
      </c>
      <c r="C5828">
        <v>119</v>
      </c>
      <c r="D5828" t="s">
        <v>9780</v>
      </c>
      <c r="E5828" t="s">
        <v>9781</v>
      </c>
      <c r="F5828" t="s">
        <v>9782</v>
      </c>
      <c r="G5828" t="s">
        <v>9783</v>
      </c>
      <c r="H5828" t="s">
        <v>9784</v>
      </c>
    </row>
    <row r="5829" spans="1:8">
      <c r="A5829" t="s">
        <v>242</v>
      </c>
      <c r="B5829" t="s">
        <v>37</v>
      </c>
      <c r="C5829">
        <v>119</v>
      </c>
      <c r="D5829" t="s">
        <v>9785</v>
      </c>
      <c r="E5829" t="s">
        <v>9786</v>
      </c>
      <c r="F5829" t="s">
        <v>9787</v>
      </c>
      <c r="H5829" t="s">
        <v>9788</v>
      </c>
    </row>
    <row r="5830" spans="1:8">
      <c r="A5830" t="s">
        <v>240</v>
      </c>
      <c r="B5830" t="s">
        <v>37</v>
      </c>
      <c r="C5830">
        <v>119</v>
      </c>
      <c r="D5830" t="s">
        <v>9789</v>
      </c>
      <c r="E5830" t="s">
        <v>9790</v>
      </c>
      <c r="F5830" t="s">
        <v>37</v>
      </c>
      <c r="G5830" t="s">
        <v>9791</v>
      </c>
      <c r="H5830" t="s">
        <v>9792</v>
      </c>
    </row>
    <row r="5831" spans="1:8">
      <c r="A5831" t="s">
        <v>242</v>
      </c>
      <c r="B5831" t="s">
        <v>37</v>
      </c>
      <c r="C5831">
        <v>119</v>
      </c>
      <c r="D5831" t="s">
        <v>9793</v>
      </c>
      <c r="E5831" t="s">
        <v>9794</v>
      </c>
      <c r="H5831" t="s">
        <v>9795</v>
      </c>
    </row>
    <row r="5832" spans="1:8">
      <c r="A5832" t="s">
        <v>241</v>
      </c>
      <c r="B5832" t="s">
        <v>37</v>
      </c>
      <c r="C5832">
        <v>119</v>
      </c>
      <c r="D5832" t="s">
        <v>9796</v>
      </c>
      <c r="E5832" t="s">
        <v>9797</v>
      </c>
      <c r="F5832" t="s">
        <v>9798</v>
      </c>
      <c r="G5832" t="s">
        <v>9799</v>
      </c>
      <c r="H5832" t="s">
        <v>9800</v>
      </c>
    </row>
    <row r="5833" spans="1:8">
      <c r="A5833" t="s">
        <v>242</v>
      </c>
      <c r="B5833" t="s">
        <v>37</v>
      </c>
      <c r="C5833">
        <v>119</v>
      </c>
      <c r="D5833" t="s">
        <v>9801</v>
      </c>
      <c r="E5833" t="s">
        <v>9802</v>
      </c>
      <c r="G5833" t="s">
        <v>9803</v>
      </c>
      <c r="H5833" t="s">
        <v>9804</v>
      </c>
    </row>
    <row r="5834" spans="1:8">
      <c r="A5834" t="s">
        <v>239</v>
      </c>
      <c r="B5834" t="s">
        <v>37</v>
      </c>
      <c r="C5834">
        <v>119</v>
      </c>
      <c r="D5834" t="s">
        <v>9805</v>
      </c>
      <c r="E5834" t="s">
        <v>9806</v>
      </c>
      <c r="H5834" t="s">
        <v>9487</v>
      </c>
    </row>
    <row r="5835" spans="1:8">
      <c r="A5835" t="s">
        <v>240</v>
      </c>
      <c r="B5835" t="s">
        <v>37</v>
      </c>
      <c r="C5835">
        <v>119</v>
      </c>
      <c r="D5835" t="s">
        <v>9807</v>
      </c>
      <c r="E5835" t="s">
        <v>9808</v>
      </c>
      <c r="F5835" t="s">
        <v>9787</v>
      </c>
      <c r="G5835" t="s">
        <v>9809</v>
      </c>
      <c r="H5835" t="s">
        <v>9810</v>
      </c>
    </row>
    <row r="5836" spans="1:8">
      <c r="A5836" t="s">
        <v>242</v>
      </c>
      <c r="B5836" t="s">
        <v>183</v>
      </c>
      <c r="C5836">
        <v>119</v>
      </c>
      <c r="D5836" t="s">
        <v>10158</v>
      </c>
      <c r="E5836" t="s">
        <v>10159</v>
      </c>
      <c r="G5836" t="s">
        <v>10160</v>
      </c>
      <c r="H5836" t="s">
        <v>10161</v>
      </c>
    </row>
    <row r="5837" spans="1:8">
      <c r="A5837" t="s">
        <v>244</v>
      </c>
      <c r="B5837" t="s">
        <v>183</v>
      </c>
      <c r="C5837">
        <v>119</v>
      </c>
      <c r="D5837" t="s">
        <v>1282</v>
      </c>
      <c r="F5837" t="s">
        <v>10162</v>
      </c>
      <c r="H5837" t="s">
        <v>10163</v>
      </c>
    </row>
    <row r="5838" spans="1:8">
      <c r="A5838" t="s">
        <v>238</v>
      </c>
      <c r="B5838" t="s">
        <v>183</v>
      </c>
      <c r="C5838">
        <v>119</v>
      </c>
      <c r="D5838" t="s">
        <v>10164</v>
      </c>
      <c r="E5838" t="s">
        <v>10165</v>
      </c>
      <c r="H5838" t="s">
        <v>10166</v>
      </c>
    </row>
    <row r="5839" spans="1:8">
      <c r="A5839" t="s">
        <v>242</v>
      </c>
      <c r="B5839" t="s">
        <v>183</v>
      </c>
      <c r="C5839">
        <v>119</v>
      </c>
      <c r="D5839" t="s">
        <v>10167</v>
      </c>
      <c r="E5839" t="s">
        <v>10168</v>
      </c>
      <c r="F5839" t="s">
        <v>183</v>
      </c>
      <c r="H5839" t="s">
        <v>10169</v>
      </c>
    </row>
    <row r="5840" spans="1:8">
      <c r="A5840" t="s">
        <v>241</v>
      </c>
      <c r="B5840" t="s">
        <v>183</v>
      </c>
      <c r="C5840">
        <v>119</v>
      </c>
      <c r="D5840" t="s">
        <v>10170</v>
      </c>
      <c r="E5840" t="s">
        <v>3790</v>
      </c>
      <c r="F5840" t="s">
        <v>183</v>
      </c>
    </row>
    <row r="5841" spans="1:8">
      <c r="A5841" t="s">
        <v>241</v>
      </c>
      <c r="B5841" t="s">
        <v>183</v>
      </c>
      <c r="C5841">
        <v>119</v>
      </c>
      <c r="D5841" t="s">
        <v>10171</v>
      </c>
      <c r="E5841" t="s">
        <v>10172</v>
      </c>
      <c r="F5841" t="s">
        <v>183</v>
      </c>
      <c r="H5841" t="s">
        <v>10173</v>
      </c>
    </row>
    <row r="5842" spans="1:8">
      <c r="A5842" t="s">
        <v>241</v>
      </c>
      <c r="B5842" t="s">
        <v>183</v>
      </c>
      <c r="C5842">
        <v>119</v>
      </c>
      <c r="D5842" t="s">
        <v>10174</v>
      </c>
      <c r="E5842" t="s">
        <v>10175</v>
      </c>
      <c r="F5842" t="s">
        <v>183</v>
      </c>
      <c r="G5842" t="s">
        <v>10176</v>
      </c>
      <c r="H5842" t="s">
        <v>10177</v>
      </c>
    </row>
    <row r="5843" spans="1:8">
      <c r="A5843" t="s">
        <v>242</v>
      </c>
      <c r="B5843" t="s">
        <v>183</v>
      </c>
      <c r="C5843">
        <v>119</v>
      </c>
      <c r="D5843" t="s">
        <v>10178</v>
      </c>
      <c r="E5843" t="s">
        <v>3517</v>
      </c>
      <c r="F5843" t="s">
        <v>183</v>
      </c>
      <c r="H5843" t="s">
        <v>10179</v>
      </c>
    </row>
    <row r="5844" spans="1:8">
      <c r="A5844" t="s">
        <v>242</v>
      </c>
      <c r="B5844" t="s">
        <v>183</v>
      </c>
      <c r="C5844">
        <v>119</v>
      </c>
      <c r="D5844" t="s">
        <v>10180</v>
      </c>
      <c r="F5844" t="s">
        <v>183</v>
      </c>
    </row>
    <row r="5845" spans="1:8">
      <c r="A5845" t="s">
        <v>242</v>
      </c>
      <c r="B5845" t="s">
        <v>183</v>
      </c>
      <c r="C5845">
        <v>119</v>
      </c>
      <c r="D5845" t="s">
        <v>10181</v>
      </c>
      <c r="E5845" t="s">
        <v>10182</v>
      </c>
      <c r="F5845" t="s">
        <v>183</v>
      </c>
      <c r="G5845" t="s">
        <v>10183</v>
      </c>
      <c r="H5845" t="s">
        <v>3406</v>
      </c>
    </row>
    <row r="5846" spans="1:8">
      <c r="A5846" t="s">
        <v>240</v>
      </c>
      <c r="B5846" t="s">
        <v>183</v>
      </c>
      <c r="C5846">
        <v>119</v>
      </c>
      <c r="D5846" t="s">
        <v>10184</v>
      </c>
      <c r="E5846" t="s">
        <v>10185</v>
      </c>
      <c r="F5846" t="s">
        <v>183</v>
      </c>
      <c r="G5846" t="s">
        <v>10186</v>
      </c>
      <c r="H5846" t="s">
        <v>10187</v>
      </c>
    </row>
    <row r="5847" spans="1:8">
      <c r="A5847" t="s">
        <v>242</v>
      </c>
      <c r="B5847" t="s">
        <v>183</v>
      </c>
      <c r="C5847">
        <v>119</v>
      </c>
      <c r="D5847" t="s">
        <v>10188</v>
      </c>
      <c r="E5847" t="s">
        <v>10189</v>
      </c>
      <c r="F5847" t="s">
        <v>183</v>
      </c>
      <c r="G5847" t="s">
        <v>10190</v>
      </c>
      <c r="H5847" t="s">
        <v>10191</v>
      </c>
    </row>
    <row r="5848" spans="1:8">
      <c r="A5848" t="s">
        <v>241</v>
      </c>
      <c r="B5848" t="s">
        <v>45</v>
      </c>
      <c r="C5848">
        <v>119</v>
      </c>
      <c r="D5848" t="s">
        <v>13079</v>
      </c>
      <c r="E5848" t="s">
        <v>13080</v>
      </c>
      <c r="F5848" t="s">
        <v>13081</v>
      </c>
      <c r="G5848" t="s">
        <v>13082</v>
      </c>
      <c r="H5848" t="s">
        <v>13083</v>
      </c>
    </row>
    <row r="5849" spans="1:8">
      <c r="A5849" t="s">
        <v>241</v>
      </c>
      <c r="B5849" t="s">
        <v>45</v>
      </c>
      <c r="C5849">
        <v>119</v>
      </c>
      <c r="D5849" t="s">
        <v>13084</v>
      </c>
      <c r="E5849" t="s">
        <v>13085</v>
      </c>
      <c r="F5849" t="s">
        <v>45</v>
      </c>
    </row>
    <row r="5850" spans="1:8">
      <c r="A5850" t="s">
        <v>241</v>
      </c>
      <c r="B5850" t="s">
        <v>45</v>
      </c>
      <c r="C5850">
        <v>119</v>
      </c>
      <c r="D5850" t="s">
        <v>13086</v>
      </c>
      <c r="E5850" t="s">
        <v>13087</v>
      </c>
      <c r="F5850" t="s">
        <v>45</v>
      </c>
    </row>
    <row r="5851" spans="1:8">
      <c r="A5851" t="s">
        <v>244</v>
      </c>
      <c r="B5851" t="s">
        <v>45</v>
      </c>
      <c r="C5851">
        <v>119</v>
      </c>
      <c r="D5851" t="s">
        <v>13088</v>
      </c>
      <c r="E5851" t="s">
        <v>13089</v>
      </c>
      <c r="F5851" t="s">
        <v>45</v>
      </c>
    </row>
    <row r="5852" spans="1:8">
      <c r="A5852" t="s">
        <v>243</v>
      </c>
      <c r="B5852" t="s">
        <v>45</v>
      </c>
      <c r="C5852">
        <v>119</v>
      </c>
      <c r="D5852" t="s">
        <v>13090</v>
      </c>
      <c r="E5852" t="s">
        <v>13091</v>
      </c>
      <c r="F5852" t="s">
        <v>45</v>
      </c>
    </row>
    <row r="5853" spans="1:8">
      <c r="A5853" t="s">
        <v>238</v>
      </c>
      <c r="B5853" t="s">
        <v>45</v>
      </c>
      <c r="C5853">
        <v>119</v>
      </c>
      <c r="D5853" t="s">
        <v>13092</v>
      </c>
      <c r="E5853" t="s">
        <v>13093</v>
      </c>
      <c r="F5853" t="s">
        <v>45</v>
      </c>
      <c r="G5853" t="s">
        <v>13094</v>
      </c>
      <c r="H5853" t="s">
        <v>13095</v>
      </c>
    </row>
    <row r="5854" spans="1:8">
      <c r="A5854" t="s">
        <v>241</v>
      </c>
      <c r="B5854" t="s">
        <v>45</v>
      </c>
      <c r="C5854">
        <v>119</v>
      </c>
      <c r="D5854" t="s">
        <v>13096</v>
      </c>
      <c r="E5854" t="s">
        <v>13097</v>
      </c>
      <c r="F5854" t="s">
        <v>45</v>
      </c>
      <c r="H5854" t="s">
        <v>13098</v>
      </c>
    </row>
    <row r="5855" spans="1:8">
      <c r="A5855" t="s">
        <v>243</v>
      </c>
      <c r="B5855" t="s">
        <v>45</v>
      </c>
      <c r="C5855">
        <v>119</v>
      </c>
      <c r="D5855" t="s">
        <v>13099</v>
      </c>
      <c r="E5855" t="s">
        <v>13100</v>
      </c>
      <c r="H5855" t="s">
        <v>13101</v>
      </c>
    </row>
    <row r="5856" spans="1:8">
      <c r="A5856" t="s">
        <v>241</v>
      </c>
      <c r="B5856" t="s">
        <v>95</v>
      </c>
      <c r="C5856">
        <v>119</v>
      </c>
      <c r="D5856" t="s">
        <v>13281</v>
      </c>
      <c r="E5856" t="s">
        <v>13282</v>
      </c>
      <c r="G5856" t="s">
        <v>13283</v>
      </c>
      <c r="H5856" t="s">
        <v>13284</v>
      </c>
    </row>
    <row r="5857" spans="1:8">
      <c r="A5857" t="s">
        <v>241</v>
      </c>
      <c r="B5857" t="s">
        <v>95</v>
      </c>
      <c r="C5857">
        <v>119</v>
      </c>
      <c r="D5857" t="s">
        <v>13285</v>
      </c>
      <c r="E5857" t="s">
        <v>13286</v>
      </c>
      <c r="G5857" t="s">
        <v>13287</v>
      </c>
      <c r="H5857" t="s">
        <v>13288</v>
      </c>
    </row>
    <row r="5858" spans="1:8">
      <c r="A5858" t="s">
        <v>241</v>
      </c>
      <c r="B5858" t="s">
        <v>95</v>
      </c>
      <c r="C5858">
        <v>119</v>
      </c>
      <c r="D5858" t="s">
        <v>13289</v>
      </c>
      <c r="E5858" t="s">
        <v>13290</v>
      </c>
      <c r="F5858" t="s">
        <v>95</v>
      </c>
      <c r="G5858" t="s">
        <v>13291</v>
      </c>
      <c r="H5858" t="s">
        <v>13292</v>
      </c>
    </row>
    <row r="5859" spans="1:8">
      <c r="A5859" t="s">
        <v>242</v>
      </c>
      <c r="B5859" t="s">
        <v>95</v>
      </c>
      <c r="C5859">
        <v>119</v>
      </c>
      <c r="D5859" t="s">
        <v>13293</v>
      </c>
      <c r="E5859" t="s">
        <v>13294</v>
      </c>
      <c r="F5859" t="s">
        <v>95</v>
      </c>
      <c r="G5859" t="s">
        <v>13295</v>
      </c>
      <c r="H5859" t="s">
        <v>13296</v>
      </c>
    </row>
    <row r="5860" spans="1:8">
      <c r="A5860" t="s">
        <v>241</v>
      </c>
      <c r="B5860" t="s">
        <v>95</v>
      </c>
      <c r="C5860">
        <v>119</v>
      </c>
      <c r="D5860" t="s">
        <v>13297</v>
      </c>
      <c r="E5860" t="s">
        <v>13298</v>
      </c>
      <c r="G5860" t="s">
        <v>13299</v>
      </c>
      <c r="H5860" t="s">
        <v>13300</v>
      </c>
    </row>
    <row r="5861" spans="1:8">
      <c r="A5861" t="s">
        <v>240</v>
      </c>
      <c r="B5861" t="s">
        <v>95</v>
      </c>
      <c r="C5861">
        <v>119</v>
      </c>
      <c r="D5861" t="s">
        <v>13301</v>
      </c>
      <c r="E5861" t="s">
        <v>13302</v>
      </c>
      <c r="F5861" t="s">
        <v>95</v>
      </c>
      <c r="G5861" t="s">
        <v>13303</v>
      </c>
      <c r="H5861" t="s">
        <v>13304</v>
      </c>
    </row>
    <row r="5862" spans="1:8">
      <c r="A5862" t="s">
        <v>241</v>
      </c>
      <c r="B5862" t="s">
        <v>95</v>
      </c>
      <c r="C5862">
        <v>119</v>
      </c>
      <c r="D5862" t="s">
        <v>13305</v>
      </c>
      <c r="E5862" t="s">
        <v>13306</v>
      </c>
      <c r="F5862" t="s">
        <v>13307</v>
      </c>
      <c r="H5862" t="s">
        <v>13308</v>
      </c>
    </row>
    <row r="5863" spans="1:8">
      <c r="A5863" t="s">
        <v>242</v>
      </c>
      <c r="B5863" t="s">
        <v>95</v>
      </c>
      <c r="C5863">
        <v>119</v>
      </c>
      <c r="D5863" t="s">
        <v>13309</v>
      </c>
      <c r="E5863" t="s">
        <v>13310</v>
      </c>
      <c r="F5863" t="s">
        <v>13307</v>
      </c>
      <c r="H5863" t="s">
        <v>13311</v>
      </c>
    </row>
    <row r="5864" spans="1:8">
      <c r="A5864" t="s">
        <v>251</v>
      </c>
      <c r="B5864" t="s">
        <v>13</v>
      </c>
      <c r="C5864">
        <v>120</v>
      </c>
      <c r="D5864" t="s">
        <v>5233</v>
      </c>
      <c r="E5864" t="s">
        <v>5234</v>
      </c>
      <c r="F5864" t="s">
        <v>13</v>
      </c>
    </row>
    <row r="5865" spans="1:8">
      <c r="A5865" t="s">
        <v>240</v>
      </c>
      <c r="B5865" t="s">
        <v>13</v>
      </c>
      <c r="C5865">
        <v>120</v>
      </c>
      <c r="D5865" t="s">
        <v>5235</v>
      </c>
      <c r="E5865" t="s">
        <v>5236</v>
      </c>
      <c r="F5865" t="s">
        <v>5237</v>
      </c>
      <c r="G5865" t="s">
        <v>5238</v>
      </c>
      <c r="H5865" t="s">
        <v>5239</v>
      </c>
    </row>
    <row r="5866" spans="1:8">
      <c r="A5866" t="s">
        <v>240</v>
      </c>
      <c r="B5866" t="s">
        <v>13</v>
      </c>
      <c r="C5866">
        <v>120</v>
      </c>
      <c r="D5866" t="s">
        <v>5240</v>
      </c>
      <c r="E5866" t="s">
        <v>5241</v>
      </c>
      <c r="F5866" t="s">
        <v>13</v>
      </c>
      <c r="G5866" t="s">
        <v>5242</v>
      </c>
      <c r="H5866" t="s">
        <v>5243</v>
      </c>
    </row>
    <row r="5867" spans="1:8">
      <c r="A5867" t="s">
        <v>240</v>
      </c>
      <c r="B5867" t="s">
        <v>13</v>
      </c>
      <c r="C5867">
        <v>120</v>
      </c>
      <c r="D5867" t="s">
        <v>5244</v>
      </c>
      <c r="E5867" t="s">
        <v>5245</v>
      </c>
      <c r="F5867" t="s">
        <v>5246</v>
      </c>
      <c r="G5867" t="s">
        <v>5247</v>
      </c>
      <c r="H5867" t="s">
        <v>5248</v>
      </c>
    </row>
    <row r="5868" spans="1:8">
      <c r="A5868" t="s">
        <v>239</v>
      </c>
      <c r="B5868" t="s">
        <v>13</v>
      </c>
      <c r="C5868">
        <v>120</v>
      </c>
      <c r="D5868" t="s">
        <v>5249</v>
      </c>
      <c r="E5868" t="s">
        <v>5250</v>
      </c>
      <c r="H5868" t="s">
        <v>5251</v>
      </c>
    </row>
    <row r="5869" spans="1:8">
      <c r="A5869" t="s">
        <v>240</v>
      </c>
      <c r="B5869" t="s">
        <v>13</v>
      </c>
      <c r="C5869">
        <v>120</v>
      </c>
      <c r="D5869" t="s">
        <v>727</v>
      </c>
      <c r="E5869" t="s">
        <v>5252</v>
      </c>
      <c r="F5869" t="s">
        <v>13</v>
      </c>
      <c r="G5869" t="s">
        <v>5253</v>
      </c>
      <c r="H5869" t="s">
        <v>5254</v>
      </c>
    </row>
    <row r="5870" spans="1:8">
      <c r="A5870" t="s">
        <v>240</v>
      </c>
      <c r="B5870" t="s">
        <v>13</v>
      </c>
      <c r="C5870">
        <v>120</v>
      </c>
      <c r="D5870" t="s">
        <v>5255</v>
      </c>
      <c r="E5870" t="s">
        <v>5256</v>
      </c>
      <c r="F5870" t="s">
        <v>5246</v>
      </c>
      <c r="G5870" t="s">
        <v>5247</v>
      </c>
      <c r="H5870" t="s">
        <v>5257</v>
      </c>
    </row>
    <row r="5871" spans="1:8">
      <c r="A5871" t="s">
        <v>239</v>
      </c>
      <c r="B5871" t="s">
        <v>13</v>
      </c>
      <c r="C5871">
        <v>120</v>
      </c>
      <c r="D5871" t="s">
        <v>5258</v>
      </c>
      <c r="H5871" t="s">
        <v>5259</v>
      </c>
    </row>
    <row r="5872" spans="1:8">
      <c r="A5872" t="s">
        <v>239</v>
      </c>
      <c r="B5872" t="s">
        <v>13</v>
      </c>
      <c r="C5872">
        <v>120</v>
      </c>
      <c r="D5872" t="s">
        <v>5260</v>
      </c>
      <c r="E5872" t="s">
        <v>5261</v>
      </c>
      <c r="F5872" t="s">
        <v>13</v>
      </c>
      <c r="H5872" t="s">
        <v>5251</v>
      </c>
    </row>
    <row r="5873" spans="1:8">
      <c r="A5873" t="s">
        <v>240</v>
      </c>
      <c r="B5873" t="s">
        <v>13</v>
      </c>
      <c r="C5873">
        <v>120</v>
      </c>
      <c r="D5873" t="s">
        <v>5262</v>
      </c>
      <c r="E5873" t="s">
        <v>5263</v>
      </c>
      <c r="F5873" t="s">
        <v>13</v>
      </c>
      <c r="G5873" t="s">
        <v>5264</v>
      </c>
      <c r="H5873" t="s">
        <v>5265</v>
      </c>
    </row>
    <row r="5874" spans="1:8">
      <c r="A5874" t="s">
        <v>239</v>
      </c>
      <c r="B5874" t="s">
        <v>13</v>
      </c>
      <c r="C5874">
        <v>120</v>
      </c>
      <c r="D5874" t="s">
        <v>5266</v>
      </c>
      <c r="E5874" t="s">
        <v>5267</v>
      </c>
      <c r="H5874" t="s">
        <v>5268</v>
      </c>
    </row>
    <row r="5875" spans="1:8">
      <c r="A5875" t="s">
        <v>239</v>
      </c>
      <c r="B5875" t="s">
        <v>13</v>
      </c>
      <c r="C5875">
        <v>120</v>
      </c>
      <c r="D5875" t="s">
        <v>5269</v>
      </c>
      <c r="E5875" t="s">
        <v>5270</v>
      </c>
      <c r="F5875" t="s">
        <v>13</v>
      </c>
      <c r="H5875" t="s">
        <v>5271</v>
      </c>
    </row>
    <row r="5876" spans="1:8">
      <c r="A5876" t="s">
        <v>239</v>
      </c>
      <c r="B5876" t="s">
        <v>13</v>
      </c>
      <c r="C5876">
        <v>120</v>
      </c>
      <c r="D5876" t="s">
        <v>5272</v>
      </c>
      <c r="E5876" t="s">
        <v>5273</v>
      </c>
      <c r="F5876" t="s">
        <v>13</v>
      </c>
      <c r="H5876" t="s">
        <v>5274</v>
      </c>
    </row>
    <row r="5877" spans="1:8">
      <c r="A5877" t="s">
        <v>241</v>
      </c>
      <c r="B5877" t="s">
        <v>13</v>
      </c>
      <c r="C5877">
        <v>120</v>
      </c>
      <c r="D5877" t="s">
        <v>5275</v>
      </c>
      <c r="E5877" t="s">
        <v>5276</v>
      </c>
      <c r="H5877" t="s">
        <v>5277</v>
      </c>
    </row>
    <row r="5878" spans="1:8">
      <c r="A5878" t="s">
        <v>239</v>
      </c>
      <c r="B5878" t="s">
        <v>13</v>
      </c>
      <c r="C5878">
        <v>120</v>
      </c>
      <c r="D5878" t="s">
        <v>5278</v>
      </c>
      <c r="E5878" t="s">
        <v>5279</v>
      </c>
      <c r="H5878" t="s">
        <v>5280</v>
      </c>
    </row>
    <row r="5879" spans="1:8">
      <c r="A5879" t="s">
        <v>239</v>
      </c>
      <c r="B5879" t="s">
        <v>13</v>
      </c>
      <c r="C5879">
        <v>120</v>
      </c>
      <c r="D5879" t="s">
        <v>5281</v>
      </c>
      <c r="E5879" t="s">
        <v>5282</v>
      </c>
      <c r="H5879" t="s">
        <v>5280</v>
      </c>
    </row>
    <row r="5880" spans="1:8">
      <c r="A5880" t="s">
        <v>239</v>
      </c>
      <c r="B5880" t="s">
        <v>13</v>
      </c>
      <c r="C5880">
        <v>120</v>
      </c>
      <c r="D5880" t="s">
        <v>5283</v>
      </c>
      <c r="E5880" t="s">
        <v>5284</v>
      </c>
      <c r="H5880" t="s">
        <v>5280</v>
      </c>
    </row>
    <row r="5881" spans="1:8">
      <c r="A5881" t="s">
        <v>239</v>
      </c>
      <c r="B5881" t="s">
        <v>13</v>
      </c>
      <c r="C5881">
        <v>120</v>
      </c>
      <c r="D5881" t="s">
        <v>5285</v>
      </c>
      <c r="E5881" t="s">
        <v>5286</v>
      </c>
      <c r="H5881" t="s">
        <v>5287</v>
      </c>
    </row>
    <row r="5882" spans="1:8">
      <c r="A5882" t="s">
        <v>239</v>
      </c>
      <c r="B5882" t="s">
        <v>13</v>
      </c>
      <c r="C5882">
        <v>120</v>
      </c>
      <c r="D5882" t="s">
        <v>5288</v>
      </c>
      <c r="E5882" t="s">
        <v>5289</v>
      </c>
      <c r="H5882" t="s">
        <v>5290</v>
      </c>
    </row>
    <row r="5883" spans="1:8">
      <c r="A5883" t="s">
        <v>239</v>
      </c>
      <c r="B5883" t="s">
        <v>13</v>
      </c>
      <c r="C5883">
        <v>120</v>
      </c>
      <c r="D5883" t="s">
        <v>5291</v>
      </c>
      <c r="E5883" t="s">
        <v>5292</v>
      </c>
      <c r="F5883" t="s">
        <v>5293</v>
      </c>
      <c r="H5883" t="s">
        <v>5294</v>
      </c>
    </row>
    <row r="5884" spans="1:8">
      <c r="A5884" t="s">
        <v>240</v>
      </c>
      <c r="B5884" t="s">
        <v>13</v>
      </c>
      <c r="C5884">
        <v>120</v>
      </c>
      <c r="D5884" t="s">
        <v>5295</v>
      </c>
      <c r="E5884" t="s">
        <v>5296</v>
      </c>
      <c r="F5884" t="s">
        <v>13</v>
      </c>
      <c r="G5884" t="s">
        <v>5297</v>
      </c>
      <c r="H5884" t="s">
        <v>5298</v>
      </c>
    </row>
    <row r="5885" spans="1:8">
      <c r="A5885" t="s">
        <v>239</v>
      </c>
      <c r="B5885" t="s">
        <v>13</v>
      </c>
      <c r="C5885">
        <v>120</v>
      </c>
      <c r="D5885" t="s">
        <v>5299</v>
      </c>
      <c r="H5885" t="s">
        <v>5251</v>
      </c>
    </row>
    <row r="5886" spans="1:8">
      <c r="A5886" t="s">
        <v>239</v>
      </c>
      <c r="B5886" t="s">
        <v>13</v>
      </c>
      <c r="C5886">
        <v>120</v>
      </c>
      <c r="D5886" t="s">
        <v>5300</v>
      </c>
      <c r="E5886" t="s">
        <v>5301</v>
      </c>
      <c r="H5886" t="s">
        <v>5302</v>
      </c>
    </row>
    <row r="5887" spans="1:8">
      <c r="A5887" t="s">
        <v>239</v>
      </c>
      <c r="B5887" t="s">
        <v>13</v>
      </c>
      <c r="C5887">
        <v>120</v>
      </c>
      <c r="D5887" t="s">
        <v>5303</v>
      </c>
      <c r="E5887" t="s">
        <v>5304</v>
      </c>
      <c r="H5887" t="s">
        <v>5305</v>
      </c>
    </row>
    <row r="5888" spans="1:8">
      <c r="A5888" t="s">
        <v>239</v>
      </c>
      <c r="B5888" t="s">
        <v>13</v>
      </c>
      <c r="C5888">
        <v>120</v>
      </c>
      <c r="D5888" t="s">
        <v>5306</v>
      </c>
      <c r="E5888" t="s">
        <v>5307</v>
      </c>
      <c r="H5888" t="s">
        <v>5308</v>
      </c>
    </row>
    <row r="5889" spans="1:8">
      <c r="A5889" t="s">
        <v>239</v>
      </c>
      <c r="B5889" t="s">
        <v>13</v>
      </c>
      <c r="C5889">
        <v>120</v>
      </c>
      <c r="D5889" t="s">
        <v>5309</v>
      </c>
      <c r="E5889" t="s">
        <v>5310</v>
      </c>
    </row>
    <row r="5890" spans="1:8">
      <c r="A5890" t="s">
        <v>239</v>
      </c>
      <c r="B5890" t="s">
        <v>13</v>
      </c>
      <c r="C5890">
        <v>120</v>
      </c>
      <c r="D5890" t="s">
        <v>5311</v>
      </c>
      <c r="E5890" t="s">
        <v>5312</v>
      </c>
      <c r="F5890" t="s">
        <v>5313</v>
      </c>
    </row>
    <row r="5891" spans="1:8">
      <c r="A5891" t="s">
        <v>239</v>
      </c>
      <c r="B5891" t="s">
        <v>13</v>
      </c>
      <c r="C5891">
        <v>120</v>
      </c>
      <c r="D5891" t="s">
        <v>5314</v>
      </c>
      <c r="E5891" t="s">
        <v>5315</v>
      </c>
      <c r="F5891" t="s">
        <v>13</v>
      </c>
      <c r="H5891" t="s">
        <v>5316</v>
      </c>
    </row>
    <row r="5892" spans="1:8">
      <c r="A5892" t="s">
        <v>239</v>
      </c>
      <c r="B5892" t="s">
        <v>13</v>
      </c>
      <c r="C5892">
        <v>120</v>
      </c>
      <c r="D5892" t="s">
        <v>5317</v>
      </c>
      <c r="F5892" t="s">
        <v>13</v>
      </c>
      <c r="H5892" t="s">
        <v>5316</v>
      </c>
    </row>
    <row r="5893" spans="1:8">
      <c r="A5893" t="s">
        <v>239</v>
      </c>
      <c r="B5893" t="s">
        <v>13</v>
      </c>
      <c r="C5893">
        <v>120</v>
      </c>
      <c r="D5893" t="s">
        <v>5318</v>
      </c>
      <c r="E5893" t="s">
        <v>5319</v>
      </c>
      <c r="F5893" t="s">
        <v>13</v>
      </c>
      <c r="H5893" t="s">
        <v>5316</v>
      </c>
    </row>
    <row r="5894" spans="1:8">
      <c r="A5894" t="s">
        <v>239</v>
      </c>
      <c r="B5894" t="s">
        <v>13</v>
      </c>
      <c r="C5894">
        <v>120</v>
      </c>
      <c r="D5894" t="s">
        <v>5320</v>
      </c>
      <c r="E5894" t="s">
        <v>5321</v>
      </c>
      <c r="H5894" t="s">
        <v>5322</v>
      </c>
    </row>
    <row r="5895" spans="1:8">
      <c r="A5895" t="s">
        <v>239</v>
      </c>
      <c r="B5895" t="s">
        <v>13</v>
      </c>
      <c r="C5895">
        <v>120</v>
      </c>
      <c r="D5895" t="s">
        <v>5323</v>
      </c>
      <c r="H5895" t="s">
        <v>5324</v>
      </c>
    </row>
    <row r="5896" spans="1:8">
      <c r="A5896" t="s">
        <v>239</v>
      </c>
      <c r="B5896" t="s">
        <v>13</v>
      </c>
      <c r="C5896">
        <v>120</v>
      </c>
      <c r="D5896" t="s">
        <v>5325</v>
      </c>
      <c r="E5896" t="s">
        <v>5326</v>
      </c>
    </row>
    <row r="5897" spans="1:8">
      <c r="A5897" t="s">
        <v>241</v>
      </c>
      <c r="B5897" t="s">
        <v>13</v>
      </c>
      <c r="C5897">
        <v>120</v>
      </c>
      <c r="D5897" t="s">
        <v>5327</v>
      </c>
      <c r="E5897" t="s">
        <v>5328</v>
      </c>
      <c r="F5897" t="s">
        <v>13</v>
      </c>
      <c r="H5897" t="s">
        <v>5329</v>
      </c>
    </row>
    <row r="5898" spans="1:8">
      <c r="A5898" t="s">
        <v>239</v>
      </c>
      <c r="B5898" t="s">
        <v>13</v>
      </c>
      <c r="C5898">
        <v>120</v>
      </c>
      <c r="D5898" t="s">
        <v>5330</v>
      </c>
      <c r="E5898" t="s">
        <v>5331</v>
      </c>
      <c r="H5898" t="s">
        <v>5332</v>
      </c>
    </row>
    <row r="5899" spans="1:8">
      <c r="A5899" t="s">
        <v>239</v>
      </c>
      <c r="B5899" t="s">
        <v>13</v>
      </c>
      <c r="C5899">
        <v>120</v>
      </c>
      <c r="D5899" t="s">
        <v>5333</v>
      </c>
      <c r="E5899" t="s">
        <v>5331</v>
      </c>
      <c r="H5899" t="s">
        <v>5332</v>
      </c>
    </row>
    <row r="5900" spans="1:8">
      <c r="A5900" t="s">
        <v>239</v>
      </c>
      <c r="B5900" t="s">
        <v>13</v>
      </c>
      <c r="C5900">
        <v>120</v>
      </c>
      <c r="D5900" t="s">
        <v>5334</v>
      </c>
      <c r="E5900" t="s">
        <v>5331</v>
      </c>
      <c r="H5900" t="s">
        <v>5332</v>
      </c>
    </row>
    <row r="5901" spans="1:8">
      <c r="A5901" t="s">
        <v>243</v>
      </c>
      <c r="B5901" t="s">
        <v>13</v>
      </c>
      <c r="C5901">
        <v>120</v>
      </c>
      <c r="D5901" t="s">
        <v>5335</v>
      </c>
      <c r="E5901" t="s">
        <v>5336</v>
      </c>
      <c r="F5901" t="s">
        <v>13</v>
      </c>
      <c r="H5901" t="s">
        <v>5337</v>
      </c>
    </row>
    <row r="5902" spans="1:8">
      <c r="A5902" t="s">
        <v>249</v>
      </c>
      <c r="B5902" t="s">
        <v>13</v>
      </c>
      <c r="C5902">
        <v>120</v>
      </c>
      <c r="D5902" t="s">
        <v>13</v>
      </c>
      <c r="E5902" t="s">
        <v>5338</v>
      </c>
      <c r="F5902" t="s">
        <v>13</v>
      </c>
      <c r="G5902" t="s">
        <v>5339</v>
      </c>
      <c r="H5902" t="s">
        <v>5340</v>
      </c>
    </row>
    <row r="5903" spans="1:8">
      <c r="A5903" t="s">
        <v>239</v>
      </c>
      <c r="B5903" t="s">
        <v>13</v>
      </c>
      <c r="C5903">
        <v>120</v>
      </c>
      <c r="D5903" t="s">
        <v>5341</v>
      </c>
      <c r="E5903" t="s">
        <v>5342</v>
      </c>
      <c r="F5903" t="s">
        <v>13</v>
      </c>
      <c r="H5903" t="s">
        <v>5343</v>
      </c>
    </row>
    <row r="5904" spans="1:8">
      <c r="A5904" t="s">
        <v>239</v>
      </c>
      <c r="B5904" t="s">
        <v>13</v>
      </c>
      <c r="C5904">
        <v>120</v>
      </c>
      <c r="D5904" t="s">
        <v>5300</v>
      </c>
      <c r="E5904" t="s">
        <v>5344</v>
      </c>
      <c r="F5904" t="s">
        <v>13</v>
      </c>
      <c r="H5904" t="s">
        <v>5302</v>
      </c>
    </row>
    <row r="5905" spans="1:8">
      <c r="A5905" t="s">
        <v>239</v>
      </c>
      <c r="B5905" t="s">
        <v>13</v>
      </c>
      <c r="C5905">
        <v>120</v>
      </c>
      <c r="D5905" t="s">
        <v>5345</v>
      </c>
      <c r="E5905" t="s">
        <v>5346</v>
      </c>
      <c r="H5905" t="s">
        <v>5347</v>
      </c>
    </row>
    <row r="5906" spans="1:8">
      <c r="A5906" t="s">
        <v>241</v>
      </c>
      <c r="B5906" t="s">
        <v>13</v>
      </c>
      <c r="C5906">
        <v>120</v>
      </c>
      <c r="D5906" t="s">
        <v>5348</v>
      </c>
      <c r="E5906" t="s">
        <v>5349</v>
      </c>
      <c r="G5906" t="s">
        <v>5350</v>
      </c>
      <c r="H5906" t="s">
        <v>5351</v>
      </c>
    </row>
    <row r="5907" spans="1:8">
      <c r="A5907" t="s">
        <v>240</v>
      </c>
      <c r="B5907" t="s">
        <v>13</v>
      </c>
      <c r="C5907">
        <v>120</v>
      </c>
      <c r="D5907" t="s">
        <v>5352</v>
      </c>
      <c r="E5907" t="s">
        <v>5353</v>
      </c>
      <c r="F5907" t="s">
        <v>13</v>
      </c>
      <c r="G5907" t="s">
        <v>5354</v>
      </c>
      <c r="H5907" t="s">
        <v>5355</v>
      </c>
    </row>
    <row r="5908" spans="1:8">
      <c r="A5908" t="s">
        <v>240</v>
      </c>
      <c r="B5908" t="s">
        <v>13</v>
      </c>
      <c r="C5908">
        <v>120</v>
      </c>
      <c r="D5908" t="s">
        <v>5356</v>
      </c>
      <c r="E5908" t="s">
        <v>5357</v>
      </c>
      <c r="F5908" t="s">
        <v>13</v>
      </c>
      <c r="G5908" t="s">
        <v>5358</v>
      </c>
      <c r="H5908" t="s">
        <v>5359</v>
      </c>
    </row>
    <row r="5909" spans="1:8">
      <c r="A5909" t="s">
        <v>239</v>
      </c>
      <c r="B5909" t="s">
        <v>13</v>
      </c>
      <c r="C5909">
        <v>120</v>
      </c>
      <c r="D5909" t="s">
        <v>5360</v>
      </c>
      <c r="E5909" t="s">
        <v>5361</v>
      </c>
    </row>
    <row r="5910" spans="1:8">
      <c r="A5910" t="s">
        <v>240</v>
      </c>
      <c r="B5910" t="s">
        <v>13</v>
      </c>
      <c r="C5910">
        <v>120</v>
      </c>
      <c r="D5910" t="s">
        <v>5362</v>
      </c>
      <c r="E5910" t="s">
        <v>5363</v>
      </c>
      <c r="F5910" t="s">
        <v>5246</v>
      </c>
      <c r="G5910" t="s">
        <v>5364</v>
      </c>
      <c r="H5910" t="s">
        <v>5365</v>
      </c>
    </row>
    <row r="5911" spans="1:8">
      <c r="A5911" t="s">
        <v>238</v>
      </c>
      <c r="B5911" t="s">
        <v>13</v>
      </c>
      <c r="C5911">
        <v>120</v>
      </c>
      <c r="D5911" t="s">
        <v>5366</v>
      </c>
      <c r="E5911" t="s">
        <v>5367</v>
      </c>
      <c r="G5911" t="s">
        <v>5368</v>
      </c>
      <c r="H5911" t="s">
        <v>5369</v>
      </c>
    </row>
    <row r="5912" spans="1:8">
      <c r="A5912" t="s">
        <v>239</v>
      </c>
      <c r="B5912" t="s">
        <v>13</v>
      </c>
      <c r="C5912">
        <v>120</v>
      </c>
      <c r="D5912" t="s">
        <v>5370</v>
      </c>
      <c r="E5912" t="s">
        <v>5371</v>
      </c>
    </row>
    <row r="5913" spans="1:8">
      <c r="A5913" t="s">
        <v>239</v>
      </c>
      <c r="B5913" t="s">
        <v>13</v>
      </c>
      <c r="C5913">
        <v>120</v>
      </c>
      <c r="D5913" t="s">
        <v>5372</v>
      </c>
      <c r="E5913" t="s">
        <v>5373</v>
      </c>
      <c r="H5913" t="s">
        <v>5374</v>
      </c>
    </row>
    <row r="5914" spans="1:8">
      <c r="A5914" t="s">
        <v>239</v>
      </c>
      <c r="B5914" t="s">
        <v>13</v>
      </c>
      <c r="C5914">
        <v>120</v>
      </c>
      <c r="D5914" t="s">
        <v>5375</v>
      </c>
      <c r="E5914" t="s">
        <v>5376</v>
      </c>
      <c r="F5914" t="s">
        <v>13</v>
      </c>
      <c r="H5914" t="s">
        <v>5377</v>
      </c>
    </row>
    <row r="5915" spans="1:8">
      <c r="A5915" t="s">
        <v>239</v>
      </c>
      <c r="B5915" t="s">
        <v>13</v>
      </c>
      <c r="C5915">
        <v>120</v>
      </c>
      <c r="D5915" t="s">
        <v>5378</v>
      </c>
      <c r="E5915" t="s">
        <v>5379</v>
      </c>
      <c r="F5915" t="s">
        <v>5380</v>
      </c>
    </row>
    <row r="5916" spans="1:8">
      <c r="A5916" t="s">
        <v>239</v>
      </c>
      <c r="B5916" t="s">
        <v>13</v>
      </c>
      <c r="C5916">
        <v>120</v>
      </c>
      <c r="D5916" t="s">
        <v>5381</v>
      </c>
      <c r="E5916" t="s">
        <v>5382</v>
      </c>
      <c r="F5916" t="s">
        <v>28</v>
      </c>
      <c r="H5916" t="s">
        <v>5383</v>
      </c>
    </row>
    <row r="5917" spans="1:8">
      <c r="A5917" t="s">
        <v>239</v>
      </c>
      <c r="B5917" t="s">
        <v>13</v>
      </c>
      <c r="C5917">
        <v>120</v>
      </c>
      <c r="D5917" t="s">
        <v>5384</v>
      </c>
      <c r="E5917" t="s">
        <v>5385</v>
      </c>
      <c r="H5917" t="s">
        <v>5386</v>
      </c>
    </row>
    <row r="5918" spans="1:8">
      <c r="A5918" t="s">
        <v>239</v>
      </c>
      <c r="B5918" t="s">
        <v>13</v>
      </c>
      <c r="C5918">
        <v>120</v>
      </c>
      <c r="D5918" t="s">
        <v>5387</v>
      </c>
      <c r="E5918" t="s">
        <v>5388</v>
      </c>
      <c r="F5918" t="s">
        <v>5389</v>
      </c>
      <c r="H5918" t="s">
        <v>5390</v>
      </c>
    </row>
    <row r="5919" spans="1:8">
      <c r="A5919" t="s">
        <v>241</v>
      </c>
      <c r="B5919" t="s">
        <v>13</v>
      </c>
      <c r="C5919">
        <v>120</v>
      </c>
      <c r="D5919" t="s">
        <v>5391</v>
      </c>
      <c r="E5919" t="s">
        <v>5392</v>
      </c>
      <c r="F5919" t="s">
        <v>5393</v>
      </c>
      <c r="H5919" t="s">
        <v>5394</v>
      </c>
    </row>
    <row r="5920" spans="1:8">
      <c r="A5920" t="s">
        <v>246</v>
      </c>
      <c r="B5920" t="s">
        <v>13</v>
      </c>
      <c r="C5920">
        <v>120</v>
      </c>
      <c r="D5920" t="s">
        <v>5395</v>
      </c>
      <c r="E5920" t="s">
        <v>5396</v>
      </c>
      <c r="H5920" t="s">
        <v>5397</v>
      </c>
    </row>
    <row r="5921" spans="1:8">
      <c r="A5921" t="s">
        <v>241</v>
      </c>
      <c r="B5921" t="s">
        <v>13</v>
      </c>
      <c r="C5921">
        <v>120</v>
      </c>
      <c r="D5921" t="s">
        <v>5398</v>
      </c>
      <c r="E5921" t="s">
        <v>5399</v>
      </c>
      <c r="H5921" t="s">
        <v>5400</v>
      </c>
    </row>
    <row r="5922" spans="1:8">
      <c r="A5922" t="s">
        <v>243</v>
      </c>
      <c r="B5922" t="s">
        <v>13</v>
      </c>
      <c r="C5922">
        <v>120</v>
      </c>
      <c r="D5922" t="s">
        <v>5401</v>
      </c>
      <c r="E5922" t="s">
        <v>5402</v>
      </c>
      <c r="F5922" t="s">
        <v>5403</v>
      </c>
      <c r="H5922" t="s">
        <v>5404</v>
      </c>
    </row>
    <row r="5923" spans="1:8">
      <c r="A5923" t="s">
        <v>239</v>
      </c>
      <c r="B5923" t="s">
        <v>13</v>
      </c>
      <c r="C5923">
        <v>120</v>
      </c>
      <c r="D5923" t="s">
        <v>5405</v>
      </c>
      <c r="E5923" t="s">
        <v>5406</v>
      </c>
      <c r="F5923" t="s">
        <v>5407</v>
      </c>
      <c r="H5923" t="s">
        <v>5408</v>
      </c>
    </row>
    <row r="5924" spans="1:8">
      <c r="A5924" t="s">
        <v>239</v>
      </c>
      <c r="B5924" t="s">
        <v>13</v>
      </c>
      <c r="C5924">
        <v>120</v>
      </c>
      <c r="D5924" t="s">
        <v>5409</v>
      </c>
      <c r="E5924" t="s">
        <v>5410</v>
      </c>
      <c r="H5924" t="s">
        <v>5394</v>
      </c>
    </row>
    <row r="5925" spans="1:8">
      <c r="A5925" t="s">
        <v>239</v>
      </c>
      <c r="B5925" t="s">
        <v>13</v>
      </c>
      <c r="C5925">
        <v>120</v>
      </c>
      <c r="D5925" t="s">
        <v>5411</v>
      </c>
      <c r="E5925" t="s">
        <v>5412</v>
      </c>
      <c r="F5925" t="s">
        <v>5246</v>
      </c>
      <c r="H5925" t="s">
        <v>5413</v>
      </c>
    </row>
    <row r="5926" spans="1:8">
      <c r="A5926" t="s">
        <v>239</v>
      </c>
      <c r="B5926" t="s">
        <v>13</v>
      </c>
      <c r="C5926">
        <v>120</v>
      </c>
      <c r="D5926" t="s">
        <v>5414</v>
      </c>
      <c r="E5926" t="s">
        <v>5415</v>
      </c>
      <c r="H5926" t="s">
        <v>5416</v>
      </c>
    </row>
    <row r="5927" spans="1:8">
      <c r="A5927" t="s">
        <v>239</v>
      </c>
      <c r="B5927" t="s">
        <v>13</v>
      </c>
      <c r="C5927">
        <v>120</v>
      </c>
      <c r="D5927" t="s">
        <v>5417</v>
      </c>
      <c r="E5927" t="s">
        <v>5418</v>
      </c>
      <c r="H5927" t="s">
        <v>5419</v>
      </c>
    </row>
    <row r="5928" spans="1:8">
      <c r="A5928" t="s">
        <v>240</v>
      </c>
      <c r="B5928" t="s">
        <v>13</v>
      </c>
      <c r="C5928">
        <v>120</v>
      </c>
      <c r="D5928" t="s">
        <v>5420</v>
      </c>
      <c r="E5928" t="s">
        <v>5421</v>
      </c>
      <c r="F5928" t="s">
        <v>13</v>
      </c>
      <c r="G5928" t="s">
        <v>5422</v>
      </c>
      <c r="H5928" t="s">
        <v>5423</v>
      </c>
    </row>
    <row r="5929" spans="1:8">
      <c r="A5929" t="s">
        <v>239</v>
      </c>
      <c r="B5929" t="s">
        <v>13</v>
      </c>
      <c r="C5929">
        <v>120</v>
      </c>
      <c r="D5929" t="s">
        <v>5424</v>
      </c>
      <c r="E5929" t="s">
        <v>5425</v>
      </c>
      <c r="F5929" t="s">
        <v>13</v>
      </c>
      <c r="H5929" t="s">
        <v>5426</v>
      </c>
    </row>
    <row r="5930" spans="1:8">
      <c r="A5930" t="s">
        <v>239</v>
      </c>
      <c r="B5930" t="s">
        <v>13</v>
      </c>
      <c r="C5930">
        <v>120</v>
      </c>
      <c r="D5930" t="s">
        <v>5427</v>
      </c>
      <c r="E5930" t="s">
        <v>5428</v>
      </c>
    </row>
    <row r="5931" spans="1:8">
      <c r="A5931" t="s">
        <v>240</v>
      </c>
      <c r="B5931" t="s">
        <v>13</v>
      </c>
      <c r="C5931">
        <v>120</v>
      </c>
      <c r="D5931" t="s">
        <v>5429</v>
      </c>
      <c r="E5931" t="s">
        <v>5430</v>
      </c>
      <c r="F5931" t="s">
        <v>13</v>
      </c>
      <c r="H5931" t="s">
        <v>5431</v>
      </c>
    </row>
    <row r="5932" spans="1:8">
      <c r="A5932" t="s">
        <v>240</v>
      </c>
      <c r="B5932" t="s">
        <v>13</v>
      </c>
      <c r="C5932">
        <v>120</v>
      </c>
      <c r="D5932" t="s">
        <v>5432</v>
      </c>
      <c r="E5932" t="s">
        <v>5433</v>
      </c>
      <c r="F5932" t="s">
        <v>13</v>
      </c>
      <c r="G5932" t="s">
        <v>5434</v>
      </c>
      <c r="H5932" t="s">
        <v>5435</v>
      </c>
    </row>
    <row r="5933" spans="1:8">
      <c r="A5933" t="s">
        <v>240</v>
      </c>
      <c r="B5933" t="s">
        <v>13</v>
      </c>
      <c r="C5933">
        <v>120</v>
      </c>
      <c r="D5933" t="s">
        <v>5436</v>
      </c>
      <c r="E5933" t="s">
        <v>5437</v>
      </c>
      <c r="F5933" t="s">
        <v>13</v>
      </c>
      <c r="G5933" t="s">
        <v>5438</v>
      </c>
      <c r="H5933" t="s">
        <v>5439</v>
      </c>
    </row>
    <row r="5934" spans="1:8">
      <c r="A5934" t="s">
        <v>240</v>
      </c>
      <c r="B5934" t="s">
        <v>13</v>
      </c>
      <c r="C5934">
        <v>120</v>
      </c>
      <c r="D5934" t="s">
        <v>5440</v>
      </c>
      <c r="E5934" t="s">
        <v>5441</v>
      </c>
      <c r="F5934" t="s">
        <v>13</v>
      </c>
      <c r="G5934" t="s">
        <v>5442</v>
      </c>
      <c r="H5934" t="s">
        <v>5443</v>
      </c>
    </row>
    <row r="5935" spans="1:8">
      <c r="A5935" t="s">
        <v>240</v>
      </c>
      <c r="B5935" t="s">
        <v>13</v>
      </c>
      <c r="C5935">
        <v>120</v>
      </c>
      <c r="D5935" t="s">
        <v>5444</v>
      </c>
      <c r="E5935" t="s">
        <v>5445</v>
      </c>
      <c r="F5935" t="s">
        <v>13</v>
      </c>
      <c r="G5935" t="s">
        <v>5446</v>
      </c>
      <c r="H5935" t="s">
        <v>5447</v>
      </c>
    </row>
    <row r="5936" spans="1:8">
      <c r="A5936" t="s">
        <v>240</v>
      </c>
      <c r="B5936" t="s">
        <v>13</v>
      </c>
      <c r="C5936">
        <v>120</v>
      </c>
      <c r="D5936" t="s">
        <v>5448</v>
      </c>
      <c r="E5936" t="s">
        <v>5449</v>
      </c>
      <c r="F5936" t="s">
        <v>13</v>
      </c>
      <c r="G5936" t="s">
        <v>5450</v>
      </c>
      <c r="H5936" t="s">
        <v>5451</v>
      </c>
    </row>
    <row r="5937" spans="1:8">
      <c r="A5937" t="s">
        <v>240</v>
      </c>
      <c r="B5937" t="s">
        <v>13</v>
      </c>
      <c r="C5937">
        <v>120</v>
      </c>
      <c r="D5937" t="s">
        <v>5452</v>
      </c>
      <c r="E5937" t="s">
        <v>5453</v>
      </c>
      <c r="F5937" t="s">
        <v>13</v>
      </c>
      <c r="G5937" t="s">
        <v>5454</v>
      </c>
      <c r="H5937" t="s">
        <v>5455</v>
      </c>
    </row>
    <row r="5938" spans="1:8">
      <c r="A5938" t="s">
        <v>240</v>
      </c>
      <c r="B5938" t="s">
        <v>13</v>
      </c>
      <c r="C5938">
        <v>120</v>
      </c>
      <c r="D5938" t="s">
        <v>5456</v>
      </c>
      <c r="E5938" t="s">
        <v>5457</v>
      </c>
      <c r="F5938" t="s">
        <v>13</v>
      </c>
      <c r="G5938" t="s">
        <v>5458</v>
      </c>
      <c r="H5938" t="s">
        <v>5459</v>
      </c>
    </row>
    <row r="5939" spans="1:8">
      <c r="A5939" t="s">
        <v>239</v>
      </c>
      <c r="B5939" t="s">
        <v>13</v>
      </c>
      <c r="C5939">
        <v>120</v>
      </c>
      <c r="D5939" t="s">
        <v>5460</v>
      </c>
      <c r="E5939" t="s">
        <v>5461</v>
      </c>
      <c r="F5939" t="s">
        <v>13</v>
      </c>
      <c r="H5939" t="s">
        <v>5426</v>
      </c>
    </row>
    <row r="5940" spans="1:8">
      <c r="A5940" t="s">
        <v>240</v>
      </c>
      <c r="B5940" t="s">
        <v>13</v>
      </c>
      <c r="C5940">
        <v>120</v>
      </c>
      <c r="D5940" t="s">
        <v>5462</v>
      </c>
      <c r="E5940" t="s">
        <v>5463</v>
      </c>
      <c r="F5940" t="s">
        <v>13</v>
      </c>
      <c r="G5940" t="s">
        <v>5464</v>
      </c>
      <c r="H5940" t="s">
        <v>5465</v>
      </c>
    </row>
    <row r="5941" spans="1:8">
      <c r="A5941" t="s">
        <v>240</v>
      </c>
      <c r="B5941" t="s">
        <v>13</v>
      </c>
      <c r="C5941">
        <v>120</v>
      </c>
      <c r="D5941" t="s">
        <v>5466</v>
      </c>
      <c r="E5941" t="s">
        <v>5467</v>
      </c>
      <c r="F5941" t="s">
        <v>13</v>
      </c>
      <c r="G5941" t="s">
        <v>5458</v>
      </c>
      <c r="H5941" t="s">
        <v>5459</v>
      </c>
    </row>
    <row r="5942" spans="1:8">
      <c r="A5942" t="s">
        <v>240</v>
      </c>
      <c r="B5942" t="s">
        <v>13</v>
      </c>
      <c r="C5942">
        <v>120</v>
      </c>
      <c r="D5942" t="s">
        <v>5468</v>
      </c>
      <c r="E5942" t="s">
        <v>5469</v>
      </c>
      <c r="F5942" t="s">
        <v>13</v>
      </c>
      <c r="G5942" t="s">
        <v>5458</v>
      </c>
      <c r="H5942" t="s">
        <v>5459</v>
      </c>
    </row>
    <row r="5943" spans="1:8">
      <c r="A5943" t="s">
        <v>240</v>
      </c>
      <c r="B5943" t="s">
        <v>13</v>
      </c>
      <c r="C5943">
        <v>120</v>
      </c>
      <c r="D5943" t="s">
        <v>5470</v>
      </c>
      <c r="E5943" t="s">
        <v>5471</v>
      </c>
      <c r="F5943" t="s">
        <v>13</v>
      </c>
      <c r="G5943" t="s">
        <v>5472</v>
      </c>
      <c r="H5943" t="s">
        <v>5473</v>
      </c>
    </row>
    <row r="5944" spans="1:8">
      <c r="A5944" t="s">
        <v>240</v>
      </c>
      <c r="B5944" t="s">
        <v>13</v>
      </c>
      <c r="C5944">
        <v>120</v>
      </c>
      <c r="D5944" t="s">
        <v>5474</v>
      </c>
      <c r="E5944" t="s">
        <v>5475</v>
      </c>
      <c r="F5944" t="s">
        <v>13</v>
      </c>
      <c r="G5944" t="s">
        <v>5476</v>
      </c>
      <c r="H5944" t="s">
        <v>5477</v>
      </c>
    </row>
    <row r="5945" spans="1:8">
      <c r="A5945" t="s">
        <v>239</v>
      </c>
      <c r="B5945" t="s">
        <v>13</v>
      </c>
      <c r="C5945">
        <v>120</v>
      </c>
      <c r="D5945" t="s">
        <v>5478</v>
      </c>
      <c r="E5945" t="s">
        <v>5479</v>
      </c>
    </row>
    <row r="5946" spans="1:8">
      <c r="A5946" t="s">
        <v>239</v>
      </c>
      <c r="B5946" t="s">
        <v>13</v>
      </c>
      <c r="C5946">
        <v>120</v>
      </c>
      <c r="D5946" t="s">
        <v>5480</v>
      </c>
      <c r="E5946" t="s">
        <v>5481</v>
      </c>
      <c r="H5946" t="s">
        <v>5482</v>
      </c>
    </row>
    <row r="5947" spans="1:8">
      <c r="A5947" t="s">
        <v>239</v>
      </c>
      <c r="B5947" t="s">
        <v>13</v>
      </c>
      <c r="C5947">
        <v>120</v>
      </c>
      <c r="D5947" t="s">
        <v>5483</v>
      </c>
      <c r="E5947" t="s">
        <v>5484</v>
      </c>
      <c r="H5947" t="s">
        <v>5485</v>
      </c>
    </row>
    <row r="5948" spans="1:8">
      <c r="A5948" t="s">
        <v>241</v>
      </c>
      <c r="B5948" t="s">
        <v>13</v>
      </c>
      <c r="C5948">
        <v>120</v>
      </c>
      <c r="D5948" t="s">
        <v>5486</v>
      </c>
      <c r="E5948" t="s">
        <v>5487</v>
      </c>
      <c r="G5948" t="s">
        <v>5488</v>
      </c>
      <c r="H5948" t="s">
        <v>5489</v>
      </c>
    </row>
    <row r="5949" spans="1:8">
      <c r="A5949" t="s">
        <v>240</v>
      </c>
      <c r="B5949" t="s">
        <v>13</v>
      </c>
      <c r="C5949">
        <v>120</v>
      </c>
      <c r="D5949" t="s">
        <v>5490</v>
      </c>
      <c r="E5949" t="s">
        <v>5491</v>
      </c>
      <c r="F5949" t="s">
        <v>13</v>
      </c>
      <c r="G5949" t="s">
        <v>5492</v>
      </c>
      <c r="H5949" t="s">
        <v>5493</v>
      </c>
    </row>
    <row r="5950" spans="1:8">
      <c r="A5950" t="s">
        <v>239</v>
      </c>
      <c r="B5950" t="s">
        <v>13</v>
      </c>
      <c r="C5950">
        <v>120</v>
      </c>
      <c r="D5950" t="s">
        <v>5494</v>
      </c>
      <c r="E5950" t="s">
        <v>5495</v>
      </c>
    </row>
    <row r="5951" spans="1:8">
      <c r="A5951" t="s">
        <v>239</v>
      </c>
      <c r="B5951" t="s">
        <v>13</v>
      </c>
      <c r="C5951">
        <v>120</v>
      </c>
      <c r="D5951" t="s">
        <v>5496</v>
      </c>
      <c r="E5951" t="s">
        <v>5497</v>
      </c>
      <c r="H5951" t="s">
        <v>5498</v>
      </c>
    </row>
    <row r="5952" spans="1:8">
      <c r="A5952" t="s">
        <v>239</v>
      </c>
      <c r="B5952" t="s">
        <v>13</v>
      </c>
      <c r="C5952">
        <v>120</v>
      </c>
      <c r="D5952" t="s">
        <v>5499</v>
      </c>
      <c r="E5952" t="s">
        <v>5500</v>
      </c>
      <c r="H5952" t="s">
        <v>5501</v>
      </c>
    </row>
    <row r="5953" spans="1:8">
      <c r="A5953" t="s">
        <v>240</v>
      </c>
      <c r="B5953" t="s">
        <v>13</v>
      </c>
      <c r="C5953">
        <v>120</v>
      </c>
      <c r="D5953" t="s">
        <v>5502</v>
      </c>
      <c r="E5953" t="s">
        <v>5503</v>
      </c>
      <c r="F5953" t="s">
        <v>5504</v>
      </c>
      <c r="G5953" t="s">
        <v>5505</v>
      </c>
      <c r="H5953" t="s">
        <v>5506</v>
      </c>
    </row>
    <row r="5954" spans="1:8">
      <c r="A5954" t="s">
        <v>240</v>
      </c>
      <c r="B5954" t="s">
        <v>13</v>
      </c>
      <c r="C5954">
        <v>120</v>
      </c>
      <c r="D5954" t="s">
        <v>5507</v>
      </c>
      <c r="E5954" t="s">
        <v>5508</v>
      </c>
      <c r="F5954" t="s">
        <v>13</v>
      </c>
      <c r="G5954" t="s">
        <v>5509</v>
      </c>
      <c r="H5954" t="s">
        <v>5510</v>
      </c>
    </row>
    <row r="5955" spans="1:8">
      <c r="A5955" t="s">
        <v>238</v>
      </c>
      <c r="B5955" t="s">
        <v>13</v>
      </c>
      <c r="C5955">
        <v>120</v>
      </c>
      <c r="D5955" t="s">
        <v>5511</v>
      </c>
      <c r="E5955" t="s">
        <v>5512</v>
      </c>
      <c r="F5955" t="s">
        <v>5513</v>
      </c>
      <c r="H5955" t="s">
        <v>5514</v>
      </c>
    </row>
    <row r="5956" spans="1:8">
      <c r="A5956" t="s">
        <v>241</v>
      </c>
      <c r="B5956" t="s">
        <v>13</v>
      </c>
      <c r="C5956">
        <v>120</v>
      </c>
      <c r="D5956" t="s">
        <v>5515</v>
      </c>
      <c r="E5956" t="s">
        <v>5516</v>
      </c>
      <c r="F5956" t="s">
        <v>13</v>
      </c>
      <c r="G5956" t="s">
        <v>5517</v>
      </c>
      <c r="H5956" t="s">
        <v>5518</v>
      </c>
    </row>
    <row r="5957" spans="1:8">
      <c r="A5957" t="s">
        <v>241</v>
      </c>
      <c r="B5957" t="s">
        <v>13</v>
      </c>
      <c r="C5957">
        <v>120</v>
      </c>
      <c r="D5957" t="s">
        <v>5519</v>
      </c>
      <c r="E5957" t="s">
        <v>5520</v>
      </c>
      <c r="F5957" t="s">
        <v>13</v>
      </c>
      <c r="G5957" t="s">
        <v>5521</v>
      </c>
      <c r="H5957" t="s">
        <v>5522</v>
      </c>
    </row>
    <row r="5958" spans="1:8">
      <c r="A5958" t="s">
        <v>241</v>
      </c>
      <c r="B5958" t="s">
        <v>13</v>
      </c>
      <c r="C5958">
        <v>120</v>
      </c>
      <c r="D5958" t="s">
        <v>5523</v>
      </c>
      <c r="E5958" t="s">
        <v>5524</v>
      </c>
      <c r="F5958" t="s">
        <v>13</v>
      </c>
      <c r="G5958" t="s">
        <v>5525</v>
      </c>
      <c r="H5958" t="s">
        <v>5526</v>
      </c>
    </row>
    <row r="5959" spans="1:8">
      <c r="A5959" t="s">
        <v>241</v>
      </c>
      <c r="B5959" t="s">
        <v>13</v>
      </c>
      <c r="C5959">
        <v>120</v>
      </c>
      <c r="D5959" t="s">
        <v>5527</v>
      </c>
      <c r="E5959" t="s">
        <v>5528</v>
      </c>
      <c r="H5959" t="s">
        <v>5529</v>
      </c>
    </row>
    <row r="5960" spans="1:8">
      <c r="A5960" t="s">
        <v>241</v>
      </c>
      <c r="B5960" t="s">
        <v>13</v>
      </c>
      <c r="C5960">
        <v>120</v>
      </c>
      <c r="D5960" t="s">
        <v>5530</v>
      </c>
      <c r="E5960" t="s">
        <v>5531</v>
      </c>
      <c r="F5960" t="s">
        <v>5393</v>
      </c>
      <c r="G5960" t="s">
        <v>5532</v>
      </c>
      <c r="H5960" t="s">
        <v>5533</v>
      </c>
    </row>
    <row r="5961" spans="1:8">
      <c r="A5961" t="s">
        <v>240</v>
      </c>
      <c r="B5961" t="s">
        <v>13</v>
      </c>
      <c r="C5961">
        <v>120</v>
      </c>
      <c r="D5961" t="s">
        <v>5534</v>
      </c>
      <c r="E5961" t="s">
        <v>5535</v>
      </c>
      <c r="F5961" t="s">
        <v>13</v>
      </c>
      <c r="G5961" t="s">
        <v>5536</v>
      </c>
      <c r="H5961" t="s">
        <v>5537</v>
      </c>
    </row>
    <row r="5962" spans="1:8">
      <c r="A5962" t="s">
        <v>245</v>
      </c>
      <c r="B5962" t="s">
        <v>13</v>
      </c>
      <c r="C5962">
        <v>120</v>
      </c>
      <c r="D5962" t="s">
        <v>5538</v>
      </c>
      <c r="E5962" t="s">
        <v>5539</v>
      </c>
      <c r="G5962" t="s">
        <v>5540</v>
      </c>
    </row>
    <row r="5963" spans="1:8">
      <c r="A5963" t="s">
        <v>241</v>
      </c>
      <c r="B5963" t="s">
        <v>13</v>
      </c>
      <c r="C5963">
        <v>120</v>
      </c>
      <c r="D5963" t="s">
        <v>5541</v>
      </c>
      <c r="E5963" t="s">
        <v>5542</v>
      </c>
      <c r="F5963" t="s">
        <v>5543</v>
      </c>
      <c r="H5963" t="s">
        <v>5544</v>
      </c>
    </row>
    <row r="5964" spans="1:8">
      <c r="A5964" t="s">
        <v>243</v>
      </c>
      <c r="B5964" t="s">
        <v>13</v>
      </c>
      <c r="C5964">
        <v>120</v>
      </c>
      <c r="D5964" t="s">
        <v>5545</v>
      </c>
      <c r="E5964" t="s">
        <v>5546</v>
      </c>
      <c r="F5964" t="s">
        <v>5547</v>
      </c>
      <c r="G5964" t="s">
        <v>5548</v>
      </c>
      <c r="H5964" t="s">
        <v>5549</v>
      </c>
    </row>
    <row r="5965" spans="1:8">
      <c r="A5965" t="s">
        <v>241</v>
      </c>
      <c r="B5965" t="s">
        <v>13</v>
      </c>
      <c r="C5965">
        <v>120</v>
      </c>
      <c r="D5965" t="s">
        <v>5550</v>
      </c>
      <c r="E5965" t="s">
        <v>5551</v>
      </c>
      <c r="F5965" t="s">
        <v>5552</v>
      </c>
      <c r="G5965" t="s">
        <v>5553</v>
      </c>
      <c r="H5965" t="s">
        <v>5554</v>
      </c>
    </row>
    <row r="5966" spans="1:8">
      <c r="A5966" t="s">
        <v>243</v>
      </c>
      <c r="B5966" t="s">
        <v>13</v>
      </c>
      <c r="C5966">
        <v>120</v>
      </c>
      <c r="D5966" t="s">
        <v>4769</v>
      </c>
      <c r="E5966" t="s">
        <v>5555</v>
      </c>
      <c r="F5966" t="s">
        <v>5293</v>
      </c>
      <c r="G5966" t="s">
        <v>5556</v>
      </c>
      <c r="H5966" t="s">
        <v>5557</v>
      </c>
    </row>
    <row r="5967" spans="1:8">
      <c r="A5967" t="s">
        <v>241</v>
      </c>
      <c r="B5967" t="s">
        <v>13</v>
      </c>
      <c r="C5967">
        <v>120</v>
      </c>
      <c r="D5967" t="s">
        <v>5558</v>
      </c>
      <c r="E5967" t="s">
        <v>5559</v>
      </c>
      <c r="F5967" t="s">
        <v>5560</v>
      </c>
      <c r="H5967" t="s">
        <v>5561</v>
      </c>
    </row>
    <row r="5968" spans="1:8">
      <c r="A5968" t="s">
        <v>249</v>
      </c>
      <c r="B5968" t="s">
        <v>13</v>
      </c>
      <c r="C5968">
        <v>120</v>
      </c>
      <c r="D5968" t="s">
        <v>5562</v>
      </c>
      <c r="E5968" t="s">
        <v>5563</v>
      </c>
      <c r="G5968" t="s">
        <v>5564</v>
      </c>
      <c r="H5968" t="s">
        <v>5565</v>
      </c>
    </row>
    <row r="5969" spans="1:8">
      <c r="A5969" t="s">
        <v>250</v>
      </c>
      <c r="B5969" t="s">
        <v>13</v>
      </c>
      <c r="C5969">
        <v>120</v>
      </c>
      <c r="D5969" t="s">
        <v>5566</v>
      </c>
      <c r="E5969" t="s">
        <v>5567</v>
      </c>
      <c r="G5969" t="s">
        <v>5568</v>
      </c>
    </row>
    <row r="5970" spans="1:8">
      <c r="A5970" t="s">
        <v>238</v>
      </c>
      <c r="B5970" t="s">
        <v>13</v>
      </c>
      <c r="C5970">
        <v>120</v>
      </c>
      <c r="D5970" t="s">
        <v>5569</v>
      </c>
      <c r="E5970" t="s">
        <v>5570</v>
      </c>
      <c r="F5970" t="s">
        <v>13</v>
      </c>
      <c r="G5970" t="s">
        <v>5571</v>
      </c>
      <c r="H5970" t="s">
        <v>5572</v>
      </c>
    </row>
    <row r="5971" spans="1:8">
      <c r="A5971" t="s">
        <v>241</v>
      </c>
      <c r="B5971" t="s">
        <v>13</v>
      </c>
      <c r="C5971">
        <v>120</v>
      </c>
      <c r="D5971" t="s">
        <v>5573</v>
      </c>
      <c r="E5971" t="s">
        <v>5574</v>
      </c>
      <c r="F5971" t="s">
        <v>5575</v>
      </c>
      <c r="H5971" t="s">
        <v>5576</v>
      </c>
    </row>
    <row r="5972" spans="1:8">
      <c r="A5972" t="s">
        <v>241</v>
      </c>
      <c r="B5972" t="s">
        <v>13</v>
      </c>
      <c r="C5972">
        <v>120</v>
      </c>
      <c r="D5972" t="s">
        <v>5577</v>
      </c>
      <c r="E5972" t="s">
        <v>5578</v>
      </c>
      <c r="F5972" t="s">
        <v>13</v>
      </c>
      <c r="H5972" t="s">
        <v>5579</v>
      </c>
    </row>
    <row r="5973" spans="1:8">
      <c r="A5973" t="s">
        <v>240</v>
      </c>
      <c r="B5973" t="s">
        <v>13</v>
      </c>
      <c r="C5973">
        <v>120</v>
      </c>
      <c r="D5973" t="s">
        <v>5580</v>
      </c>
      <c r="E5973" t="s">
        <v>5581</v>
      </c>
      <c r="F5973" t="s">
        <v>13</v>
      </c>
    </row>
    <row r="5974" spans="1:8">
      <c r="A5974" t="s">
        <v>249</v>
      </c>
      <c r="B5974" t="s">
        <v>13</v>
      </c>
      <c r="C5974">
        <v>120</v>
      </c>
      <c r="D5974" t="s">
        <v>5582</v>
      </c>
      <c r="E5974" t="s">
        <v>5583</v>
      </c>
      <c r="F5974" t="s">
        <v>13</v>
      </c>
      <c r="G5974" t="s">
        <v>5584</v>
      </c>
      <c r="H5974" t="s">
        <v>5585</v>
      </c>
    </row>
    <row r="5975" spans="1:8">
      <c r="A5975" t="s">
        <v>243</v>
      </c>
      <c r="B5975" t="s">
        <v>13</v>
      </c>
      <c r="C5975">
        <v>120</v>
      </c>
      <c r="D5975" t="s">
        <v>5586</v>
      </c>
      <c r="E5975" t="s">
        <v>5587</v>
      </c>
      <c r="G5975" t="s">
        <v>5588</v>
      </c>
      <c r="H5975" t="s">
        <v>5589</v>
      </c>
    </row>
    <row r="5976" spans="1:8">
      <c r="A5976" t="s">
        <v>249</v>
      </c>
      <c r="B5976" t="s">
        <v>13</v>
      </c>
      <c r="C5976">
        <v>120</v>
      </c>
      <c r="D5976" t="s">
        <v>5590</v>
      </c>
      <c r="E5976" t="s">
        <v>5591</v>
      </c>
      <c r="F5976" t="s">
        <v>13</v>
      </c>
    </row>
    <row r="5977" spans="1:8">
      <c r="A5977" t="s">
        <v>249</v>
      </c>
      <c r="B5977" t="s">
        <v>13</v>
      </c>
      <c r="C5977">
        <v>120</v>
      </c>
      <c r="D5977" t="s">
        <v>5592</v>
      </c>
      <c r="E5977" t="s">
        <v>5593</v>
      </c>
      <c r="F5977" t="s">
        <v>13</v>
      </c>
      <c r="G5977" t="s">
        <v>5594</v>
      </c>
      <c r="H5977" t="s">
        <v>5595</v>
      </c>
    </row>
    <row r="5978" spans="1:8">
      <c r="A5978" t="s">
        <v>242</v>
      </c>
      <c r="B5978" t="s">
        <v>13</v>
      </c>
      <c r="C5978">
        <v>120</v>
      </c>
      <c r="D5978" t="s">
        <v>5596</v>
      </c>
      <c r="E5978" t="s">
        <v>5597</v>
      </c>
      <c r="F5978" t="s">
        <v>13</v>
      </c>
      <c r="H5978" t="s">
        <v>5598</v>
      </c>
    </row>
    <row r="5979" spans="1:8">
      <c r="A5979" t="s">
        <v>251</v>
      </c>
      <c r="B5979" t="s">
        <v>13</v>
      </c>
      <c r="C5979">
        <v>120</v>
      </c>
      <c r="D5979" t="s">
        <v>5599</v>
      </c>
      <c r="E5979" t="s">
        <v>5600</v>
      </c>
      <c r="F5979" t="s">
        <v>13</v>
      </c>
    </row>
    <row r="5980" spans="1:8">
      <c r="A5980" t="s">
        <v>242</v>
      </c>
      <c r="B5980" t="s">
        <v>13</v>
      </c>
      <c r="C5980">
        <v>120</v>
      </c>
      <c r="D5980" t="s">
        <v>5601</v>
      </c>
      <c r="E5980" t="s">
        <v>5602</v>
      </c>
      <c r="F5980" t="s">
        <v>13</v>
      </c>
      <c r="G5980" t="s">
        <v>5603</v>
      </c>
      <c r="H5980" t="s">
        <v>5604</v>
      </c>
    </row>
    <row r="5981" spans="1:8">
      <c r="A5981" t="s">
        <v>251</v>
      </c>
      <c r="B5981" t="s">
        <v>13</v>
      </c>
      <c r="C5981">
        <v>120</v>
      </c>
      <c r="D5981" t="s">
        <v>5605</v>
      </c>
      <c r="E5981" t="s">
        <v>5606</v>
      </c>
      <c r="F5981" t="s">
        <v>13</v>
      </c>
      <c r="G5981" t="s">
        <v>5607</v>
      </c>
      <c r="H5981" t="s">
        <v>5608</v>
      </c>
    </row>
    <row r="5982" spans="1:8">
      <c r="A5982" t="s">
        <v>251</v>
      </c>
      <c r="B5982" t="s">
        <v>13</v>
      </c>
      <c r="C5982">
        <v>120</v>
      </c>
      <c r="D5982" t="s">
        <v>5609</v>
      </c>
      <c r="E5982" t="s">
        <v>5234</v>
      </c>
      <c r="F5982" t="s">
        <v>13</v>
      </c>
    </row>
    <row r="5983" spans="1:8">
      <c r="A5983" t="s">
        <v>240</v>
      </c>
      <c r="B5983" t="s">
        <v>13</v>
      </c>
      <c r="C5983">
        <v>120</v>
      </c>
      <c r="D5983" t="s">
        <v>5610</v>
      </c>
      <c r="E5983" t="s">
        <v>5611</v>
      </c>
      <c r="F5983" t="s">
        <v>13</v>
      </c>
      <c r="G5983" t="s">
        <v>5612</v>
      </c>
      <c r="H5983" t="s">
        <v>5613</v>
      </c>
    </row>
    <row r="5984" spans="1:8">
      <c r="A5984" t="s">
        <v>251</v>
      </c>
      <c r="B5984" t="s">
        <v>13</v>
      </c>
      <c r="C5984">
        <v>120</v>
      </c>
      <c r="D5984" t="s">
        <v>5614</v>
      </c>
      <c r="E5984" t="s">
        <v>5615</v>
      </c>
      <c r="F5984" t="s">
        <v>13</v>
      </c>
    </row>
    <row r="5985" spans="1:8">
      <c r="A5985" t="s">
        <v>242</v>
      </c>
      <c r="B5985" t="s">
        <v>13</v>
      </c>
      <c r="C5985">
        <v>120</v>
      </c>
      <c r="D5985" t="s">
        <v>5616</v>
      </c>
      <c r="E5985" t="s">
        <v>5617</v>
      </c>
      <c r="F5985" t="s">
        <v>13</v>
      </c>
      <c r="H5985" t="s">
        <v>5618</v>
      </c>
    </row>
    <row r="5986" spans="1:8">
      <c r="A5986" t="s">
        <v>242</v>
      </c>
      <c r="B5986" t="s">
        <v>13</v>
      </c>
      <c r="C5986">
        <v>120</v>
      </c>
      <c r="D5986" t="s">
        <v>5619</v>
      </c>
      <c r="E5986" t="s">
        <v>5620</v>
      </c>
      <c r="F5986" t="s">
        <v>13</v>
      </c>
      <c r="H5986" t="s">
        <v>5621</v>
      </c>
    </row>
    <row r="5987" spans="1:8">
      <c r="A5987" t="s">
        <v>249</v>
      </c>
      <c r="B5987" t="s">
        <v>13</v>
      </c>
      <c r="C5987">
        <v>120</v>
      </c>
      <c r="D5987" t="s">
        <v>956</v>
      </c>
      <c r="E5987" t="s">
        <v>5622</v>
      </c>
      <c r="F5987" t="s">
        <v>5623</v>
      </c>
      <c r="G5987" t="s">
        <v>5624</v>
      </c>
      <c r="H5987" t="s">
        <v>5625</v>
      </c>
    </row>
    <row r="5988" spans="1:8">
      <c r="A5988" t="s">
        <v>249</v>
      </c>
      <c r="B5988" t="s">
        <v>13</v>
      </c>
      <c r="C5988">
        <v>120</v>
      </c>
      <c r="D5988" t="s">
        <v>5626</v>
      </c>
      <c r="E5988" t="s">
        <v>5627</v>
      </c>
      <c r="F5988" t="s">
        <v>13</v>
      </c>
      <c r="G5988" t="s">
        <v>5628</v>
      </c>
      <c r="H5988" t="s">
        <v>5629</v>
      </c>
    </row>
    <row r="5989" spans="1:8">
      <c r="A5989" t="s">
        <v>246</v>
      </c>
      <c r="B5989" t="s">
        <v>13</v>
      </c>
      <c r="C5989">
        <v>120</v>
      </c>
      <c r="D5989" t="s">
        <v>5630</v>
      </c>
      <c r="E5989" t="s">
        <v>5631</v>
      </c>
      <c r="F5989" t="s">
        <v>13</v>
      </c>
    </row>
    <row r="5990" spans="1:8">
      <c r="A5990" t="s">
        <v>246</v>
      </c>
      <c r="B5990" t="s">
        <v>13</v>
      </c>
      <c r="C5990">
        <v>120</v>
      </c>
      <c r="D5990" t="s">
        <v>5632</v>
      </c>
      <c r="E5990" t="s">
        <v>5539</v>
      </c>
      <c r="F5990" t="s">
        <v>13</v>
      </c>
      <c r="H5990" t="s">
        <v>5633</v>
      </c>
    </row>
    <row r="5991" spans="1:8">
      <c r="A5991" t="s">
        <v>246</v>
      </c>
      <c r="B5991" t="s">
        <v>13</v>
      </c>
      <c r="C5991">
        <v>120</v>
      </c>
      <c r="D5991" t="s">
        <v>5634</v>
      </c>
      <c r="E5991" t="s">
        <v>5635</v>
      </c>
      <c r="F5991" t="s">
        <v>5636</v>
      </c>
    </row>
    <row r="5992" spans="1:8">
      <c r="A5992" t="s">
        <v>246</v>
      </c>
      <c r="B5992" t="s">
        <v>13</v>
      </c>
      <c r="C5992">
        <v>120</v>
      </c>
      <c r="D5992" t="s">
        <v>5637</v>
      </c>
      <c r="E5992" t="s">
        <v>5638</v>
      </c>
      <c r="F5992" t="s">
        <v>13</v>
      </c>
      <c r="H5992" t="s">
        <v>5639</v>
      </c>
    </row>
    <row r="5993" spans="1:8">
      <c r="A5993" t="s">
        <v>251</v>
      </c>
      <c r="B5993" t="s">
        <v>13</v>
      </c>
      <c r="C5993">
        <v>120</v>
      </c>
      <c r="D5993" t="s">
        <v>5640</v>
      </c>
      <c r="E5993" t="s">
        <v>5641</v>
      </c>
      <c r="F5993" t="s">
        <v>13</v>
      </c>
      <c r="G5993" t="s">
        <v>5642</v>
      </c>
      <c r="H5993" t="s">
        <v>5643</v>
      </c>
    </row>
    <row r="5994" spans="1:8">
      <c r="A5994" t="s">
        <v>243</v>
      </c>
      <c r="B5994" t="s">
        <v>13</v>
      </c>
      <c r="C5994">
        <v>120</v>
      </c>
      <c r="D5994" t="s">
        <v>5644</v>
      </c>
      <c r="E5994" t="s">
        <v>5645</v>
      </c>
      <c r="F5994" t="s">
        <v>13</v>
      </c>
      <c r="H5994" t="s">
        <v>5404</v>
      </c>
    </row>
    <row r="5995" spans="1:8">
      <c r="A5995" t="s">
        <v>241</v>
      </c>
      <c r="B5995" t="s">
        <v>13</v>
      </c>
      <c r="C5995">
        <v>120</v>
      </c>
      <c r="D5995" t="s">
        <v>5646</v>
      </c>
      <c r="E5995" t="s">
        <v>5647</v>
      </c>
      <c r="F5995" t="s">
        <v>13</v>
      </c>
      <c r="G5995" t="s">
        <v>5648</v>
      </c>
      <c r="H5995" t="s">
        <v>5649</v>
      </c>
    </row>
    <row r="5996" spans="1:8">
      <c r="A5996" t="s">
        <v>241</v>
      </c>
      <c r="B5996" t="s">
        <v>13</v>
      </c>
      <c r="C5996">
        <v>120</v>
      </c>
      <c r="D5996" t="s">
        <v>5650</v>
      </c>
      <c r="E5996" t="s">
        <v>5651</v>
      </c>
      <c r="F5996" t="s">
        <v>0</v>
      </c>
      <c r="H5996" t="s">
        <v>5652</v>
      </c>
    </row>
    <row r="5997" spans="1:8">
      <c r="A5997" t="s">
        <v>243</v>
      </c>
      <c r="B5997" t="s">
        <v>13</v>
      </c>
      <c r="C5997">
        <v>120</v>
      </c>
      <c r="D5997" t="s">
        <v>5653</v>
      </c>
      <c r="E5997" t="s">
        <v>5654</v>
      </c>
      <c r="F5997" t="s">
        <v>13</v>
      </c>
      <c r="G5997" t="s">
        <v>5655</v>
      </c>
      <c r="H5997" t="s">
        <v>5656</v>
      </c>
    </row>
    <row r="5998" spans="1:8">
      <c r="A5998" t="s">
        <v>242</v>
      </c>
      <c r="B5998" t="s">
        <v>13</v>
      </c>
      <c r="C5998">
        <v>120</v>
      </c>
      <c r="D5998" t="s">
        <v>5657</v>
      </c>
      <c r="E5998" t="s">
        <v>5658</v>
      </c>
      <c r="F5998" t="s">
        <v>13</v>
      </c>
      <c r="G5998" t="s">
        <v>5659</v>
      </c>
      <c r="H5998" t="s">
        <v>5660</v>
      </c>
    </row>
    <row r="5999" spans="1:8">
      <c r="A5999" t="s">
        <v>246</v>
      </c>
      <c r="B5999" t="s">
        <v>13</v>
      </c>
      <c r="C5999">
        <v>120</v>
      </c>
      <c r="D5999" t="s">
        <v>5661</v>
      </c>
      <c r="E5999" t="s">
        <v>5662</v>
      </c>
      <c r="F5999" t="s">
        <v>13</v>
      </c>
      <c r="H5999" t="s">
        <v>5663</v>
      </c>
    </row>
    <row r="6000" spans="1:8">
      <c r="A6000" t="s">
        <v>239</v>
      </c>
      <c r="B6000" t="s">
        <v>13</v>
      </c>
      <c r="C6000">
        <v>120</v>
      </c>
      <c r="D6000" t="s">
        <v>5664</v>
      </c>
      <c r="E6000" t="s">
        <v>5665</v>
      </c>
    </row>
    <row r="6001" spans="1:8">
      <c r="A6001" t="s">
        <v>239</v>
      </c>
      <c r="B6001" t="s">
        <v>13</v>
      </c>
      <c r="C6001">
        <v>120</v>
      </c>
      <c r="D6001" t="s">
        <v>5666</v>
      </c>
      <c r="E6001" t="s">
        <v>5667</v>
      </c>
      <c r="F6001" t="s">
        <v>13</v>
      </c>
      <c r="H6001" t="s">
        <v>5668</v>
      </c>
    </row>
    <row r="6002" spans="1:8">
      <c r="A6002" t="s">
        <v>239</v>
      </c>
      <c r="B6002" t="s">
        <v>13</v>
      </c>
      <c r="C6002">
        <v>120</v>
      </c>
      <c r="D6002" t="s">
        <v>5669</v>
      </c>
      <c r="E6002" t="s">
        <v>5670</v>
      </c>
      <c r="F6002" t="s">
        <v>13</v>
      </c>
      <c r="H6002" t="s">
        <v>5671</v>
      </c>
    </row>
    <row r="6003" spans="1:8">
      <c r="A6003" t="s">
        <v>239</v>
      </c>
      <c r="B6003" t="s">
        <v>13</v>
      </c>
      <c r="C6003">
        <v>120</v>
      </c>
      <c r="D6003" t="s">
        <v>5672</v>
      </c>
      <c r="E6003" t="s">
        <v>5673</v>
      </c>
    </row>
    <row r="6004" spans="1:8">
      <c r="A6004" t="s">
        <v>239</v>
      </c>
      <c r="B6004" t="s">
        <v>13</v>
      </c>
      <c r="C6004">
        <v>120</v>
      </c>
      <c r="D6004" t="s">
        <v>5674</v>
      </c>
      <c r="E6004" t="s">
        <v>5675</v>
      </c>
    </row>
    <row r="6005" spans="1:8">
      <c r="A6005" t="s">
        <v>250</v>
      </c>
      <c r="B6005" t="s">
        <v>13</v>
      </c>
      <c r="C6005">
        <v>120</v>
      </c>
      <c r="D6005" t="s">
        <v>5676</v>
      </c>
      <c r="F6005" t="s">
        <v>5677</v>
      </c>
      <c r="G6005" t="s">
        <v>5678</v>
      </c>
      <c r="H6005" t="s">
        <v>5679</v>
      </c>
    </row>
    <row r="6006" spans="1:8">
      <c r="A6006" t="s">
        <v>239</v>
      </c>
      <c r="B6006" t="s">
        <v>13</v>
      </c>
      <c r="C6006">
        <v>120</v>
      </c>
      <c r="D6006" t="s">
        <v>5680</v>
      </c>
      <c r="E6006" t="s">
        <v>5681</v>
      </c>
      <c r="H6006" t="s">
        <v>5682</v>
      </c>
    </row>
    <row r="6007" spans="1:8">
      <c r="A6007" t="s">
        <v>241</v>
      </c>
      <c r="B6007" t="s">
        <v>13</v>
      </c>
      <c r="C6007">
        <v>120</v>
      </c>
      <c r="D6007" t="s">
        <v>5683</v>
      </c>
      <c r="E6007" t="s">
        <v>5684</v>
      </c>
      <c r="G6007" t="s">
        <v>5685</v>
      </c>
      <c r="H6007" t="s">
        <v>5686</v>
      </c>
    </row>
    <row r="6008" spans="1:8">
      <c r="A6008" t="s">
        <v>239</v>
      </c>
      <c r="B6008" t="s">
        <v>13</v>
      </c>
      <c r="C6008">
        <v>120</v>
      </c>
      <c r="D6008" t="s">
        <v>5687</v>
      </c>
      <c r="E6008" t="s">
        <v>5688</v>
      </c>
    </row>
    <row r="6009" spans="1:8">
      <c r="A6009" t="s">
        <v>239</v>
      </c>
      <c r="B6009" t="s">
        <v>13</v>
      </c>
      <c r="C6009">
        <v>120</v>
      </c>
      <c r="D6009" t="s">
        <v>5689</v>
      </c>
      <c r="E6009" t="s">
        <v>5690</v>
      </c>
      <c r="F6009" t="s">
        <v>5691</v>
      </c>
      <c r="H6009" t="s">
        <v>5692</v>
      </c>
    </row>
    <row r="6010" spans="1:8">
      <c r="A6010" t="s">
        <v>239</v>
      </c>
      <c r="B6010" t="s">
        <v>13</v>
      </c>
      <c r="C6010">
        <v>120</v>
      </c>
      <c r="D6010" t="s">
        <v>5693</v>
      </c>
      <c r="E6010" t="s">
        <v>5694</v>
      </c>
      <c r="H6010" t="s">
        <v>5501</v>
      </c>
    </row>
    <row r="6011" spans="1:8">
      <c r="A6011" t="s">
        <v>239</v>
      </c>
      <c r="B6011" t="s">
        <v>13</v>
      </c>
      <c r="C6011">
        <v>120</v>
      </c>
      <c r="D6011" t="s">
        <v>5695</v>
      </c>
      <c r="E6011" t="s">
        <v>5696</v>
      </c>
    </row>
    <row r="6012" spans="1:8">
      <c r="A6012" t="s">
        <v>240</v>
      </c>
      <c r="B6012" t="s">
        <v>13</v>
      </c>
      <c r="C6012">
        <v>120</v>
      </c>
      <c r="D6012" t="s">
        <v>5697</v>
      </c>
      <c r="E6012" t="s">
        <v>5698</v>
      </c>
      <c r="F6012" t="s">
        <v>5699</v>
      </c>
      <c r="G6012" t="s">
        <v>5700</v>
      </c>
      <c r="H6012" t="s">
        <v>5701</v>
      </c>
    </row>
    <row r="6013" spans="1:8">
      <c r="A6013" t="s">
        <v>241</v>
      </c>
      <c r="B6013" t="s">
        <v>13</v>
      </c>
      <c r="C6013">
        <v>120</v>
      </c>
      <c r="D6013" t="s">
        <v>5702</v>
      </c>
      <c r="E6013" t="s">
        <v>5703</v>
      </c>
      <c r="H6013" t="s">
        <v>5704</v>
      </c>
    </row>
    <row r="6014" spans="1:8">
      <c r="A6014" t="s">
        <v>239</v>
      </c>
      <c r="B6014" t="s">
        <v>13</v>
      </c>
      <c r="C6014">
        <v>120</v>
      </c>
      <c r="D6014" t="s">
        <v>5705</v>
      </c>
      <c r="E6014" t="s">
        <v>5706</v>
      </c>
    </row>
    <row r="6015" spans="1:8">
      <c r="A6015" t="s">
        <v>243</v>
      </c>
      <c r="B6015" t="s">
        <v>13</v>
      </c>
      <c r="C6015">
        <v>120</v>
      </c>
      <c r="D6015" t="s">
        <v>5707</v>
      </c>
      <c r="E6015" t="s">
        <v>5708</v>
      </c>
      <c r="F6015" t="s">
        <v>5709</v>
      </c>
      <c r="G6015" t="s">
        <v>5710</v>
      </c>
      <c r="H6015" t="s">
        <v>5711</v>
      </c>
    </row>
    <row r="6016" spans="1:8">
      <c r="A6016" t="s">
        <v>241</v>
      </c>
      <c r="B6016" t="s">
        <v>13</v>
      </c>
      <c r="C6016">
        <v>120</v>
      </c>
      <c r="D6016" t="s">
        <v>5712</v>
      </c>
      <c r="E6016" t="s">
        <v>5713</v>
      </c>
      <c r="F6016" t="s">
        <v>13</v>
      </c>
      <c r="H6016" t="s">
        <v>5714</v>
      </c>
    </row>
    <row r="6017" spans="1:8">
      <c r="A6017" t="s">
        <v>243</v>
      </c>
      <c r="B6017" t="s">
        <v>13</v>
      </c>
      <c r="C6017">
        <v>120</v>
      </c>
      <c r="D6017" t="s">
        <v>5240</v>
      </c>
      <c r="E6017" t="s">
        <v>5715</v>
      </c>
      <c r="F6017" t="s">
        <v>958</v>
      </c>
      <c r="G6017" t="s">
        <v>5716</v>
      </c>
      <c r="H6017" t="s">
        <v>5717</v>
      </c>
    </row>
    <row r="6018" spans="1:8">
      <c r="A6018" t="s">
        <v>242</v>
      </c>
      <c r="B6018" t="s">
        <v>13</v>
      </c>
      <c r="C6018">
        <v>120</v>
      </c>
      <c r="D6018" t="s">
        <v>5718</v>
      </c>
      <c r="E6018" t="s">
        <v>5719</v>
      </c>
      <c r="F6018" t="s">
        <v>13</v>
      </c>
      <c r="G6018" t="s">
        <v>5720</v>
      </c>
      <c r="H6018" t="s">
        <v>5721</v>
      </c>
    </row>
    <row r="6019" spans="1:8">
      <c r="A6019" t="s">
        <v>241</v>
      </c>
      <c r="B6019" t="s">
        <v>13</v>
      </c>
      <c r="C6019">
        <v>120</v>
      </c>
      <c r="D6019" t="s">
        <v>5722</v>
      </c>
      <c r="E6019" t="s">
        <v>5723</v>
      </c>
      <c r="F6019" t="s">
        <v>13</v>
      </c>
      <c r="H6019" t="s">
        <v>5724</v>
      </c>
    </row>
    <row r="6020" spans="1:8">
      <c r="A6020" t="s">
        <v>242</v>
      </c>
      <c r="B6020" t="s">
        <v>13</v>
      </c>
      <c r="C6020">
        <v>120</v>
      </c>
      <c r="D6020" t="s">
        <v>5725</v>
      </c>
      <c r="E6020" t="s">
        <v>5726</v>
      </c>
      <c r="F6020" t="s">
        <v>13</v>
      </c>
      <c r="G6020" t="s">
        <v>5727</v>
      </c>
      <c r="H6020" t="s">
        <v>5728</v>
      </c>
    </row>
    <row r="6021" spans="1:8">
      <c r="A6021" t="s">
        <v>241</v>
      </c>
      <c r="B6021" t="s">
        <v>13</v>
      </c>
      <c r="C6021">
        <v>120</v>
      </c>
      <c r="D6021" t="s">
        <v>5729</v>
      </c>
      <c r="E6021" t="s">
        <v>5730</v>
      </c>
      <c r="F6021" t="s">
        <v>13</v>
      </c>
      <c r="G6021" t="s">
        <v>5731</v>
      </c>
      <c r="H6021" t="s">
        <v>5732</v>
      </c>
    </row>
    <row r="6022" spans="1:8">
      <c r="A6022" t="s">
        <v>241</v>
      </c>
      <c r="B6022" t="s">
        <v>13</v>
      </c>
      <c r="C6022">
        <v>120</v>
      </c>
      <c r="D6022" t="s">
        <v>5733</v>
      </c>
      <c r="E6022" t="s">
        <v>5734</v>
      </c>
      <c r="F6022" t="s">
        <v>13</v>
      </c>
      <c r="G6022" t="s">
        <v>5731</v>
      </c>
      <c r="H6022" t="s">
        <v>5732</v>
      </c>
    </row>
    <row r="6023" spans="1:8">
      <c r="A6023" t="s">
        <v>241</v>
      </c>
      <c r="B6023" t="s">
        <v>13</v>
      </c>
      <c r="C6023">
        <v>120</v>
      </c>
      <c r="D6023" t="s">
        <v>5735</v>
      </c>
      <c r="E6023" t="s">
        <v>5736</v>
      </c>
      <c r="F6023" t="s">
        <v>13</v>
      </c>
      <c r="G6023" t="s">
        <v>5731</v>
      </c>
      <c r="H6023" t="s">
        <v>5732</v>
      </c>
    </row>
    <row r="6024" spans="1:8">
      <c r="A6024" t="s">
        <v>241</v>
      </c>
      <c r="B6024" t="s">
        <v>13</v>
      </c>
      <c r="C6024">
        <v>120</v>
      </c>
      <c r="D6024" t="s">
        <v>5737</v>
      </c>
      <c r="E6024" t="s">
        <v>5738</v>
      </c>
      <c r="F6024" t="s">
        <v>13</v>
      </c>
      <c r="H6024" t="s">
        <v>5739</v>
      </c>
    </row>
    <row r="6025" spans="1:8">
      <c r="A6025" t="s">
        <v>243</v>
      </c>
      <c r="B6025" t="s">
        <v>13</v>
      </c>
      <c r="C6025">
        <v>120</v>
      </c>
      <c r="D6025" t="s">
        <v>5740</v>
      </c>
      <c r="E6025" t="s">
        <v>5741</v>
      </c>
      <c r="G6025" t="s">
        <v>5742</v>
      </c>
      <c r="H6025" t="s">
        <v>5743</v>
      </c>
    </row>
    <row r="6026" spans="1:8">
      <c r="A6026" t="s">
        <v>243</v>
      </c>
      <c r="B6026" t="s">
        <v>13</v>
      </c>
      <c r="C6026">
        <v>120</v>
      </c>
      <c r="D6026" t="s">
        <v>5744</v>
      </c>
      <c r="E6026" t="s">
        <v>5745</v>
      </c>
      <c r="F6026" t="s">
        <v>13</v>
      </c>
      <c r="H6026" t="s">
        <v>5746</v>
      </c>
    </row>
    <row r="6027" spans="1:8">
      <c r="A6027" t="s">
        <v>241</v>
      </c>
      <c r="B6027" t="s">
        <v>13</v>
      </c>
      <c r="C6027">
        <v>120</v>
      </c>
      <c r="D6027" t="s">
        <v>5747</v>
      </c>
      <c r="E6027" t="s">
        <v>5748</v>
      </c>
      <c r="F6027" t="s">
        <v>13</v>
      </c>
      <c r="H6027" t="s">
        <v>5749</v>
      </c>
    </row>
    <row r="6028" spans="1:8">
      <c r="A6028" t="s">
        <v>241</v>
      </c>
      <c r="B6028" t="s">
        <v>13</v>
      </c>
      <c r="C6028">
        <v>120</v>
      </c>
      <c r="D6028" t="s">
        <v>5750</v>
      </c>
      <c r="E6028" t="s">
        <v>5751</v>
      </c>
      <c r="F6028" t="s">
        <v>13</v>
      </c>
      <c r="H6028" t="s">
        <v>5752</v>
      </c>
    </row>
    <row r="6029" spans="1:8">
      <c r="A6029" t="s">
        <v>241</v>
      </c>
      <c r="B6029" t="s">
        <v>13</v>
      </c>
      <c r="C6029">
        <v>120</v>
      </c>
      <c r="D6029" t="s">
        <v>5753</v>
      </c>
      <c r="E6029" t="s">
        <v>5754</v>
      </c>
      <c r="F6029" t="s">
        <v>13</v>
      </c>
      <c r="H6029" t="s">
        <v>5755</v>
      </c>
    </row>
    <row r="6030" spans="1:8">
      <c r="A6030" t="s">
        <v>250</v>
      </c>
      <c r="B6030" t="s">
        <v>13</v>
      </c>
      <c r="C6030">
        <v>120</v>
      </c>
      <c r="D6030" t="s">
        <v>5756</v>
      </c>
      <c r="E6030" t="s">
        <v>5757</v>
      </c>
      <c r="F6030" t="s">
        <v>13</v>
      </c>
    </row>
    <row r="6031" spans="1:8">
      <c r="A6031" t="s">
        <v>250</v>
      </c>
      <c r="B6031" t="s">
        <v>13</v>
      </c>
      <c r="C6031">
        <v>120</v>
      </c>
      <c r="D6031" t="s">
        <v>5758</v>
      </c>
      <c r="E6031" t="s">
        <v>5759</v>
      </c>
      <c r="F6031" t="s">
        <v>13</v>
      </c>
      <c r="H6031" t="s">
        <v>5760</v>
      </c>
    </row>
    <row r="6032" spans="1:8">
      <c r="A6032" t="s">
        <v>244</v>
      </c>
      <c r="B6032" t="s">
        <v>13</v>
      </c>
      <c r="C6032">
        <v>120</v>
      </c>
      <c r="D6032" t="s">
        <v>5761</v>
      </c>
      <c r="E6032" t="s">
        <v>5762</v>
      </c>
      <c r="F6032" t="s">
        <v>13</v>
      </c>
      <c r="H6032" t="s">
        <v>5763</v>
      </c>
    </row>
    <row r="6033" spans="1:8">
      <c r="A6033" t="s">
        <v>250</v>
      </c>
      <c r="B6033" t="s">
        <v>13</v>
      </c>
      <c r="C6033">
        <v>120</v>
      </c>
      <c r="D6033" t="s">
        <v>5764</v>
      </c>
      <c r="E6033" t="s">
        <v>5765</v>
      </c>
      <c r="F6033" t="s">
        <v>13</v>
      </c>
      <c r="H6033" t="s">
        <v>5766</v>
      </c>
    </row>
    <row r="6034" spans="1:8">
      <c r="A6034" t="s">
        <v>241</v>
      </c>
      <c r="B6034" t="s">
        <v>13</v>
      </c>
      <c r="C6034">
        <v>120</v>
      </c>
      <c r="D6034" t="s">
        <v>5767</v>
      </c>
      <c r="E6034" t="s">
        <v>5768</v>
      </c>
      <c r="F6034" t="s">
        <v>13</v>
      </c>
      <c r="G6034" t="s">
        <v>5769</v>
      </c>
      <c r="H6034" t="s">
        <v>5770</v>
      </c>
    </row>
    <row r="6035" spans="1:8">
      <c r="A6035" t="s">
        <v>241</v>
      </c>
      <c r="B6035" t="s">
        <v>13</v>
      </c>
      <c r="C6035">
        <v>120</v>
      </c>
      <c r="D6035" t="s">
        <v>5771</v>
      </c>
      <c r="E6035" t="s">
        <v>5772</v>
      </c>
      <c r="F6035" t="s">
        <v>13</v>
      </c>
      <c r="H6035" t="s">
        <v>5773</v>
      </c>
    </row>
    <row r="6036" spans="1:8">
      <c r="A6036" t="s">
        <v>250</v>
      </c>
      <c r="B6036" t="s">
        <v>13</v>
      </c>
      <c r="C6036">
        <v>120</v>
      </c>
      <c r="D6036" t="s">
        <v>5774</v>
      </c>
      <c r="F6036" t="s">
        <v>5677</v>
      </c>
      <c r="H6036" t="s">
        <v>5775</v>
      </c>
    </row>
    <row r="6037" spans="1:8">
      <c r="A6037" t="s">
        <v>241</v>
      </c>
      <c r="B6037" t="s">
        <v>13</v>
      </c>
      <c r="C6037">
        <v>120</v>
      </c>
      <c r="D6037" t="s">
        <v>5776</v>
      </c>
      <c r="E6037" t="s">
        <v>5777</v>
      </c>
      <c r="F6037" t="s">
        <v>13</v>
      </c>
      <c r="H6037" t="s">
        <v>5778</v>
      </c>
    </row>
    <row r="6038" spans="1:8">
      <c r="A6038" t="s">
        <v>251</v>
      </c>
      <c r="B6038" t="s">
        <v>13</v>
      </c>
      <c r="C6038">
        <v>120</v>
      </c>
      <c r="D6038" t="s">
        <v>5779</v>
      </c>
      <c r="E6038" t="s">
        <v>5234</v>
      </c>
      <c r="F6038" t="s">
        <v>13</v>
      </c>
    </row>
    <row r="6039" spans="1:8">
      <c r="A6039" t="s">
        <v>241</v>
      </c>
      <c r="B6039" t="s">
        <v>13</v>
      </c>
      <c r="C6039">
        <v>120</v>
      </c>
      <c r="D6039" t="s">
        <v>5780</v>
      </c>
      <c r="E6039" t="s">
        <v>5781</v>
      </c>
      <c r="H6039" t="s">
        <v>5782</v>
      </c>
    </row>
    <row r="6040" spans="1:8">
      <c r="A6040" t="s">
        <v>239</v>
      </c>
      <c r="B6040" t="s">
        <v>13</v>
      </c>
      <c r="C6040">
        <v>120</v>
      </c>
      <c r="D6040" t="s">
        <v>5783</v>
      </c>
      <c r="E6040" t="s">
        <v>5784</v>
      </c>
    </row>
    <row r="6041" spans="1:8">
      <c r="A6041" t="s">
        <v>241</v>
      </c>
      <c r="B6041" t="s">
        <v>13</v>
      </c>
      <c r="C6041">
        <v>120</v>
      </c>
      <c r="D6041" t="s">
        <v>5785</v>
      </c>
      <c r="E6041" t="s">
        <v>5786</v>
      </c>
      <c r="G6041" t="s">
        <v>5787</v>
      </c>
      <c r="H6041" t="s">
        <v>5787</v>
      </c>
    </row>
    <row r="6042" spans="1:8">
      <c r="A6042" t="s">
        <v>241</v>
      </c>
      <c r="B6042" t="s">
        <v>13</v>
      </c>
      <c r="C6042">
        <v>120</v>
      </c>
      <c r="D6042" t="s">
        <v>5788</v>
      </c>
      <c r="E6042" t="s">
        <v>5789</v>
      </c>
      <c r="G6042" t="s">
        <v>5517</v>
      </c>
      <c r="H6042" t="s">
        <v>5329</v>
      </c>
    </row>
    <row r="6043" spans="1:8">
      <c r="A6043" t="s">
        <v>239</v>
      </c>
      <c r="B6043" t="s">
        <v>13</v>
      </c>
      <c r="C6043">
        <v>120</v>
      </c>
      <c r="D6043" t="s">
        <v>5790</v>
      </c>
      <c r="E6043" t="s">
        <v>5791</v>
      </c>
    </row>
    <row r="6044" spans="1:8">
      <c r="A6044" t="s">
        <v>239</v>
      </c>
      <c r="B6044" t="s">
        <v>13</v>
      </c>
      <c r="C6044">
        <v>120</v>
      </c>
      <c r="D6044" t="s">
        <v>5792</v>
      </c>
      <c r="E6044" t="s">
        <v>5793</v>
      </c>
      <c r="H6044" t="s">
        <v>5374</v>
      </c>
    </row>
    <row r="6045" spans="1:8">
      <c r="A6045" t="s">
        <v>239</v>
      </c>
      <c r="B6045" t="s">
        <v>13</v>
      </c>
      <c r="C6045">
        <v>120</v>
      </c>
      <c r="D6045" t="s">
        <v>5794</v>
      </c>
      <c r="E6045" t="s">
        <v>5795</v>
      </c>
      <c r="H6045" t="s">
        <v>5796</v>
      </c>
    </row>
    <row r="6046" spans="1:8">
      <c r="A6046" t="s">
        <v>239</v>
      </c>
      <c r="B6046" t="s">
        <v>13</v>
      </c>
      <c r="C6046">
        <v>120</v>
      </c>
      <c r="D6046" t="s">
        <v>5797</v>
      </c>
      <c r="E6046" t="s">
        <v>5798</v>
      </c>
      <c r="H6046" t="s">
        <v>5374</v>
      </c>
    </row>
    <row r="6047" spans="1:8">
      <c r="A6047" t="s">
        <v>241</v>
      </c>
      <c r="B6047" t="s">
        <v>13</v>
      </c>
      <c r="C6047">
        <v>120</v>
      </c>
      <c r="D6047" t="s">
        <v>5799</v>
      </c>
      <c r="E6047" t="s">
        <v>5800</v>
      </c>
      <c r="H6047" t="s">
        <v>5801</v>
      </c>
    </row>
    <row r="6048" spans="1:8">
      <c r="A6048" t="s">
        <v>241</v>
      </c>
      <c r="B6048" t="s">
        <v>13</v>
      </c>
      <c r="C6048">
        <v>120</v>
      </c>
      <c r="D6048" t="s">
        <v>5802</v>
      </c>
      <c r="E6048" t="s">
        <v>5803</v>
      </c>
      <c r="H6048" t="s">
        <v>5804</v>
      </c>
    </row>
    <row r="6049" spans="1:8">
      <c r="A6049" t="s">
        <v>238</v>
      </c>
      <c r="B6049" t="s">
        <v>13</v>
      </c>
      <c r="C6049">
        <v>120</v>
      </c>
      <c r="D6049" t="s">
        <v>5805</v>
      </c>
      <c r="G6049" t="s">
        <v>5806</v>
      </c>
      <c r="H6049" t="s">
        <v>5807</v>
      </c>
    </row>
    <row r="6050" spans="1:8">
      <c r="A6050" t="s">
        <v>240</v>
      </c>
      <c r="B6050" t="s">
        <v>13</v>
      </c>
      <c r="C6050">
        <v>120</v>
      </c>
      <c r="D6050" t="s">
        <v>5808</v>
      </c>
      <c r="E6050" t="s">
        <v>5809</v>
      </c>
      <c r="F6050" t="s">
        <v>13</v>
      </c>
      <c r="G6050" t="s">
        <v>5810</v>
      </c>
      <c r="H6050" t="s">
        <v>5811</v>
      </c>
    </row>
    <row r="6051" spans="1:8">
      <c r="A6051" t="s">
        <v>241</v>
      </c>
      <c r="B6051" t="s">
        <v>13</v>
      </c>
      <c r="C6051">
        <v>120</v>
      </c>
      <c r="D6051" t="s">
        <v>5812</v>
      </c>
      <c r="E6051" t="s">
        <v>5813</v>
      </c>
      <c r="G6051" t="s">
        <v>5814</v>
      </c>
      <c r="H6051" t="s">
        <v>5815</v>
      </c>
    </row>
    <row r="6052" spans="1:8">
      <c r="A6052" t="s">
        <v>239</v>
      </c>
      <c r="B6052" t="s">
        <v>13</v>
      </c>
      <c r="C6052">
        <v>120</v>
      </c>
      <c r="D6052" t="s">
        <v>5816</v>
      </c>
      <c r="E6052" t="s">
        <v>5817</v>
      </c>
      <c r="H6052" t="s">
        <v>5818</v>
      </c>
    </row>
    <row r="6053" spans="1:8">
      <c r="A6053" t="s">
        <v>239</v>
      </c>
      <c r="B6053" t="s">
        <v>13</v>
      </c>
      <c r="C6053">
        <v>120</v>
      </c>
      <c r="D6053" t="s">
        <v>5819</v>
      </c>
      <c r="E6053" t="s">
        <v>5820</v>
      </c>
      <c r="H6053" t="s">
        <v>5302</v>
      </c>
    </row>
    <row r="6054" spans="1:8">
      <c r="A6054" t="s">
        <v>241</v>
      </c>
      <c r="B6054" t="s">
        <v>13</v>
      </c>
      <c r="C6054">
        <v>120</v>
      </c>
      <c r="D6054" t="s">
        <v>5821</v>
      </c>
      <c r="E6054" t="s">
        <v>5822</v>
      </c>
      <c r="F6054" t="s">
        <v>5699</v>
      </c>
      <c r="G6054" t="s">
        <v>5823</v>
      </c>
      <c r="H6054" t="s">
        <v>5824</v>
      </c>
    </row>
    <row r="6055" spans="1:8">
      <c r="A6055" t="s">
        <v>240</v>
      </c>
      <c r="B6055" t="s">
        <v>13</v>
      </c>
      <c r="C6055">
        <v>120</v>
      </c>
      <c r="D6055" t="s">
        <v>5825</v>
      </c>
      <c r="E6055" t="s">
        <v>5826</v>
      </c>
      <c r="F6055" t="s">
        <v>13</v>
      </c>
      <c r="G6055" t="s">
        <v>5827</v>
      </c>
      <c r="H6055" t="s">
        <v>5828</v>
      </c>
    </row>
    <row r="6056" spans="1:8">
      <c r="A6056" t="s">
        <v>249</v>
      </c>
      <c r="B6056" t="s">
        <v>13</v>
      </c>
      <c r="C6056">
        <v>120</v>
      </c>
      <c r="D6056" t="s">
        <v>5829</v>
      </c>
      <c r="E6056" t="s">
        <v>5826</v>
      </c>
      <c r="F6056" t="s">
        <v>13</v>
      </c>
      <c r="G6056" t="s">
        <v>5827</v>
      </c>
      <c r="H6056" t="s">
        <v>5828</v>
      </c>
    </row>
    <row r="6057" spans="1:8">
      <c r="A6057" t="s">
        <v>241</v>
      </c>
      <c r="B6057" t="s">
        <v>13</v>
      </c>
      <c r="C6057">
        <v>120</v>
      </c>
      <c r="D6057" t="s">
        <v>5830</v>
      </c>
      <c r="E6057" t="s">
        <v>5831</v>
      </c>
      <c r="H6057" t="s">
        <v>5832</v>
      </c>
    </row>
    <row r="6058" spans="1:8">
      <c r="A6058" t="s">
        <v>238</v>
      </c>
      <c r="B6058" t="s">
        <v>13</v>
      </c>
      <c r="C6058">
        <v>120</v>
      </c>
      <c r="D6058" t="s">
        <v>5833</v>
      </c>
      <c r="E6058" t="s">
        <v>5834</v>
      </c>
      <c r="F6058" t="s">
        <v>5835</v>
      </c>
      <c r="G6058" t="s">
        <v>5836</v>
      </c>
      <c r="H6058" t="s">
        <v>5837</v>
      </c>
    </row>
    <row r="6059" spans="1:8">
      <c r="A6059" t="s">
        <v>239</v>
      </c>
      <c r="B6059" t="s">
        <v>13</v>
      </c>
      <c r="C6059">
        <v>120</v>
      </c>
      <c r="D6059" t="s">
        <v>5838</v>
      </c>
      <c r="E6059" t="s">
        <v>5839</v>
      </c>
      <c r="F6059" t="s">
        <v>13</v>
      </c>
      <c r="H6059" t="s">
        <v>5308</v>
      </c>
    </row>
    <row r="6060" spans="1:8">
      <c r="A6060" t="s">
        <v>239</v>
      </c>
      <c r="B6060" t="s">
        <v>13</v>
      </c>
      <c r="C6060">
        <v>120</v>
      </c>
      <c r="D6060" t="s">
        <v>5840</v>
      </c>
      <c r="E6060" t="s">
        <v>5817</v>
      </c>
      <c r="H6060" t="s">
        <v>5818</v>
      </c>
    </row>
    <row r="6061" spans="1:8">
      <c r="A6061" t="s">
        <v>239</v>
      </c>
      <c r="B6061" t="s">
        <v>13</v>
      </c>
      <c r="C6061">
        <v>120</v>
      </c>
      <c r="D6061" t="s">
        <v>5841</v>
      </c>
      <c r="E6061" t="s">
        <v>5842</v>
      </c>
      <c r="F6061" t="s">
        <v>5709</v>
      </c>
      <c r="H6061" t="s">
        <v>5843</v>
      </c>
    </row>
    <row r="6062" spans="1:8">
      <c r="A6062" t="s">
        <v>241</v>
      </c>
      <c r="B6062" t="s">
        <v>13</v>
      </c>
      <c r="C6062">
        <v>120</v>
      </c>
      <c r="D6062" t="s">
        <v>5844</v>
      </c>
      <c r="E6062" t="s">
        <v>5845</v>
      </c>
      <c r="G6062" t="s">
        <v>5846</v>
      </c>
      <c r="H6062" t="s">
        <v>5847</v>
      </c>
    </row>
    <row r="6063" spans="1:8">
      <c r="A6063" t="s">
        <v>239</v>
      </c>
      <c r="B6063" t="s">
        <v>13</v>
      </c>
      <c r="C6063">
        <v>120</v>
      </c>
      <c r="D6063" t="s">
        <v>5848</v>
      </c>
      <c r="E6063" t="s">
        <v>5849</v>
      </c>
      <c r="F6063" t="s">
        <v>13</v>
      </c>
    </row>
    <row r="6064" spans="1:8">
      <c r="A6064" t="s">
        <v>241</v>
      </c>
      <c r="B6064" t="s">
        <v>13</v>
      </c>
      <c r="C6064">
        <v>120</v>
      </c>
      <c r="D6064" t="s">
        <v>5850</v>
      </c>
      <c r="E6064" t="s">
        <v>5851</v>
      </c>
      <c r="F6064" t="s">
        <v>5852</v>
      </c>
      <c r="H6064" t="s">
        <v>5853</v>
      </c>
    </row>
    <row r="6065" spans="1:8">
      <c r="A6065" t="s">
        <v>239</v>
      </c>
      <c r="B6065" t="s">
        <v>13</v>
      </c>
      <c r="C6065">
        <v>120</v>
      </c>
      <c r="D6065" t="s">
        <v>5854</v>
      </c>
      <c r="E6065" t="s">
        <v>5855</v>
      </c>
      <c r="F6065" t="s">
        <v>13</v>
      </c>
      <c r="H6065" t="s">
        <v>5856</v>
      </c>
    </row>
    <row r="6066" spans="1:8">
      <c r="A6066" t="s">
        <v>241</v>
      </c>
      <c r="B6066" t="s">
        <v>13</v>
      </c>
      <c r="C6066">
        <v>120</v>
      </c>
      <c r="D6066" t="s">
        <v>5857</v>
      </c>
      <c r="E6066" t="s">
        <v>5858</v>
      </c>
      <c r="F6066" t="s">
        <v>13</v>
      </c>
      <c r="H6066" t="s">
        <v>5859</v>
      </c>
    </row>
    <row r="6067" spans="1:8">
      <c r="A6067" t="s">
        <v>241</v>
      </c>
      <c r="B6067" t="s">
        <v>13</v>
      </c>
      <c r="C6067">
        <v>120</v>
      </c>
      <c r="D6067" t="s">
        <v>5860</v>
      </c>
      <c r="E6067" t="s">
        <v>5861</v>
      </c>
      <c r="F6067" t="s">
        <v>13</v>
      </c>
      <c r="H6067" t="s">
        <v>5862</v>
      </c>
    </row>
    <row r="6068" spans="1:8">
      <c r="A6068" t="s">
        <v>241</v>
      </c>
      <c r="B6068" t="s">
        <v>13</v>
      </c>
      <c r="C6068">
        <v>120</v>
      </c>
      <c r="D6068" t="s">
        <v>5863</v>
      </c>
      <c r="E6068" t="s">
        <v>5864</v>
      </c>
      <c r="F6068" t="s">
        <v>5699</v>
      </c>
      <c r="H6068" t="s">
        <v>5865</v>
      </c>
    </row>
    <row r="6069" spans="1:8">
      <c r="A6069" t="s">
        <v>239</v>
      </c>
      <c r="B6069" t="s">
        <v>13</v>
      </c>
      <c r="C6069">
        <v>120</v>
      </c>
      <c r="D6069" t="s">
        <v>5866</v>
      </c>
      <c r="E6069" t="s">
        <v>5867</v>
      </c>
      <c r="H6069" t="s">
        <v>5868</v>
      </c>
    </row>
    <row r="6070" spans="1:8">
      <c r="A6070" t="s">
        <v>241</v>
      </c>
      <c r="B6070" t="s">
        <v>13</v>
      </c>
      <c r="C6070">
        <v>120</v>
      </c>
      <c r="D6070" t="s">
        <v>5869</v>
      </c>
      <c r="E6070" t="s">
        <v>5870</v>
      </c>
      <c r="G6070" t="s">
        <v>5871</v>
      </c>
      <c r="H6070" t="s">
        <v>5872</v>
      </c>
    </row>
    <row r="6071" spans="1:8">
      <c r="A6071" t="s">
        <v>241</v>
      </c>
      <c r="B6071" t="s">
        <v>13</v>
      </c>
      <c r="C6071">
        <v>120</v>
      </c>
      <c r="D6071" t="s">
        <v>5873</v>
      </c>
      <c r="E6071" t="s">
        <v>5874</v>
      </c>
      <c r="H6071" t="s">
        <v>5875</v>
      </c>
    </row>
    <row r="6072" spans="1:8">
      <c r="A6072" t="s">
        <v>243</v>
      </c>
      <c r="B6072" t="s">
        <v>13</v>
      </c>
      <c r="C6072">
        <v>120</v>
      </c>
      <c r="D6072" t="s">
        <v>5876</v>
      </c>
      <c r="E6072" t="s">
        <v>5877</v>
      </c>
      <c r="H6072" t="s">
        <v>5878</v>
      </c>
    </row>
    <row r="6073" spans="1:8">
      <c r="A6073" t="s">
        <v>241</v>
      </c>
      <c r="B6073" t="s">
        <v>13</v>
      </c>
      <c r="C6073">
        <v>120</v>
      </c>
      <c r="D6073" t="s">
        <v>5879</v>
      </c>
      <c r="E6073" t="s">
        <v>5880</v>
      </c>
      <c r="F6073" t="s">
        <v>5881</v>
      </c>
      <c r="H6073" t="s">
        <v>5882</v>
      </c>
    </row>
    <row r="6074" spans="1:8">
      <c r="A6074" t="s">
        <v>241</v>
      </c>
      <c r="B6074" t="s">
        <v>13</v>
      </c>
      <c r="C6074">
        <v>120</v>
      </c>
      <c r="D6074" t="s">
        <v>5883</v>
      </c>
      <c r="E6074" t="s">
        <v>5884</v>
      </c>
      <c r="G6074" t="s">
        <v>5885</v>
      </c>
      <c r="H6074" t="s">
        <v>5886</v>
      </c>
    </row>
    <row r="6075" spans="1:8">
      <c r="A6075" t="s">
        <v>241</v>
      </c>
      <c r="B6075" t="s">
        <v>13</v>
      </c>
      <c r="C6075">
        <v>120</v>
      </c>
      <c r="D6075" t="s">
        <v>5887</v>
      </c>
      <c r="E6075" t="s">
        <v>5888</v>
      </c>
      <c r="F6075" t="s">
        <v>5513</v>
      </c>
      <c r="H6075" t="s">
        <v>5889</v>
      </c>
    </row>
    <row r="6076" spans="1:8">
      <c r="A6076" t="s">
        <v>241</v>
      </c>
      <c r="B6076" t="s">
        <v>13</v>
      </c>
      <c r="C6076">
        <v>120</v>
      </c>
      <c r="D6076" t="s">
        <v>5890</v>
      </c>
      <c r="E6076" t="s">
        <v>5877</v>
      </c>
      <c r="H6076" t="s">
        <v>5891</v>
      </c>
    </row>
    <row r="6077" spans="1:8">
      <c r="A6077" t="s">
        <v>239</v>
      </c>
      <c r="B6077" t="s">
        <v>13</v>
      </c>
      <c r="C6077">
        <v>120</v>
      </c>
      <c r="D6077" t="s">
        <v>5892</v>
      </c>
      <c r="E6077" t="s">
        <v>5315</v>
      </c>
      <c r="F6077" t="s">
        <v>13</v>
      </c>
      <c r="H6077" t="s">
        <v>5316</v>
      </c>
    </row>
    <row r="6078" spans="1:8">
      <c r="A6078" t="s">
        <v>239</v>
      </c>
      <c r="B6078" t="s">
        <v>13</v>
      </c>
      <c r="C6078">
        <v>120</v>
      </c>
      <c r="D6078" t="s">
        <v>5893</v>
      </c>
      <c r="E6078" t="s">
        <v>5894</v>
      </c>
      <c r="H6078" t="s">
        <v>5895</v>
      </c>
    </row>
    <row r="6079" spans="1:8">
      <c r="A6079" t="s">
        <v>239</v>
      </c>
      <c r="B6079" t="s">
        <v>13</v>
      </c>
      <c r="C6079">
        <v>120</v>
      </c>
      <c r="D6079" t="s">
        <v>5896</v>
      </c>
      <c r="E6079" t="s">
        <v>5315</v>
      </c>
      <c r="F6079" t="s">
        <v>13</v>
      </c>
    </row>
    <row r="6080" spans="1:8">
      <c r="A6080" t="s">
        <v>239</v>
      </c>
      <c r="B6080" t="s">
        <v>13</v>
      </c>
      <c r="C6080">
        <v>120</v>
      </c>
      <c r="D6080" t="s">
        <v>5897</v>
      </c>
      <c r="E6080" t="s">
        <v>5898</v>
      </c>
      <c r="F6080" t="s">
        <v>13</v>
      </c>
      <c r="H6080" t="s">
        <v>5899</v>
      </c>
    </row>
    <row r="6081" spans="1:8">
      <c r="A6081" t="s">
        <v>239</v>
      </c>
      <c r="B6081" t="s">
        <v>13</v>
      </c>
      <c r="C6081">
        <v>120</v>
      </c>
      <c r="D6081" t="s">
        <v>5900</v>
      </c>
      <c r="E6081" t="s">
        <v>5901</v>
      </c>
    </row>
    <row r="6082" spans="1:8">
      <c r="A6082" t="s">
        <v>241</v>
      </c>
      <c r="B6082" t="s">
        <v>13</v>
      </c>
      <c r="C6082">
        <v>120</v>
      </c>
      <c r="D6082" t="s">
        <v>5902</v>
      </c>
      <c r="E6082" t="s">
        <v>5903</v>
      </c>
      <c r="F6082" t="s">
        <v>5904</v>
      </c>
      <c r="G6082" t="s">
        <v>5905</v>
      </c>
      <c r="H6082" t="s">
        <v>5906</v>
      </c>
    </row>
    <row r="6083" spans="1:8">
      <c r="A6083" t="s">
        <v>239</v>
      </c>
      <c r="B6083" t="s">
        <v>13</v>
      </c>
      <c r="C6083">
        <v>120</v>
      </c>
      <c r="D6083" t="s">
        <v>5907</v>
      </c>
      <c r="E6083" t="s">
        <v>5908</v>
      </c>
      <c r="F6083" t="s">
        <v>13</v>
      </c>
      <c r="H6083" t="s">
        <v>5308</v>
      </c>
    </row>
    <row r="6084" spans="1:8">
      <c r="A6084" t="s">
        <v>239</v>
      </c>
      <c r="B6084" t="s">
        <v>13</v>
      </c>
      <c r="C6084">
        <v>120</v>
      </c>
      <c r="D6084" t="s">
        <v>5909</v>
      </c>
      <c r="E6084" t="s">
        <v>5910</v>
      </c>
      <c r="F6084" t="s">
        <v>13</v>
      </c>
      <c r="H6084" t="s">
        <v>5899</v>
      </c>
    </row>
    <row r="6085" spans="1:8">
      <c r="A6085" t="s">
        <v>239</v>
      </c>
      <c r="B6085" t="s">
        <v>13</v>
      </c>
      <c r="C6085">
        <v>120</v>
      </c>
      <c r="D6085" t="s">
        <v>5911</v>
      </c>
      <c r="E6085" t="s">
        <v>5912</v>
      </c>
      <c r="F6085" t="s">
        <v>13</v>
      </c>
      <c r="H6085" t="s">
        <v>5913</v>
      </c>
    </row>
    <row r="6086" spans="1:8">
      <c r="A6086" t="s">
        <v>239</v>
      </c>
      <c r="B6086" t="s">
        <v>13</v>
      </c>
      <c r="C6086">
        <v>120</v>
      </c>
      <c r="D6086" t="s">
        <v>5914</v>
      </c>
      <c r="E6086" t="s">
        <v>5915</v>
      </c>
      <c r="F6086" t="s">
        <v>13</v>
      </c>
    </row>
    <row r="6087" spans="1:8">
      <c r="A6087" t="s">
        <v>239</v>
      </c>
      <c r="B6087" t="s">
        <v>13</v>
      </c>
      <c r="C6087">
        <v>120</v>
      </c>
      <c r="D6087" t="s">
        <v>5916</v>
      </c>
      <c r="E6087" t="s">
        <v>5917</v>
      </c>
      <c r="F6087" t="s">
        <v>13</v>
      </c>
      <c r="H6087" t="s">
        <v>5918</v>
      </c>
    </row>
    <row r="6088" spans="1:8">
      <c r="A6088" t="s">
        <v>239</v>
      </c>
      <c r="B6088" t="s">
        <v>13</v>
      </c>
      <c r="C6088">
        <v>120</v>
      </c>
      <c r="D6088" t="s">
        <v>5919</v>
      </c>
      <c r="E6088" t="s">
        <v>5920</v>
      </c>
      <c r="F6088" t="s">
        <v>13</v>
      </c>
      <c r="H6088" t="s">
        <v>5921</v>
      </c>
    </row>
    <row r="6089" spans="1:8">
      <c r="A6089" t="s">
        <v>239</v>
      </c>
      <c r="B6089" t="s">
        <v>13</v>
      </c>
      <c r="C6089">
        <v>120</v>
      </c>
      <c r="D6089" t="s">
        <v>5922</v>
      </c>
      <c r="E6089" t="s">
        <v>5923</v>
      </c>
      <c r="F6089" t="s">
        <v>13</v>
      </c>
    </row>
    <row r="6090" spans="1:8">
      <c r="A6090" t="s">
        <v>239</v>
      </c>
      <c r="B6090" t="s">
        <v>13</v>
      </c>
      <c r="C6090">
        <v>120</v>
      </c>
      <c r="D6090" t="s">
        <v>5924</v>
      </c>
      <c r="E6090" t="s">
        <v>5925</v>
      </c>
      <c r="F6090" t="s">
        <v>13</v>
      </c>
      <c r="H6090" t="s">
        <v>5921</v>
      </c>
    </row>
    <row r="6091" spans="1:8">
      <c r="A6091" t="s">
        <v>239</v>
      </c>
      <c r="B6091" t="s">
        <v>13</v>
      </c>
      <c r="C6091">
        <v>120</v>
      </c>
      <c r="D6091" t="s">
        <v>5926</v>
      </c>
      <c r="E6091" t="s">
        <v>5927</v>
      </c>
      <c r="F6091" t="s">
        <v>13</v>
      </c>
      <c r="H6091" t="s">
        <v>5928</v>
      </c>
    </row>
    <row r="6092" spans="1:8">
      <c r="A6092" t="s">
        <v>239</v>
      </c>
      <c r="B6092" t="s">
        <v>13</v>
      </c>
      <c r="C6092">
        <v>120</v>
      </c>
      <c r="D6092" t="s">
        <v>5929</v>
      </c>
      <c r="E6092" t="s">
        <v>5930</v>
      </c>
      <c r="F6092" t="s">
        <v>13</v>
      </c>
      <c r="H6092" t="s">
        <v>5931</v>
      </c>
    </row>
    <row r="6093" spans="1:8">
      <c r="A6093" t="s">
        <v>239</v>
      </c>
      <c r="B6093" t="s">
        <v>13</v>
      </c>
      <c r="C6093">
        <v>120</v>
      </c>
      <c r="D6093" t="s">
        <v>5932</v>
      </c>
      <c r="E6093" t="s">
        <v>5933</v>
      </c>
      <c r="F6093" t="s">
        <v>13</v>
      </c>
      <c r="H6093" t="s">
        <v>5934</v>
      </c>
    </row>
    <row r="6094" spans="1:8">
      <c r="A6094" t="s">
        <v>239</v>
      </c>
      <c r="B6094" t="s">
        <v>13</v>
      </c>
      <c r="C6094">
        <v>120</v>
      </c>
      <c r="D6094" t="s">
        <v>5935</v>
      </c>
      <c r="E6094" t="s">
        <v>5936</v>
      </c>
      <c r="F6094" t="s">
        <v>13</v>
      </c>
      <c r="H6094" t="s">
        <v>5937</v>
      </c>
    </row>
    <row r="6095" spans="1:8">
      <c r="A6095" t="s">
        <v>240</v>
      </c>
      <c r="B6095" t="s">
        <v>13</v>
      </c>
      <c r="C6095">
        <v>120</v>
      </c>
      <c r="D6095" t="s">
        <v>5938</v>
      </c>
      <c r="E6095" t="s">
        <v>5939</v>
      </c>
      <c r="F6095" t="s">
        <v>13</v>
      </c>
      <c r="G6095" t="s">
        <v>5940</v>
      </c>
      <c r="H6095" t="s">
        <v>5941</v>
      </c>
    </row>
    <row r="6096" spans="1:8">
      <c r="A6096" t="s">
        <v>241</v>
      </c>
      <c r="B6096" t="s">
        <v>13</v>
      </c>
      <c r="C6096">
        <v>120</v>
      </c>
      <c r="D6096" t="s">
        <v>5942</v>
      </c>
      <c r="E6096" t="s">
        <v>5943</v>
      </c>
      <c r="F6096" t="s">
        <v>5944</v>
      </c>
      <c r="H6096" t="s">
        <v>5945</v>
      </c>
    </row>
    <row r="6097" spans="1:8">
      <c r="A6097" t="s">
        <v>241</v>
      </c>
      <c r="B6097" t="s">
        <v>13</v>
      </c>
      <c r="C6097">
        <v>120</v>
      </c>
      <c r="D6097" t="s">
        <v>5946</v>
      </c>
      <c r="E6097" t="s">
        <v>5947</v>
      </c>
      <c r="F6097" t="s">
        <v>5944</v>
      </c>
      <c r="H6097" t="s">
        <v>5945</v>
      </c>
    </row>
    <row r="6098" spans="1:8">
      <c r="A6098" t="s">
        <v>239</v>
      </c>
      <c r="B6098" t="s">
        <v>13</v>
      </c>
      <c r="C6098">
        <v>120</v>
      </c>
      <c r="D6098" t="s">
        <v>5948</v>
      </c>
      <c r="E6098" t="s">
        <v>5949</v>
      </c>
      <c r="F6098" t="s">
        <v>13</v>
      </c>
      <c r="H6098" t="s">
        <v>5950</v>
      </c>
    </row>
    <row r="6099" spans="1:8">
      <c r="A6099" t="s">
        <v>239</v>
      </c>
      <c r="B6099" t="s">
        <v>13</v>
      </c>
      <c r="C6099">
        <v>120</v>
      </c>
      <c r="D6099" t="s">
        <v>5951</v>
      </c>
      <c r="E6099" t="s">
        <v>5952</v>
      </c>
      <c r="F6099" t="s">
        <v>13</v>
      </c>
      <c r="H6099" t="s">
        <v>5426</v>
      </c>
    </row>
    <row r="6100" spans="1:8">
      <c r="A6100" t="s">
        <v>239</v>
      </c>
      <c r="B6100" t="s">
        <v>13</v>
      </c>
      <c r="C6100">
        <v>120</v>
      </c>
      <c r="D6100" t="s">
        <v>5953</v>
      </c>
      <c r="E6100" t="s">
        <v>5954</v>
      </c>
      <c r="F6100" t="s">
        <v>13</v>
      </c>
      <c r="H6100" t="s">
        <v>5955</v>
      </c>
    </row>
    <row r="6101" spans="1:8">
      <c r="A6101" t="s">
        <v>239</v>
      </c>
      <c r="B6101" t="s">
        <v>13</v>
      </c>
      <c r="C6101">
        <v>120</v>
      </c>
      <c r="D6101" t="s">
        <v>5956</v>
      </c>
      <c r="E6101" t="s">
        <v>5957</v>
      </c>
      <c r="F6101" t="s">
        <v>13</v>
      </c>
      <c r="H6101" t="s">
        <v>5958</v>
      </c>
    </row>
    <row r="6102" spans="1:8">
      <c r="A6102" t="s">
        <v>239</v>
      </c>
      <c r="B6102" t="s">
        <v>13</v>
      </c>
      <c r="C6102">
        <v>120</v>
      </c>
      <c r="D6102" t="s">
        <v>5959</v>
      </c>
      <c r="E6102" t="s">
        <v>5960</v>
      </c>
      <c r="F6102" t="s">
        <v>13</v>
      </c>
      <c r="H6102" t="s">
        <v>5961</v>
      </c>
    </row>
    <row r="6103" spans="1:8">
      <c r="A6103" t="s">
        <v>250</v>
      </c>
      <c r="B6103" t="s">
        <v>13</v>
      </c>
      <c r="C6103">
        <v>120</v>
      </c>
      <c r="D6103" t="s">
        <v>5962</v>
      </c>
      <c r="E6103" t="s">
        <v>5963</v>
      </c>
      <c r="F6103" t="s">
        <v>5944</v>
      </c>
      <c r="G6103" t="s">
        <v>5964</v>
      </c>
      <c r="H6103" t="s">
        <v>5965</v>
      </c>
    </row>
    <row r="6104" spans="1:8">
      <c r="A6104" t="s">
        <v>239</v>
      </c>
      <c r="B6104" t="s">
        <v>13</v>
      </c>
      <c r="C6104">
        <v>120</v>
      </c>
      <c r="D6104" t="s">
        <v>5966</v>
      </c>
      <c r="E6104" t="s">
        <v>5967</v>
      </c>
      <c r="F6104" t="s">
        <v>13</v>
      </c>
      <c r="H6104" t="s">
        <v>5968</v>
      </c>
    </row>
    <row r="6105" spans="1:8">
      <c r="A6105" t="s">
        <v>239</v>
      </c>
      <c r="B6105" t="s">
        <v>13</v>
      </c>
      <c r="C6105">
        <v>120</v>
      </c>
      <c r="D6105" t="s">
        <v>5969</v>
      </c>
      <c r="E6105" t="s">
        <v>5970</v>
      </c>
      <c r="F6105" t="s">
        <v>13</v>
      </c>
      <c r="H6105" t="s">
        <v>5971</v>
      </c>
    </row>
    <row r="6106" spans="1:8">
      <c r="A6106" t="s">
        <v>243</v>
      </c>
      <c r="B6106" t="s">
        <v>13</v>
      </c>
      <c r="C6106">
        <v>120</v>
      </c>
      <c r="D6106" t="s">
        <v>5972</v>
      </c>
      <c r="E6106" t="s">
        <v>5973</v>
      </c>
      <c r="F6106" t="s">
        <v>13</v>
      </c>
      <c r="H6106" t="s">
        <v>5974</v>
      </c>
    </row>
    <row r="6107" spans="1:8">
      <c r="A6107" t="s">
        <v>239</v>
      </c>
      <c r="B6107" t="s">
        <v>13</v>
      </c>
      <c r="C6107">
        <v>120</v>
      </c>
      <c r="D6107" t="s">
        <v>5975</v>
      </c>
      <c r="E6107" t="s">
        <v>5976</v>
      </c>
      <c r="F6107" t="s">
        <v>13</v>
      </c>
    </row>
    <row r="6108" spans="1:8">
      <c r="A6108" t="s">
        <v>239</v>
      </c>
      <c r="B6108" t="s">
        <v>13</v>
      </c>
      <c r="C6108">
        <v>120</v>
      </c>
      <c r="D6108" t="s">
        <v>5977</v>
      </c>
      <c r="E6108" t="s">
        <v>5978</v>
      </c>
      <c r="F6108" t="s">
        <v>13</v>
      </c>
      <c r="H6108" t="s">
        <v>5899</v>
      </c>
    </row>
    <row r="6109" spans="1:8">
      <c r="A6109" t="s">
        <v>241</v>
      </c>
      <c r="B6109" t="s">
        <v>13</v>
      </c>
      <c r="C6109">
        <v>120</v>
      </c>
      <c r="D6109" t="s">
        <v>5979</v>
      </c>
      <c r="E6109" t="s">
        <v>5980</v>
      </c>
      <c r="F6109" t="s">
        <v>13</v>
      </c>
      <c r="H6109" t="s">
        <v>5981</v>
      </c>
    </row>
    <row r="6110" spans="1:8">
      <c r="A6110" t="s">
        <v>241</v>
      </c>
      <c r="B6110" t="s">
        <v>13</v>
      </c>
      <c r="C6110">
        <v>120</v>
      </c>
      <c r="D6110" t="s">
        <v>5982</v>
      </c>
      <c r="E6110" t="s">
        <v>5983</v>
      </c>
      <c r="F6110" t="s">
        <v>5984</v>
      </c>
      <c r="G6110" t="s">
        <v>5985</v>
      </c>
      <c r="H6110" t="s">
        <v>5986</v>
      </c>
    </row>
    <row r="6111" spans="1:8">
      <c r="A6111" t="s">
        <v>246</v>
      </c>
      <c r="B6111" t="s">
        <v>13</v>
      </c>
      <c r="C6111">
        <v>120</v>
      </c>
      <c r="D6111" t="s">
        <v>5987</v>
      </c>
      <c r="E6111" t="s">
        <v>5988</v>
      </c>
      <c r="H6111" t="s">
        <v>5989</v>
      </c>
    </row>
    <row r="6112" spans="1:8">
      <c r="A6112" t="s">
        <v>243</v>
      </c>
      <c r="B6112" t="s">
        <v>13</v>
      </c>
      <c r="C6112">
        <v>120</v>
      </c>
      <c r="D6112" t="s">
        <v>5990</v>
      </c>
      <c r="E6112" t="s">
        <v>5991</v>
      </c>
      <c r="F6112" t="s">
        <v>5992</v>
      </c>
      <c r="H6112" t="s">
        <v>5993</v>
      </c>
    </row>
    <row r="6113" spans="1:8">
      <c r="A6113" t="s">
        <v>239</v>
      </c>
      <c r="B6113" t="s">
        <v>13</v>
      </c>
      <c r="C6113">
        <v>120</v>
      </c>
      <c r="D6113" t="s">
        <v>5994</v>
      </c>
      <c r="E6113" t="s">
        <v>5995</v>
      </c>
      <c r="F6113" t="s">
        <v>13</v>
      </c>
      <c r="H6113" t="s">
        <v>5996</v>
      </c>
    </row>
    <row r="6114" spans="1:8">
      <c r="A6114" t="s">
        <v>250</v>
      </c>
      <c r="B6114" t="s">
        <v>13</v>
      </c>
      <c r="C6114">
        <v>120</v>
      </c>
      <c r="D6114" t="s">
        <v>5997</v>
      </c>
      <c r="F6114" t="s">
        <v>13</v>
      </c>
      <c r="H6114" t="s">
        <v>5998</v>
      </c>
    </row>
    <row r="6115" spans="1:8">
      <c r="A6115" t="s">
        <v>241</v>
      </c>
      <c r="B6115" t="s">
        <v>13</v>
      </c>
      <c r="C6115">
        <v>120</v>
      </c>
      <c r="D6115" t="s">
        <v>5999</v>
      </c>
      <c r="E6115" t="s">
        <v>6000</v>
      </c>
      <c r="F6115" t="s">
        <v>13</v>
      </c>
      <c r="H6115" t="s">
        <v>6001</v>
      </c>
    </row>
    <row r="6116" spans="1:8">
      <c r="A6116" t="s">
        <v>239</v>
      </c>
      <c r="B6116" t="s">
        <v>13</v>
      </c>
      <c r="C6116">
        <v>120</v>
      </c>
      <c r="D6116" t="s">
        <v>6002</v>
      </c>
      <c r="E6116" t="s">
        <v>6003</v>
      </c>
      <c r="F6116" t="s">
        <v>13</v>
      </c>
    </row>
    <row r="6117" spans="1:8">
      <c r="A6117" t="s">
        <v>239</v>
      </c>
      <c r="B6117" t="s">
        <v>13</v>
      </c>
      <c r="C6117">
        <v>120</v>
      </c>
      <c r="D6117" t="s">
        <v>6004</v>
      </c>
      <c r="E6117" t="s">
        <v>6005</v>
      </c>
      <c r="F6117" t="s">
        <v>13</v>
      </c>
    </row>
    <row r="6118" spans="1:8">
      <c r="A6118" t="s">
        <v>239</v>
      </c>
      <c r="B6118" t="s">
        <v>13</v>
      </c>
      <c r="C6118">
        <v>120</v>
      </c>
      <c r="D6118" t="s">
        <v>6006</v>
      </c>
      <c r="E6118" t="s">
        <v>6007</v>
      </c>
      <c r="F6118" t="s">
        <v>13</v>
      </c>
    </row>
    <row r="6119" spans="1:8">
      <c r="A6119" t="s">
        <v>239</v>
      </c>
      <c r="B6119" t="s">
        <v>13</v>
      </c>
      <c r="C6119">
        <v>120</v>
      </c>
      <c r="D6119" t="s">
        <v>6008</v>
      </c>
      <c r="E6119" t="s">
        <v>6009</v>
      </c>
      <c r="F6119" t="s">
        <v>13</v>
      </c>
    </row>
    <row r="6120" spans="1:8">
      <c r="A6120" t="s">
        <v>239</v>
      </c>
      <c r="B6120" t="s">
        <v>13</v>
      </c>
      <c r="C6120">
        <v>120</v>
      </c>
      <c r="D6120" t="s">
        <v>6010</v>
      </c>
      <c r="E6120" t="s">
        <v>6011</v>
      </c>
      <c r="F6120" t="s">
        <v>13</v>
      </c>
    </row>
    <row r="6121" spans="1:8">
      <c r="A6121" t="s">
        <v>239</v>
      </c>
      <c r="B6121" t="s">
        <v>13</v>
      </c>
      <c r="C6121">
        <v>120</v>
      </c>
      <c r="D6121" t="s">
        <v>6012</v>
      </c>
      <c r="E6121" t="s">
        <v>6013</v>
      </c>
      <c r="F6121" t="s">
        <v>13</v>
      </c>
    </row>
    <row r="6122" spans="1:8">
      <c r="A6122" t="s">
        <v>239</v>
      </c>
      <c r="B6122" t="s">
        <v>13</v>
      </c>
      <c r="C6122">
        <v>120</v>
      </c>
      <c r="D6122" t="s">
        <v>6014</v>
      </c>
      <c r="E6122" t="s">
        <v>6015</v>
      </c>
      <c r="F6122" t="s">
        <v>13</v>
      </c>
      <c r="H6122" t="s">
        <v>6016</v>
      </c>
    </row>
    <row r="6123" spans="1:8">
      <c r="A6123" t="s">
        <v>242</v>
      </c>
      <c r="B6123" t="s">
        <v>13</v>
      </c>
      <c r="C6123">
        <v>120</v>
      </c>
      <c r="D6123" t="s">
        <v>6017</v>
      </c>
      <c r="E6123" t="s">
        <v>6018</v>
      </c>
      <c r="F6123" t="s">
        <v>13</v>
      </c>
      <c r="G6123" t="s">
        <v>6019</v>
      </c>
      <c r="H6123" t="s">
        <v>6020</v>
      </c>
    </row>
    <row r="6124" spans="1:8">
      <c r="A6124" t="s">
        <v>241</v>
      </c>
      <c r="B6124" t="s">
        <v>13</v>
      </c>
      <c r="C6124">
        <v>120</v>
      </c>
      <c r="D6124" t="s">
        <v>6021</v>
      </c>
      <c r="E6124" t="s">
        <v>6022</v>
      </c>
      <c r="F6124" t="s">
        <v>13</v>
      </c>
      <c r="G6124" t="s">
        <v>6023</v>
      </c>
      <c r="H6124" t="s">
        <v>6024</v>
      </c>
    </row>
    <row r="6125" spans="1:8">
      <c r="A6125" t="s">
        <v>243</v>
      </c>
      <c r="B6125" t="s">
        <v>13</v>
      </c>
      <c r="C6125">
        <v>120</v>
      </c>
      <c r="D6125" t="s">
        <v>6025</v>
      </c>
      <c r="E6125" t="s">
        <v>6026</v>
      </c>
      <c r="F6125" t="s">
        <v>13</v>
      </c>
      <c r="H6125" t="s">
        <v>6027</v>
      </c>
    </row>
    <row r="6126" spans="1:8">
      <c r="A6126" t="s">
        <v>239</v>
      </c>
      <c r="B6126" t="s">
        <v>13</v>
      </c>
      <c r="C6126">
        <v>120</v>
      </c>
      <c r="D6126" t="s">
        <v>6028</v>
      </c>
      <c r="E6126" t="s">
        <v>6029</v>
      </c>
      <c r="F6126" t="s">
        <v>13</v>
      </c>
    </row>
    <row r="6127" spans="1:8">
      <c r="A6127" t="s">
        <v>243</v>
      </c>
      <c r="B6127" t="s">
        <v>13</v>
      </c>
      <c r="C6127">
        <v>120</v>
      </c>
      <c r="D6127" t="s">
        <v>6030</v>
      </c>
      <c r="E6127" t="s">
        <v>6031</v>
      </c>
      <c r="F6127" t="s">
        <v>13</v>
      </c>
    </row>
    <row r="6128" spans="1:8">
      <c r="A6128" t="s">
        <v>243</v>
      </c>
      <c r="B6128" t="s">
        <v>13</v>
      </c>
      <c r="C6128">
        <v>120</v>
      </c>
      <c r="D6128" t="s">
        <v>6032</v>
      </c>
      <c r="E6128" t="s">
        <v>6033</v>
      </c>
      <c r="F6128" t="s">
        <v>13</v>
      </c>
      <c r="G6128" t="s">
        <v>6034</v>
      </c>
      <c r="H6128" t="s">
        <v>6035</v>
      </c>
    </row>
    <row r="6129" spans="1:8">
      <c r="A6129" t="s">
        <v>241</v>
      </c>
      <c r="B6129" t="s">
        <v>13</v>
      </c>
      <c r="C6129">
        <v>120</v>
      </c>
      <c r="D6129" t="s">
        <v>6036</v>
      </c>
      <c r="E6129" t="s">
        <v>6037</v>
      </c>
      <c r="F6129" t="s">
        <v>13</v>
      </c>
      <c r="H6129" t="s">
        <v>6038</v>
      </c>
    </row>
    <row r="6130" spans="1:8">
      <c r="A6130" t="s">
        <v>243</v>
      </c>
      <c r="B6130" t="s">
        <v>13</v>
      </c>
      <c r="C6130">
        <v>120</v>
      </c>
      <c r="D6130" t="s">
        <v>6039</v>
      </c>
      <c r="E6130" t="s">
        <v>6040</v>
      </c>
      <c r="F6130" t="s">
        <v>13</v>
      </c>
      <c r="H6130" t="s">
        <v>6041</v>
      </c>
    </row>
    <row r="6131" spans="1:8">
      <c r="A6131" t="s">
        <v>250</v>
      </c>
      <c r="B6131" t="s">
        <v>13</v>
      </c>
      <c r="C6131">
        <v>120</v>
      </c>
      <c r="D6131" t="s">
        <v>6042</v>
      </c>
      <c r="E6131" t="s">
        <v>6043</v>
      </c>
      <c r="F6131" t="s">
        <v>13</v>
      </c>
    </row>
    <row r="6132" spans="1:8">
      <c r="A6132" t="s">
        <v>250</v>
      </c>
      <c r="B6132" t="s">
        <v>13</v>
      </c>
      <c r="C6132">
        <v>120</v>
      </c>
      <c r="D6132" t="s">
        <v>6044</v>
      </c>
      <c r="E6132" t="s">
        <v>6045</v>
      </c>
      <c r="F6132" t="s">
        <v>13</v>
      </c>
      <c r="G6132" t="s">
        <v>6046</v>
      </c>
    </row>
    <row r="6133" spans="1:8">
      <c r="A6133" t="s">
        <v>250</v>
      </c>
      <c r="B6133" t="s">
        <v>13</v>
      </c>
      <c r="C6133">
        <v>120</v>
      </c>
      <c r="D6133" t="s">
        <v>6047</v>
      </c>
      <c r="F6133" t="s">
        <v>6048</v>
      </c>
    </row>
    <row r="6134" spans="1:8">
      <c r="A6134" t="s">
        <v>250</v>
      </c>
      <c r="B6134" t="s">
        <v>13</v>
      </c>
      <c r="C6134">
        <v>120</v>
      </c>
      <c r="D6134" t="s">
        <v>6049</v>
      </c>
      <c r="E6134" t="s">
        <v>6050</v>
      </c>
      <c r="F6134" t="s">
        <v>13</v>
      </c>
    </row>
    <row r="6135" spans="1:8">
      <c r="A6135" t="s">
        <v>250</v>
      </c>
      <c r="B6135" t="s">
        <v>13</v>
      </c>
      <c r="C6135">
        <v>120</v>
      </c>
      <c r="D6135" t="s">
        <v>6051</v>
      </c>
      <c r="E6135" t="s">
        <v>6052</v>
      </c>
      <c r="F6135" t="s">
        <v>13</v>
      </c>
    </row>
    <row r="6136" spans="1:8">
      <c r="A6136" t="s">
        <v>250</v>
      </c>
      <c r="B6136" t="s">
        <v>13</v>
      </c>
      <c r="C6136">
        <v>120</v>
      </c>
      <c r="D6136" t="s">
        <v>6053</v>
      </c>
      <c r="E6136" t="s">
        <v>6054</v>
      </c>
      <c r="F6136" t="s">
        <v>13</v>
      </c>
    </row>
    <row r="6137" spans="1:8">
      <c r="A6137" t="s">
        <v>250</v>
      </c>
      <c r="B6137" t="s">
        <v>13</v>
      </c>
      <c r="C6137">
        <v>120</v>
      </c>
      <c r="D6137" t="s">
        <v>6055</v>
      </c>
      <c r="E6137" t="s">
        <v>6056</v>
      </c>
      <c r="F6137" t="s">
        <v>13</v>
      </c>
      <c r="G6137" t="s">
        <v>6057</v>
      </c>
      <c r="H6137" t="s">
        <v>6058</v>
      </c>
    </row>
    <row r="6138" spans="1:8">
      <c r="A6138" t="s">
        <v>250</v>
      </c>
      <c r="B6138" t="s">
        <v>13</v>
      </c>
      <c r="C6138">
        <v>120</v>
      </c>
      <c r="D6138" t="s">
        <v>6059</v>
      </c>
      <c r="E6138" t="s">
        <v>6056</v>
      </c>
      <c r="F6138" t="s">
        <v>13</v>
      </c>
      <c r="G6138" t="s">
        <v>6060</v>
      </c>
      <c r="H6138" t="s">
        <v>6061</v>
      </c>
    </row>
    <row r="6139" spans="1:8">
      <c r="A6139" t="s">
        <v>240</v>
      </c>
      <c r="B6139" t="s">
        <v>13</v>
      </c>
      <c r="C6139">
        <v>120</v>
      </c>
      <c r="D6139" t="s">
        <v>6062</v>
      </c>
      <c r="E6139" t="s">
        <v>6063</v>
      </c>
      <c r="F6139" t="s">
        <v>13</v>
      </c>
      <c r="G6139" t="s">
        <v>6064</v>
      </c>
      <c r="H6139" t="s">
        <v>6065</v>
      </c>
    </row>
    <row r="6140" spans="1:8">
      <c r="A6140" t="s">
        <v>250</v>
      </c>
      <c r="B6140" t="s">
        <v>13</v>
      </c>
      <c r="C6140">
        <v>120</v>
      </c>
      <c r="D6140" t="s">
        <v>6066</v>
      </c>
      <c r="E6140" t="s">
        <v>6067</v>
      </c>
      <c r="F6140" t="s">
        <v>13</v>
      </c>
    </row>
    <row r="6141" spans="1:8">
      <c r="A6141" t="s">
        <v>250</v>
      </c>
      <c r="B6141" t="s">
        <v>13</v>
      </c>
      <c r="C6141">
        <v>120</v>
      </c>
      <c r="D6141" t="s">
        <v>6068</v>
      </c>
      <c r="E6141" t="s">
        <v>6056</v>
      </c>
      <c r="F6141" t="s">
        <v>13</v>
      </c>
    </row>
    <row r="6142" spans="1:8">
      <c r="A6142" t="s">
        <v>250</v>
      </c>
      <c r="B6142" t="s">
        <v>13</v>
      </c>
      <c r="C6142">
        <v>120</v>
      </c>
      <c r="D6142" t="s">
        <v>6069</v>
      </c>
      <c r="E6142" t="s">
        <v>6070</v>
      </c>
      <c r="F6142" t="s">
        <v>13</v>
      </c>
      <c r="G6142" t="s">
        <v>6071</v>
      </c>
    </row>
    <row r="6143" spans="1:8">
      <c r="A6143" t="s">
        <v>250</v>
      </c>
      <c r="B6143" t="s">
        <v>13</v>
      </c>
      <c r="C6143">
        <v>120</v>
      </c>
      <c r="D6143" t="s">
        <v>6072</v>
      </c>
      <c r="E6143" t="s">
        <v>6050</v>
      </c>
      <c r="F6143" t="s">
        <v>13</v>
      </c>
    </row>
    <row r="6144" spans="1:8">
      <c r="A6144" t="s">
        <v>250</v>
      </c>
      <c r="B6144" t="s">
        <v>13</v>
      </c>
      <c r="C6144">
        <v>120</v>
      </c>
      <c r="D6144" t="s">
        <v>6073</v>
      </c>
      <c r="E6144" t="s">
        <v>6074</v>
      </c>
      <c r="F6144" t="s">
        <v>958</v>
      </c>
      <c r="H6144" t="s">
        <v>5595</v>
      </c>
    </row>
    <row r="6145" spans="1:8">
      <c r="A6145" t="s">
        <v>250</v>
      </c>
      <c r="B6145" t="s">
        <v>13</v>
      </c>
      <c r="C6145">
        <v>120</v>
      </c>
      <c r="D6145" t="s">
        <v>6075</v>
      </c>
      <c r="E6145" t="s">
        <v>6076</v>
      </c>
      <c r="F6145" t="s">
        <v>958</v>
      </c>
    </row>
    <row r="6146" spans="1:8">
      <c r="A6146" t="s">
        <v>250</v>
      </c>
      <c r="B6146" t="s">
        <v>13</v>
      </c>
      <c r="C6146">
        <v>120</v>
      </c>
      <c r="D6146" t="s">
        <v>6077</v>
      </c>
      <c r="E6146" t="s">
        <v>6076</v>
      </c>
      <c r="F6146" t="s">
        <v>13</v>
      </c>
    </row>
    <row r="6147" spans="1:8">
      <c r="A6147" t="s">
        <v>250</v>
      </c>
      <c r="B6147" t="s">
        <v>13</v>
      </c>
      <c r="C6147">
        <v>120</v>
      </c>
      <c r="D6147" t="s">
        <v>6078</v>
      </c>
      <c r="F6147" t="s">
        <v>6048</v>
      </c>
    </row>
    <row r="6148" spans="1:8">
      <c r="A6148" t="s">
        <v>250</v>
      </c>
      <c r="B6148" t="s">
        <v>13</v>
      </c>
      <c r="C6148">
        <v>120</v>
      </c>
      <c r="D6148" t="s">
        <v>6079</v>
      </c>
      <c r="F6148" t="s">
        <v>6080</v>
      </c>
    </row>
    <row r="6149" spans="1:8">
      <c r="A6149" t="s">
        <v>250</v>
      </c>
      <c r="B6149" t="s">
        <v>13</v>
      </c>
      <c r="C6149">
        <v>120</v>
      </c>
      <c r="D6149" t="s">
        <v>6081</v>
      </c>
      <c r="E6149" t="s">
        <v>6076</v>
      </c>
      <c r="F6149" t="s">
        <v>958</v>
      </c>
    </row>
    <row r="6150" spans="1:8">
      <c r="A6150" t="s">
        <v>250</v>
      </c>
      <c r="B6150" t="s">
        <v>13</v>
      </c>
      <c r="C6150">
        <v>120</v>
      </c>
      <c r="D6150" t="s">
        <v>6082</v>
      </c>
      <c r="E6150" t="s">
        <v>6083</v>
      </c>
      <c r="F6150" t="s">
        <v>13</v>
      </c>
    </row>
    <row r="6151" spans="1:8">
      <c r="A6151" t="s">
        <v>250</v>
      </c>
      <c r="B6151" t="s">
        <v>13</v>
      </c>
      <c r="C6151">
        <v>120</v>
      </c>
      <c r="D6151" t="s">
        <v>6084</v>
      </c>
      <c r="E6151" t="s">
        <v>6056</v>
      </c>
      <c r="F6151" t="s">
        <v>13</v>
      </c>
    </row>
    <row r="6152" spans="1:8">
      <c r="A6152" t="s">
        <v>250</v>
      </c>
      <c r="B6152" t="s">
        <v>13</v>
      </c>
      <c r="C6152">
        <v>120</v>
      </c>
      <c r="D6152" t="s">
        <v>6085</v>
      </c>
      <c r="F6152" t="s">
        <v>6086</v>
      </c>
      <c r="G6152" t="s">
        <v>6087</v>
      </c>
    </row>
    <row r="6153" spans="1:8">
      <c r="A6153" t="s">
        <v>249</v>
      </c>
      <c r="B6153" t="s">
        <v>13</v>
      </c>
      <c r="C6153">
        <v>120</v>
      </c>
      <c r="D6153" t="s">
        <v>6088</v>
      </c>
      <c r="E6153" t="s">
        <v>6089</v>
      </c>
      <c r="F6153" t="s">
        <v>13</v>
      </c>
      <c r="G6153" t="s">
        <v>6090</v>
      </c>
      <c r="H6153" t="s">
        <v>6091</v>
      </c>
    </row>
    <row r="6154" spans="1:8">
      <c r="A6154" t="s">
        <v>243</v>
      </c>
      <c r="B6154" t="s">
        <v>13</v>
      </c>
      <c r="C6154">
        <v>120</v>
      </c>
      <c r="D6154" t="s">
        <v>6092</v>
      </c>
      <c r="E6154" t="s">
        <v>6093</v>
      </c>
      <c r="F6154" t="s">
        <v>13</v>
      </c>
      <c r="H6154" t="s">
        <v>6094</v>
      </c>
    </row>
    <row r="6155" spans="1:8">
      <c r="A6155" t="s">
        <v>243</v>
      </c>
      <c r="B6155" t="s">
        <v>13</v>
      </c>
      <c r="C6155">
        <v>120</v>
      </c>
      <c r="D6155" t="s">
        <v>6095</v>
      </c>
      <c r="E6155" t="s">
        <v>6031</v>
      </c>
      <c r="F6155" t="s">
        <v>13</v>
      </c>
    </row>
    <row r="6156" spans="1:8">
      <c r="A6156" t="s">
        <v>243</v>
      </c>
      <c r="B6156" t="s">
        <v>13</v>
      </c>
      <c r="C6156">
        <v>120</v>
      </c>
      <c r="D6156" t="s">
        <v>6039</v>
      </c>
      <c r="E6156" t="s">
        <v>6096</v>
      </c>
      <c r="F6156" t="s">
        <v>958</v>
      </c>
      <c r="H6156" t="s">
        <v>6041</v>
      </c>
    </row>
    <row r="6157" spans="1:8">
      <c r="A6157" t="s">
        <v>243</v>
      </c>
      <c r="B6157" t="s">
        <v>13</v>
      </c>
      <c r="C6157">
        <v>120</v>
      </c>
      <c r="D6157" t="s">
        <v>5644</v>
      </c>
      <c r="E6157" t="s">
        <v>6097</v>
      </c>
      <c r="F6157" t="s">
        <v>6098</v>
      </c>
    </row>
    <row r="6158" spans="1:8">
      <c r="A6158" t="s">
        <v>241</v>
      </c>
      <c r="B6158" t="s">
        <v>13</v>
      </c>
      <c r="C6158">
        <v>120</v>
      </c>
      <c r="D6158" t="s">
        <v>6099</v>
      </c>
      <c r="E6158" t="s">
        <v>6100</v>
      </c>
      <c r="F6158" t="s">
        <v>13</v>
      </c>
      <c r="H6158" t="s">
        <v>6101</v>
      </c>
    </row>
    <row r="6159" spans="1:8">
      <c r="A6159" t="s">
        <v>243</v>
      </c>
      <c r="B6159" t="s">
        <v>13</v>
      </c>
      <c r="C6159">
        <v>120</v>
      </c>
      <c r="D6159" t="s">
        <v>6102</v>
      </c>
      <c r="E6159" t="s">
        <v>6103</v>
      </c>
      <c r="F6159" t="s">
        <v>13</v>
      </c>
      <c r="H6159" t="s">
        <v>6104</v>
      </c>
    </row>
    <row r="6160" spans="1:8">
      <c r="A6160" t="s">
        <v>239</v>
      </c>
      <c r="B6160" t="s">
        <v>13</v>
      </c>
      <c r="C6160">
        <v>120</v>
      </c>
      <c r="D6160" t="s">
        <v>5370</v>
      </c>
      <c r="E6160" t="s">
        <v>6105</v>
      </c>
    </row>
    <row r="6161" spans="1:8">
      <c r="A6161" t="s">
        <v>250</v>
      </c>
      <c r="B6161" t="s">
        <v>13</v>
      </c>
      <c r="C6161">
        <v>120</v>
      </c>
      <c r="D6161" t="s">
        <v>6106</v>
      </c>
      <c r="E6161" t="s">
        <v>6052</v>
      </c>
      <c r="F6161" t="s">
        <v>13</v>
      </c>
    </row>
    <row r="6162" spans="1:8">
      <c r="A6162" t="s">
        <v>250</v>
      </c>
      <c r="B6162" t="s">
        <v>13</v>
      </c>
      <c r="C6162">
        <v>120</v>
      </c>
      <c r="D6162" t="s">
        <v>6107</v>
      </c>
      <c r="E6162" t="s">
        <v>6108</v>
      </c>
      <c r="F6162" t="s">
        <v>13</v>
      </c>
    </row>
    <row r="6163" spans="1:8">
      <c r="A6163" t="s">
        <v>250</v>
      </c>
      <c r="B6163" t="s">
        <v>13</v>
      </c>
      <c r="C6163">
        <v>120</v>
      </c>
      <c r="D6163" t="s">
        <v>6109</v>
      </c>
      <c r="E6163" t="s">
        <v>6110</v>
      </c>
      <c r="F6163" t="s">
        <v>13</v>
      </c>
    </row>
    <row r="6164" spans="1:8">
      <c r="A6164" t="s">
        <v>250</v>
      </c>
      <c r="B6164" t="s">
        <v>13</v>
      </c>
      <c r="C6164">
        <v>120</v>
      </c>
      <c r="D6164" t="s">
        <v>6111</v>
      </c>
      <c r="E6164" t="s">
        <v>6052</v>
      </c>
      <c r="F6164" t="s">
        <v>13</v>
      </c>
    </row>
    <row r="6165" spans="1:8">
      <c r="A6165" t="s">
        <v>241</v>
      </c>
      <c r="B6165" t="s">
        <v>13</v>
      </c>
      <c r="C6165">
        <v>120</v>
      </c>
      <c r="D6165" t="s">
        <v>6112</v>
      </c>
      <c r="E6165" t="s">
        <v>6113</v>
      </c>
      <c r="F6165" t="s">
        <v>13</v>
      </c>
      <c r="H6165" t="s">
        <v>6114</v>
      </c>
    </row>
    <row r="6166" spans="1:8">
      <c r="A6166" t="s">
        <v>241</v>
      </c>
      <c r="B6166" t="s">
        <v>13</v>
      </c>
      <c r="C6166">
        <v>120</v>
      </c>
      <c r="D6166" t="s">
        <v>6115</v>
      </c>
      <c r="E6166" t="s">
        <v>6116</v>
      </c>
      <c r="F6166" t="s">
        <v>13</v>
      </c>
      <c r="H6166" t="s">
        <v>6117</v>
      </c>
    </row>
    <row r="6167" spans="1:8">
      <c r="A6167" t="s">
        <v>250</v>
      </c>
      <c r="B6167" t="s">
        <v>13</v>
      </c>
      <c r="C6167">
        <v>120</v>
      </c>
      <c r="D6167" t="s">
        <v>6118</v>
      </c>
      <c r="E6167" t="s">
        <v>6119</v>
      </c>
      <c r="F6167" t="s">
        <v>13</v>
      </c>
    </row>
    <row r="6168" spans="1:8">
      <c r="A6168" t="s">
        <v>250</v>
      </c>
      <c r="B6168" t="s">
        <v>13</v>
      </c>
      <c r="C6168">
        <v>120</v>
      </c>
      <c r="D6168" t="s">
        <v>6120</v>
      </c>
      <c r="E6168" t="s">
        <v>6076</v>
      </c>
      <c r="F6168" t="s">
        <v>13</v>
      </c>
      <c r="G6168" t="s">
        <v>5585</v>
      </c>
      <c r="H6168" t="s">
        <v>5584</v>
      </c>
    </row>
    <row r="6169" spans="1:8">
      <c r="A6169" t="s">
        <v>250</v>
      </c>
      <c r="B6169" t="s">
        <v>13</v>
      </c>
      <c r="C6169">
        <v>120</v>
      </c>
      <c r="D6169" t="s">
        <v>6121</v>
      </c>
      <c r="E6169" t="s">
        <v>6056</v>
      </c>
      <c r="F6169" t="s">
        <v>13</v>
      </c>
    </row>
    <row r="6170" spans="1:8">
      <c r="A6170" t="s">
        <v>242</v>
      </c>
      <c r="B6170" t="s">
        <v>13</v>
      </c>
      <c r="C6170">
        <v>120</v>
      </c>
      <c r="D6170" t="s">
        <v>6122</v>
      </c>
      <c r="E6170" t="s">
        <v>6123</v>
      </c>
      <c r="F6170" t="s">
        <v>13</v>
      </c>
      <c r="G6170" t="s">
        <v>6124</v>
      </c>
      <c r="H6170" t="s">
        <v>6125</v>
      </c>
    </row>
    <row r="6171" spans="1:8">
      <c r="A6171" t="s">
        <v>243</v>
      </c>
      <c r="B6171" t="s">
        <v>13</v>
      </c>
      <c r="C6171">
        <v>120</v>
      </c>
      <c r="D6171" t="s">
        <v>5401</v>
      </c>
      <c r="E6171" t="s">
        <v>6126</v>
      </c>
      <c r="F6171" t="s">
        <v>5403</v>
      </c>
      <c r="H6171" t="s">
        <v>5404</v>
      </c>
    </row>
    <row r="6172" spans="1:8">
      <c r="A6172" t="s">
        <v>241</v>
      </c>
      <c r="B6172" t="s">
        <v>13</v>
      </c>
      <c r="C6172">
        <v>120</v>
      </c>
      <c r="D6172" t="s">
        <v>6127</v>
      </c>
      <c r="E6172" t="s">
        <v>6128</v>
      </c>
      <c r="F6172" t="s">
        <v>13</v>
      </c>
      <c r="G6172" t="s">
        <v>6129</v>
      </c>
      <c r="H6172" t="s">
        <v>6130</v>
      </c>
    </row>
    <row r="6173" spans="1:8">
      <c r="A6173" t="s">
        <v>242</v>
      </c>
      <c r="B6173" t="s">
        <v>13</v>
      </c>
      <c r="C6173">
        <v>120</v>
      </c>
      <c r="D6173" t="s">
        <v>6131</v>
      </c>
      <c r="E6173" t="s">
        <v>6132</v>
      </c>
      <c r="F6173" t="s">
        <v>13</v>
      </c>
      <c r="G6173" t="s">
        <v>6133</v>
      </c>
      <c r="H6173" t="s">
        <v>6134</v>
      </c>
    </row>
    <row r="6174" spans="1:8">
      <c r="A6174" t="s">
        <v>238</v>
      </c>
      <c r="B6174" t="s">
        <v>13</v>
      </c>
      <c r="C6174">
        <v>120</v>
      </c>
      <c r="D6174" t="s">
        <v>6135</v>
      </c>
      <c r="E6174" t="s">
        <v>6136</v>
      </c>
      <c r="F6174" t="s">
        <v>13</v>
      </c>
      <c r="G6174" t="s">
        <v>6137</v>
      </c>
      <c r="H6174" t="s">
        <v>6138</v>
      </c>
    </row>
    <row r="6175" spans="1:8">
      <c r="A6175" t="s">
        <v>238</v>
      </c>
      <c r="B6175" t="s">
        <v>13</v>
      </c>
      <c r="C6175">
        <v>120</v>
      </c>
      <c r="D6175" t="s">
        <v>6139</v>
      </c>
      <c r="E6175" t="s">
        <v>6140</v>
      </c>
      <c r="F6175" t="s">
        <v>13</v>
      </c>
      <c r="G6175" t="s">
        <v>6141</v>
      </c>
      <c r="H6175" t="s">
        <v>6142</v>
      </c>
    </row>
    <row r="6176" spans="1:8">
      <c r="A6176" t="s">
        <v>250</v>
      </c>
      <c r="B6176" t="s">
        <v>13</v>
      </c>
      <c r="C6176">
        <v>120</v>
      </c>
      <c r="D6176" t="s">
        <v>528</v>
      </c>
      <c r="E6176" t="s">
        <v>5453</v>
      </c>
      <c r="G6176" t="s">
        <v>5455</v>
      </c>
      <c r="H6176" t="s">
        <v>5454</v>
      </c>
    </row>
    <row r="6177" spans="1:8">
      <c r="A6177" t="s">
        <v>250</v>
      </c>
      <c r="B6177" t="s">
        <v>13</v>
      </c>
      <c r="C6177">
        <v>120</v>
      </c>
      <c r="D6177" t="s">
        <v>6143</v>
      </c>
      <c r="E6177" t="s">
        <v>6144</v>
      </c>
      <c r="F6177" t="s">
        <v>13</v>
      </c>
    </row>
    <row r="6178" spans="1:8">
      <c r="A6178" t="s">
        <v>250</v>
      </c>
      <c r="B6178" t="s">
        <v>13</v>
      </c>
      <c r="C6178">
        <v>120</v>
      </c>
      <c r="D6178" t="s">
        <v>6145</v>
      </c>
      <c r="E6178" t="s">
        <v>6146</v>
      </c>
      <c r="F6178" t="s">
        <v>13</v>
      </c>
    </row>
    <row r="6179" spans="1:8">
      <c r="A6179" t="s">
        <v>250</v>
      </c>
      <c r="B6179" t="s">
        <v>13</v>
      </c>
      <c r="C6179">
        <v>120</v>
      </c>
      <c r="D6179" t="s">
        <v>6147</v>
      </c>
      <c r="E6179" t="s">
        <v>6070</v>
      </c>
      <c r="F6179" t="s">
        <v>13</v>
      </c>
    </row>
    <row r="6180" spans="1:8">
      <c r="A6180" t="s">
        <v>241</v>
      </c>
      <c r="B6180" t="s">
        <v>13</v>
      </c>
      <c r="C6180">
        <v>120</v>
      </c>
      <c r="D6180" t="s">
        <v>6148</v>
      </c>
      <c r="E6180" t="s">
        <v>5620</v>
      </c>
      <c r="F6180" t="s">
        <v>13</v>
      </c>
      <c r="G6180" t="s">
        <v>6149</v>
      </c>
      <c r="H6180" t="s">
        <v>6150</v>
      </c>
    </row>
    <row r="6181" spans="1:8">
      <c r="A6181" t="s">
        <v>250</v>
      </c>
      <c r="B6181" t="s">
        <v>13</v>
      </c>
      <c r="C6181">
        <v>120</v>
      </c>
      <c r="D6181" t="s">
        <v>6151</v>
      </c>
      <c r="E6181" t="s">
        <v>6152</v>
      </c>
      <c r="F6181" t="s">
        <v>6080</v>
      </c>
      <c r="G6181" t="s">
        <v>6153</v>
      </c>
      <c r="H6181" t="s">
        <v>6154</v>
      </c>
    </row>
    <row r="6182" spans="1:8">
      <c r="A6182" t="s">
        <v>250</v>
      </c>
      <c r="B6182" t="s">
        <v>13</v>
      </c>
      <c r="C6182">
        <v>120</v>
      </c>
      <c r="D6182" t="s">
        <v>6155</v>
      </c>
      <c r="E6182" t="s">
        <v>6156</v>
      </c>
      <c r="F6182" t="s">
        <v>6157</v>
      </c>
      <c r="G6182" t="s">
        <v>5239</v>
      </c>
      <c r="H6182" t="s">
        <v>5238</v>
      </c>
    </row>
    <row r="6183" spans="1:8">
      <c r="A6183" t="s">
        <v>250</v>
      </c>
      <c r="B6183" t="s">
        <v>13</v>
      </c>
      <c r="C6183">
        <v>120</v>
      </c>
      <c r="D6183" t="s">
        <v>6158</v>
      </c>
      <c r="E6183" t="s">
        <v>6110</v>
      </c>
      <c r="F6183" t="s">
        <v>13</v>
      </c>
      <c r="G6183" t="s">
        <v>6159</v>
      </c>
    </row>
    <row r="6184" spans="1:8">
      <c r="A6184" t="s">
        <v>250</v>
      </c>
      <c r="B6184" t="s">
        <v>13</v>
      </c>
      <c r="C6184">
        <v>120</v>
      </c>
      <c r="D6184" t="s">
        <v>6160</v>
      </c>
      <c r="E6184" t="s">
        <v>6070</v>
      </c>
      <c r="F6184" t="s">
        <v>13</v>
      </c>
    </row>
    <row r="6185" spans="1:8">
      <c r="A6185" t="s">
        <v>250</v>
      </c>
      <c r="B6185" t="s">
        <v>13</v>
      </c>
      <c r="C6185">
        <v>120</v>
      </c>
      <c r="D6185" t="s">
        <v>6161</v>
      </c>
      <c r="E6185" t="s">
        <v>6052</v>
      </c>
      <c r="F6185" t="s">
        <v>13</v>
      </c>
      <c r="G6185" t="s">
        <v>6162</v>
      </c>
    </row>
    <row r="6186" spans="1:8">
      <c r="A6186" t="s">
        <v>250</v>
      </c>
      <c r="B6186" t="s">
        <v>13</v>
      </c>
      <c r="C6186">
        <v>120</v>
      </c>
      <c r="D6186" t="s">
        <v>6163</v>
      </c>
      <c r="E6186" t="s">
        <v>6070</v>
      </c>
      <c r="F6186" t="s">
        <v>13</v>
      </c>
    </row>
    <row r="6187" spans="1:8">
      <c r="A6187" t="s">
        <v>250</v>
      </c>
      <c r="B6187" t="s">
        <v>13</v>
      </c>
      <c r="C6187">
        <v>120</v>
      </c>
      <c r="D6187" t="s">
        <v>6164</v>
      </c>
      <c r="E6187" t="s">
        <v>6165</v>
      </c>
      <c r="F6187" t="s">
        <v>13</v>
      </c>
    </row>
    <row r="6188" spans="1:8">
      <c r="A6188" t="s">
        <v>250</v>
      </c>
      <c r="B6188" t="s">
        <v>13</v>
      </c>
      <c r="C6188">
        <v>120</v>
      </c>
      <c r="D6188" t="s">
        <v>6166</v>
      </c>
      <c r="E6188" t="s">
        <v>6167</v>
      </c>
      <c r="F6188" t="s">
        <v>13</v>
      </c>
    </row>
    <row r="6189" spans="1:8">
      <c r="A6189" t="s">
        <v>240</v>
      </c>
      <c r="B6189" t="s">
        <v>13</v>
      </c>
      <c r="C6189">
        <v>120</v>
      </c>
      <c r="D6189" t="s">
        <v>6168</v>
      </c>
      <c r="E6189" t="s">
        <v>3706</v>
      </c>
      <c r="F6189" t="s">
        <v>13</v>
      </c>
      <c r="G6189" t="s">
        <v>6169</v>
      </c>
      <c r="H6189" t="s">
        <v>6170</v>
      </c>
    </row>
    <row r="6190" spans="1:8">
      <c r="A6190" t="s">
        <v>250</v>
      </c>
      <c r="B6190" t="s">
        <v>13</v>
      </c>
      <c r="C6190">
        <v>120</v>
      </c>
      <c r="D6190" t="s">
        <v>6171</v>
      </c>
      <c r="F6190" t="s">
        <v>6048</v>
      </c>
      <c r="G6190" t="s">
        <v>6172</v>
      </c>
    </row>
    <row r="6191" spans="1:8">
      <c r="A6191" t="s">
        <v>250</v>
      </c>
      <c r="B6191" t="s">
        <v>13</v>
      </c>
      <c r="C6191">
        <v>120</v>
      </c>
      <c r="D6191" t="s">
        <v>6173</v>
      </c>
      <c r="E6191" t="s">
        <v>6076</v>
      </c>
      <c r="F6191" t="s">
        <v>13</v>
      </c>
    </row>
    <row r="6192" spans="1:8">
      <c r="A6192" t="s">
        <v>250</v>
      </c>
      <c r="B6192" t="s">
        <v>13</v>
      </c>
      <c r="C6192">
        <v>120</v>
      </c>
      <c r="D6192" t="s">
        <v>6174</v>
      </c>
      <c r="E6192" t="s">
        <v>6175</v>
      </c>
      <c r="F6192" t="s">
        <v>13</v>
      </c>
      <c r="G6192" t="s">
        <v>6176</v>
      </c>
    </row>
    <row r="6193" spans="1:8">
      <c r="A6193" t="s">
        <v>250</v>
      </c>
      <c r="B6193" t="s">
        <v>13</v>
      </c>
      <c r="C6193">
        <v>120</v>
      </c>
      <c r="D6193" t="s">
        <v>6177</v>
      </c>
      <c r="E6193" t="s">
        <v>6178</v>
      </c>
      <c r="F6193" t="s">
        <v>13</v>
      </c>
    </row>
    <row r="6194" spans="1:8">
      <c r="A6194" t="s">
        <v>250</v>
      </c>
      <c r="B6194" t="s">
        <v>13</v>
      </c>
      <c r="C6194">
        <v>120</v>
      </c>
      <c r="D6194" t="s">
        <v>6179</v>
      </c>
      <c r="F6194" t="s">
        <v>6086</v>
      </c>
    </row>
    <row r="6195" spans="1:8">
      <c r="A6195" t="s">
        <v>250</v>
      </c>
      <c r="B6195" t="s">
        <v>13</v>
      </c>
      <c r="C6195">
        <v>120</v>
      </c>
      <c r="D6195" t="s">
        <v>6180</v>
      </c>
      <c r="E6195" t="s">
        <v>6181</v>
      </c>
      <c r="F6195" t="s">
        <v>13</v>
      </c>
    </row>
    <row r="6196" spans="1:8">
      <c r="A6196" t="s">
        <v>250</v>
      </c>
      <c r="B6196" t="s">
        <v>13</v>
      </c>
      <c r="C6196">
        <v>120</v>
      </c>
      <c r="D6196" t="s">
        <v>6182</v>
      </c>
      <c r="E6196" t="s">
        <v>6183</v>
      </c>
      <c r="F6196" t="s">
        <v>13</v>
      </c>
      <c r="G6196" t="s">
        <v>5265</v>
      </c>
      <c r="H6196" t="s">
        <v>5264</v>
      </c>
    </row>
    <row r="6197" spans="1:8">
      <c r="A6197" t="s">
        <v>241</v>
      </c>
      <c r="B6197" t="s">
        <v>79</v>
      </c>
      <c r="C6197">
        <v>120</v>
      </c>
      <c r="D6197" t="s">
        <v>8202</v>
      </c>
      <c r="E6197" t="s">
        <v>8203</v>
      </c>
      <c r="H6197" t="s">
        <v>8204</v>
      </c>
    </row>
    <row r="6198" spans="1:8">
      <c r="A6198" t="s">
        <v>241</v>
      </c>
      <c r="B6198" t="s">
        <v>79</v>
      </c>
      <c r="C6198">
        <v>120</v>
      </c>
      <c r="D6198" t="s">
        <v>8205</v>
      </c>
      <c r="E6198" t="s">
        <v>8206</v>
      </c>
      <c r="G6198" t="s">
        <v>8207</v>
      </c>
      <c r="H6198" t="s">
        <v>8208</v>
      </c>
    </row>
    <row r="6199" spans="1:8">
      <c r="A6199" t="s">
        <v>242</v>
      </c>
      <c r="B6199" t="s">
        <v>79</v>
      </c>
      <c r="C6199">
        <v>120</v>
      </c>
      <c r="D6199" t="s">
        <v>8209</v>
      </c>
      <c r="E6199" t="s">
        <v>8210</v>
      </c>
      <c r="G6199" t="s">
        <v>8211</v>
      </c>
      <c r="H6199" t="s">
        <v>8212</v>
      </c>
    </row>
    <row r="6200" spans="1:8">
      <c r="A6200" t="s">
        <v>241</v>
      </c>
      <c r="B6200" t="s">
        <v>79</v>
      </c>
      <c r="C6200">
        <v>120</v>
      </c>
      <c r="D6200" t="s">
        <v>8213</v>
      </c>
      <c r="E6200" t="s">
        <v>8214</v>
      </c>
      <c r="G6200" t="s">
        <v>8215</v>
      </c>
      <c r="H6200" t="s">
        <v>8216</v>
      </c>
    </row>
    <row r="6201" spans="1:8">
      <c r="A6201" t="s">
        <v>243</v>
      </c>
      <c r="B6201" t="s">
        <v>79</v>
      </c>
      <c r="C6201">
        <v>120</v>
      </c>
      <c r="D6201" t="s">
        <v>8217</v>
      </c>
      <c r="E6201" t="s">
        <v>8218</v>
      </c>
      <c r="F6201" t="s">
        <v>79</v>
      </c>
      <c r="G6201" t="s">
        <v>8219</v>
      </c>
      <c r="H6201" t="s">
        <v>8220</v>
      </c>
    </row>
    <row r="6202" spans="1:8">
      <c r="A6202" t="s">
        <v>243</v>
      </c>
      <c r="B6202" t="s">
        <v>79</v>
      </c>
      <c r="C6202">
        <v>120</v>
      </c>
      <c r="D6202" t="s">
        <v>8221</v>
      </c>
      <c r="E6202" t="s">
        <v>8222</v>
      </c>
      <c r="F6202" t="s">
        <v>79</v>
      </c>
      <c r="H6202" t="s">
        <v>8223</v>
      </c>
    </row>
    <row r="6203" spans="1:8">
      <c r="A6203" t="s">
        <v>241</v>
      </c>
      <c r="B6203" t="s">
        <v>79</v>
      </c>
      <c r="C6203">
        <v>120</v>
      </c>
      <c r="D6203" t="s">
        <v>8224</v>
      </c>
      <c r="E6203" t="s">
        <v>8225</v>
      </c>
      <c r="F6203" t="s">
        <v>79</v>
      </c>
      <c r="H6203" t="s">
        <v>8226</v>
      </c>
    </row>
    <row r="6204" spans="1:8">
      <c r="A6204" t="s">
        <v>243</v>
      </c>
      <c r="B6204" t="s">
        <v>79</v>
      </c>
      <c r="C6204">
        <v>120</v>
      </c>
      <c r="D6204" t="s">
        <v>8227</v>
      </c>
      <c r="E6204" t="s">
        <v>8228</v>
      </c>
      <c r="F6204" t="s">
        <v>79</v>
      </c>
      <c r="H6204" t="s">
        <v>8229</v>
      </c>
    </row>
    <row r="6205" spans="1:8">
      <c r="A6205" t="s">
        <v>241</v>
      </c>
      <c r="B6205" t="s">
        <v>79</v>
      </c>
      <c r="C6205">
        <v>120</v>
      </c>
      <c r="D6205" t="s">
        <v>8230</v>
      </c>
      <c r="E6205" t="s">
        <v>8231</v>
      </c>
      <c r="F6205" t="s">
        <v>79</v>
      </c>
      <c r="H6205" t="s">
        <v>8232</v>
      </c>
    </row>
    <row r="6206" spans="1:8">
      <c r="A6206" t="s">
        <v>243</v>
      </c>
      <c r="B6206" t="s">
        <v>79</v>
      </c>
      <c r="C6206">
        <v>120</v>
      </c>
      <c r="D6206" t="s">
        <v>8233</v>
      </c>
      <c r="E6206" t="s">
        <v>8234</v>
      </c>
      <c r="G6206" t="s">
        <v>8235</v>
      </c>
      <c r="H6206" t="s">
        <v>8236</v>
      </c>
    </row>
    <row r="6207" spans="1:8">
      <c r="A6207" t="s">
        <v>241</v>
      </c>
      <c r="B6207" t="s">
        <v>79</v>
      </c>
      <c r="C6207">
        <v>120</v>
      </c>
      <c r="D6207" t="s">
        <v>8237</v>
      </c>
      <c r="E6207" t="s">
        <v>8238</v>
      </c>
      <c r="F6207" t="s">
        <v>79</v>
      </c>
      <c r="H6207" t="s">
        <v>8239</v>
      </c>
    </row>
    <row r="6208" spans="1:8">
      <c r="A6208" t="s">
        <v>241</v>
      </c>
      <c r="B6208" t="s">
        <v>79</v>
      </c>
      <c r="C6208">
        <v>120</v>
      </c>
      <c r="D6208" t="s">
        <v>8240</v>
      </c>
      <c r="E6208" t="s">
        <v>8241</v>
      </c>
      <c r="F6208" t="s">
        <v>79</v>
      </c>
      <c r="H6208" t="s">
        <v>8242</v>
      </c>
    </row>
    <row r="6209" spans="1:8">
      <c r="A6209" t="s">
        <v>243</v>
      </c>
      <c r="B6209" t="s">
        <v>79</v>
      </c>
      <c r="C6209">
        <v>120</v>
      </c>
      <c r="D6209" t="s">
        <v>8243</v>
      </c>
      <c r="E6209" t="s">
        <v>8244</v>
      </c>
      <c r="F6209" t="s">
        <v>79</v>
      </c>
      <c r="H6209" t="s">
        <v>8245</v>
      </c>
    </row>
    <row r="6210" spans="1:8">
      <c r="A6210" t="s">
        <v>238</v>
      </c>
      <c r="B6210" t="s">
        <v>79</v>
      </c>
      <c r="C6210">
        <v>120</v>
      </c>
      <c r="D6210" t="s">
        <v>8246</v>
      </c>
      <c r="E6210" t="s">
        <v>8247</v>
      </c>
      <c r="F6210" t="s">
        <v>8248</v>
      </c>
      <c r="G6210" t="s">
        <v>8249</v>
      </c>
      <c r="H6210" t="s">
        <v>8250</v>
      </c>
    </row>
    <row r="6211" spans="1:8">
      <c r="A6211" t="s">
        <v>241</v>
      </c>
      <c r="B6211" t="s">
        <v>79</v>
      </c>
      <c r="C6211">
        <v>120</v>
      </c>
      <c r="D6211" t="s">
        <v>8251</v>
      </c>
      <c r="E6211" t="s">
        <v>8252</v>
      </c>
      <c r="G6211" t="s">
        <v>8253</v>
      </c>
      <c r="H6211" t="s">
        <v>8254</v>
      </c>
    </row>
    <row r="6212" spans="1:8">
      <c r="A6212" t="s">
        <v>243</v>
      </c>
      <c r="B6212" t="s">
        <v>79</v>
      </c>
      <c r="C6212">
        <v>120</v>
      </c>
      <c r="D6212" t="s">
        <v>8255</v>
      </c>
      <c r="E6212" t="s">
        <v>8256</v>
      </c>
      <c r="F6212" t="s">
        <v>79</v>
      </c>
      <c r="H6212" t="s">
        <v>8257</v>
      </c>
    </row>
    <row r="6213" spans="1:8">
      <c r="A6213" t="s">
        <v>240</v>
      </c>
      <c r="B6213" t="s">
        <v>79</v>
      </c>
      <c r="C6213">
        <v>120</v>
      </c>
      <c r="D6213" t="s">
        <v>8258</v>
      </c>
      <c r="E6213" t="s">
        <v>8259</v>
      </c>
      <c r="F6213" t="s">
        <v>79</v>
      </c>
      <c r="G6213" t="s">
        <v>8260</v>
      </c>
      <c r="H6213" t="s">
        <v>8261</v>
      </c>
    </row>
    <row r="6214" spans="1:8">
      <c r="A6214" t="s">
        <v>243</v>
      </c>
      <c r="B6214" t="s">
        <v>79</v>
      </c>
      <c r="C6214">
        <v>120</v>
      </c>
      <c r="D6214" t="s">
        <v>6710</v>
      </c>
      <c r="E6214" t="s">
        <v>8262</v>
      </c>
      <c r="H6214" t="s">
        <v>8263</v>
      </c>
    </row>
    <row r="6215" spans="1:8">
      <c r="A6215" t="s">
        <v>241</v>
      </c>
      <c r="B6215" t="s">
        <v>79</v>
      </c>
      <c r="C6215">
        <v>120</v>
      </c>
      <c r="D6215" t="s">
        <v>8264</v>
      </c>
      <c r="E6215" t="s">
        <v>8265</v>
      </c>
      <c r="G6215" t="s">
        <v>8266</v>
      </c>
      <c r="H6215" t="s">
        <v>8267</v>
      </c>
    </row>
    <row r="6216" spans="1:8">
      <c r="A6216" t="s">
        <v>240</v>
      </c>
      <c r="B6216" t="s">
        <v>79</v>
      </c>
      <c r="C6216">
        <v>120</v>
      </c>
      <c r="D6216" t="s">
        <v>8268</v>
      </c>
      <c r="E6216" t="s">
        <v>8269</v>
      </c>
      <c r="F6216" t="s">
        <v>79</v>
      </c>
      <c r="G6216" t="s">
        <v>8270</v>
      </c>
      <c r="H6216" t="s">
        <v>8271</v>
      </c>
    </row>
    <row r="6217" spans="1:8">
      <c r="A6217" t="s">
        <v>240</v>
      </c>
      <c r="B6217" t="s">
        <v>79</v>
      </c>
      <c r="C6217">
        <v>120</v>
      </c>
      <c r="D6217" t="s">
        <v>8272</v>
      </c>
      <c r="E6217" t="s">
        <v>8273</v>
      </c>
      <c r="F6217" t="s">
        <v>79</v>
      </c>
      <c r="G6217" t="s">
        <v>8274</v>
      </c>
      <c r="H6217" t="s">
        <v>8275</v>
      </c>
    </row>
    <row r="6218" spans="1:8">
      <c r="A6218" t="s">
        <v>240</v>
      </c>
      <c r="B6218" t="s">
        <v>79</v>
      </c>
      <c r="C6218">
        <v>120</v>
      </c>
      <c r="D6218" t="s">
        <v>8276</v>
      </c>
      <c r="E6218" t="s">
        <v>8277</v>
      </c>
      <c r="F6218" t="s">
        <v>79</v>
      </c>
    </row>
    <row r="6219" spans="1:8">
      <c r="A6219" t="s">
        <v>241</v>
      </c>
      <c r="B6219" t="s">
        <v>79</v>
      </c>
      <c r="C6219">
        <v>120</v>
      </c>
      <c r="D6219" t="s">
        <v>8278</v>
      </c>
      <c r="E6219" t="s">
        <v>8279</v>
      </c>
      <c r="F6219" t="s">
        <v>79</v>
      </c>
      <c r="G6219" t="s">
        <v>8280</v>
      </c>
      <c r="H6219" t="s">
        <v>8281</v>
      </c>
    </row>
    <row r="6220" spans="1:8">
      <c r="A6220" t="s">
        <v>241</v>
      </c>
      <c r="B6220" t="s">
        <v>79</v>
      </c>
      <c r="C6220">
        <v>120</v>
      </c>
      <c r="D6220" t="s">
        <v>8282</v>
      </c>
      <c r="E6220" t="s">
        <v>8283</v>
      </c>
      <c r="F6220" t="s">
        <v>79</v>
      </c>
      <c r="G6220" t="s">
        <v>8284</v>
      </c>
      <c r="H6220" t="s">
        <v>8285</v>
      </c>
    </row>
    <row r="6221" spans="1:8">
      <c r="A6221" t="s">
        <v>241</v>
      </c>
      <c r="B6221" t="s">
        <v>79</v>
      </c>
      <c r="C6221">
        <v>120</v>
      </c>
      <c r="D6221" t="s">
        <v>8286</v>
      </c>
      <c r="E6221" t="s">
        <v>8287</v>
      </c>
      <c r="F6221" t="s">
        <v>79</v>
      </c>
      <c r="G6221" t="s">
        <v>8288</v>
      </c>
      <c r="H6221" t="s">
        <v>8289</v>
      </c>
    </row>
    <row r="6222" spans="1:8">
      <c r="A6222" t="s">
        <v>242</v>
      </c>
      <c r="B6222" t="s">
        <v>79</v>
      </c>
      <c r="C6222">
        <v>120</v>
      </c>
      <c r="D6222" t="s">
        <v>8290</v>
      </c>
      <c r="E6222" t="s">
        <v>8291</v>
      </c>
      <c r="F6222" t="s">
        <v>79</v>
      </c>
      <c r="G6222" t="s">
        <v>8292</v>
      </c>
      <c r="H6222" t="s">
        <v>8293</v>
      </c>
    </row>
    <row r="6223" spans="1:8">
      <c r="A6223" t="s">
        <v>241</v>
      </c>
      <c r="B6223" t="s">
        <v>79</v>
      </c>
      <c r="C6223">
        <v>120</v>
      </c>
      <c r="D6223" t="s">
        <v>8294</v>
      </c>
      <c r="E6223" t="s">
        <v>8295</v>
      </c>
      <c r="F6223" t="s">
        <v>79</v>
      </c>
      <c r="G6223" t="s">
        <v>8296</v>
      </c>
      <c r="H6223" t="s">
        <v>8297</v>
      </c>
    </row>
    <row r="6224" spans="1:8">
      <c r="A6224" t="s">
        <v>241</v>
      </c>
      <c r="B6224" t="s">
        <v>79</v>
      </c>
      <c r="C6224">
        <v>120</v>
      </c>
      <c r="D6224" t="s">
        <v>8298</v>
      </c>
      <c r="E6224" t="s">
        <v>8299</v>
      </c>
      <c r="G6224" t="s">
        <v>8300</v>
      </c>
      <c r="H6224" t="s">
        <v>8301</v>
      </c>
    </row>
    <row r="6225" spans="1:8">
      <c r="A6225" t="s">
        <v>240</v>
      </c>
      <c r="B6225" t="s">
        <v>79</v>
      </c>
      <c r="C6225">
        <v>120</v>
      </c>
      <c r="D6225" t="s">
        <v>8302</v>
      </c>
      <c r="E6225" t="s">
        <v>8269</v>
      </c>
      <c r="F6225" t="s">
        <v>79</v>
      </c>
      <c r="G6225" t="s">
        <v>8270</v>
      </c>
      <c r="H6225" t="s">
        <v>8271</v>
      </c>
    </row>
    <row r="6226" spans="1:8">
      <c r="A6226" t="s">
        <v>241</v>
      </c>
      <c r="B6226" t="s">
        <v>79</v>
      </c>
      <c r="C6226">
        <v>120</v>
      </c>
      <c r="D6226" t="s">
        <v>8303</v>
      </c>
      <c r="E6226" t="s">
        <v>8304</v>
      </c>
      <c r="F6226" t="s">
        <v>79</v>
      </c>
      <c r="H6226" t="s">
        <v>8305</v>
      </c>
    </row>
    <row r="6227" spans="1:8">
      <c r="A6227" t="s">
        <v>242</v>
      </c>
      <c r="B6227" t="s">
        <v>79</v>
      </c>
      <c r="C6227">
        <v>120</v>
      </c>
      <c r="D6227" t="s">
        <v>8306</v>
      </c>
      <c r="E6227" t="s">
        <v>8307</v>
      </c>
      <c r="F6227" t="s">
        <v>79</v>
      </c>
      <c r="H6227" t="s">
        <v>8308</v>
      </c>
    </row>
    <row r="6228" spans="1:8">
      <c r="A6228" t="s">
        <v>241</v>
      </c>
      <c r="B6228" t="s">
        <v>79</v>
      </c>
      <c r="C6228">
        <v>120</v>
      </c>
      <c r="D6228" t="s">
        <v>8309</v>
      </c>
      <c r="E6228" t="s">
        <v>8310</v>
      </c>
      <c r="F6228" t="s">
        <v>79</v>
      </c>
    </row>
    <row r="6229" spans="1:8">
      <c r="A6229" t="s">
        <v>241</v>
      </c>
      <c r="B6229" t="s">
        <v>79</v>
      </c>
      <c r="C6229">
        <v>120</v>
      </c>
      <c r="D6229" t="s">
        <v>8311</v>
      </c>
      <c r="E6229" t="s">
        <v>8312</v>
      </c>
      <c r="F6229" t="s">
        <v>79</v>
      </c>
      <c r="G6229" t="s">
        <v>8313</v>
      </c>
      <c r="H6229" t="s">
        <v>8314</v>
      </c>
    </row>
    <row r="6230" spans="1:8">
      <c r="A6230" t="s">
        <v>241</v>
      </c>
      <c r="B6230" t="s">
        <v>79</v>
      </c>
      <c r="C6230">
        <v>120</v>
      </c>
      <c r="D6230" t="s">
        <v>8315</v>
      </c>
      <c r="E6230" t="s">
        <v>8316</v>
      </c>
      <c r="F6230" t="s">
        <v>79</v>
      </c>
      <c r="G6230" t="s">
        <v>8317</v>
      </c>
      <c r="H6230" t="s">
        <v>8318</v>
      </c>
    </row>
    <row r="6231" spans="1:8">
      <c r="A6231" t="s">
        <v>241</v>
      </c>
      <c r="B6231" t="s">
        <v>79</v>
      </c>
      <c r="C6231">
        <v>120</v>
      </c>
      <c r="D6231" t="s">
        <v>8319</v>
      </c>
      <c r="E6231" t="s">
        <v>8234</v>
      </c>
      <c r="F6231" t="s">
        <v>79</v>
      </c>
      <c r="G6231" t="s">
        <v>8320</v>
      </c>
      <c r="H6231" t="s">
        <v>8321</v>
      </c>
    </row>
    <row r="6232" spans="1:8">
      <c r="A6232" t="s">
        <v>241</v>
      </c>
      <c r="B6232" t="s">
        <v>79</v>
      </c>
      <c r="C6232">
        <v>120</v>
      </c>
      <c r="D6232" t="s">
        <v>8322</v>
      </c>
      <c r="E6232" t="s">
        <v>8323</v>
      </c>
      <c r="F6232" t="s">
        <v>79</v>
      </c>
      <c r="G6232" t="s">
        <v>8324</v>
      </c>
      <c r="H6232" t="s">
        <v>8325</v>
      </c>
    </row>
    <row r="6233" spans="1:8">
      <c r="A6233" t="s">
        <v>241</v>
      </c>
      <c r="B6233" t="s">
        <v>79</v>
      </c>
      <c r="C6233">
        <v>120</v>
      </c>
      <c r="D6233" t="s">
        <v>8326</v>
      </c>
      <c r="E6233" t="s">
        <v>8327</v>
      </c>
      <c r="F6233" t="s">
        <v>79</v>
      </c>
      <c r="G6233" t="s">
        <v>8328</v>
      </c>
      <c r="H6233" t="s">
        <v>8329</v>
      </c>
    </row>
    <row r="6234" spans="1:8">
      <c r="A6234" t="s">
        <v>241</v>
      </c>
      <c r="B6234" t="s">
        <v>25</v>
      </c>
      <c r="C6234">
        <v>120</v>
      </c>
      <c r="D6234" t="s">
        <v>1299</v>
      </c>
      <c r="E6234" t="s">
        <v>9137</v>
      </c>
      <c r="F6234" t="s">
        <v>9138</v>
      </c>
    </row>
    <row r="6235" spans="1:8">
      <c r="A6235" t="s">
        <v>242</v>
      </c>
      <c r="B6235" t="s">
        <v>25</v>
      </c>
      <c r="C6235">
        <v>120</v>
      </c>
      <c r="D6235" t="s">
        <v>9139</v>
      </c>
      <c r="E6235" t="s">
        <v>9140</v>
      </c>
      <c r="F6235" t="s">
        <v>9138</v>
      </c>
    </row>
    <row r="6236" spans="1:8">
      <c r="A6236" t="s">
        <v>242</v>
      </c>
      <c r="B6236" t="s">
        <v>36</v>
      </c>
      <c r="C6236">
        <v>120</v>
      </c>
      <c r="D6236" t="s">
        <v>10640</v>
      </c>
      <c r="E6236" t="s">
        <v>10641</v>
      </c>
      <c r="F6236" t="s">
        <v>36</v>
      </c>
      <c r="H6236" t="s">
        <v>10642</v>
      </c>
    </row>
    <row r="6237" spans="1:8">
      <c r="A6237" t="s">
        <v>241</v>
      </c>
      <c r="B6237" t="s">
        <v>36</v>
      </c>
      <c r="C6237">
        <v>120</v>
      </c>
      <c r="D6237" t="s">
        <v>10643</v>
      </c>
      <c r="E6237" t="s">
        <v>10644</v>
      </c>
      <c r="H6237" t="s">
        <v>10645</v>
      </c>
    </row>
    <row r="6238" spans="1:8">
      <c r="A6238" t="s">
        <v>238</v>
      </c>
      <c r="B6238" t="s">
        <v>36</v>
      </c>
      <c r="C6238">
        <v>120</v>
      </c>
      <c r="D6238" t="s">
        <v>4161</v>
      </c>
      <c r="E6238" t="s">
        <v>10646</v>
      </c>
      <c r="G6238" t="s">
        <v>10647</v>
      </c>
      <c r="H6238" t="s">
        <v>10648</v>
      </c>
    </row>
    <row r="6239" spans="1:8">
      <c r="A6239" t="s">
        <v>242</v>
      </c>
      <c r="B6239" t="s">
        <v>36</v>
      </c>
      <c r="C6239">
        <v>120</v>
      </c>
      <c r="D6239" t="s">
        <v>10649</v>
      </c>
      <c r="E6239" t="s">
        <v>10650</v>
      </c>
      <c r="F6239" t="s">
        <v>36</v>
      </c>
      <c r="G6239" t="s">
        <v>10651</v>
      </c>
      <c r="H6239" t="s">
        <v>10652</v>
      </c>
    </row>
    <row r="6240" spans="1:8">
      <c r="A6240" t="s">
        <v>238</v>
      </c>
      <c r="B6240" t="s">
        <v>36</v>
      </c>
      <c r="C6240">
        <v>120</v>
      </c>
      <c r="D6240" t="s">
        <v>10653</v>
      </c>
      <c r="E6240" t="s">
        <v>10654</v>
      </c>
      <c r="F6240" t="s">
        <v>36</v>
      </c>
      <c r="G6240" t="s">
        <v>10655</v>
      </c>
      <c r="H6240" t="s">
        <v>10656</v>
      </c>
    </row>
    <row r="6241" spans="1:8">
      <c r="A6241" t="s">
        <v>240</v>
      </c>
      <c r="B6241" t="s">
        <v>36</v>
      </c>
      <c r="C6241">
        <v>120</v>
      </c>
      <c r="D6241" t="s">
        <v>10657</v>
      </c>
      <c r="E6241" t="s">
        <v>10658</v>
      </c>
      <c r="F6241" t="s">
        <v>36</v>
      </c>
      <c r="G6241" t="s">
        <v>10659</v>
      </c>
      <c r="H6241" t="s">
        <v>10660</v>
      </c>
    </row>
    <row r="6242" spans="1:8">
      <c r="A6242" t="s">
        <v>238</v>
      </c>
      <c r="B6242" t="s">
        <v>36</v>
      </c>
      <c r="C6242">
        <v>120</v>
      </c>
      <c r="D6242" t="s">
        <v>10661</v>
      </c>
      <c r="F6242" t="s">
        <v>36</v>
      </c>
      <c r="G6242" t="s">
        <v>10662</v>
      </c>
      <c r="H6242" t="s">
        <v>10663</v>
      </c>
    </row>
    <row r="6243" spans="1:8">
      <c r="A6243" t="s">
        <v>239</v>
      </c>
      <c r="B6243" t="s">
        <v>36</v>
      </c>
      <c r="C6243">
        <v>120</v>
      </c>
      <c r="D6243" t="s">
        <v>10664</v>
      </c>
      <c r="E6243" t="s">
        <v>10665</v>
      </c>
      <c r="H6243" t="s">
        <v>6921</v>
      </c>
    </row>
    <row r="6244" spans="1:8">
      <c r="A6244" t="s">
        <v>239</v>
      </c>
      <c r="B6244" t="s">
        <v>36</v>
      </c>
      <c r="C6244">
        <v>120</v>
      </c>
      <c r="D6244" t="s">
        <v>10666</v>
      </c>
      <c r="E6244" t="s">
        <v>10667</v>
      </c>
      <c r="G6244" t="s">
        <v>10668</v>
      </c>
      <c r="H6244" t="s">
        <v>10669</v>
      </c>
    </row>
    <row r="6245" spans="1:8">
      <c r="A6245" t="s">
        <v>243</v>
      </c>
      <c r="B6245" t="s">
        <v>36</v>
      </c>
      <c r="C6245">
        <v>120</v>
      </c>
      <c r="D6245" t="s">
        <v>10670</v>
      </c>
      <c r="E6245" t="s">
        <v>10671</v>
      </c>
      <c r="F6245" t="s">
        <v>36</v>
      </c>
      <c r="G6245" t="s">
        <v>10672</v>
      </c>
      <c r="H6245" t="s">
        <v>10673</v>
      </c>
    </row>
    <row r="6246" spans="1:8">
      <c r="A6246" t="s">
        <v>241</v>
      </c>
      <c r="B6246" t="s">
        <v>36</v>
      </c>
      <c r="C6246">
        <v>120</v>
      </c>
      <c r="D6246" t="s">
        <v>10674</v>
      </c>
      <c r="E6246" t="s">
        <v>10675</v>
      </c>
      <c r="H6246" t="s">
        <v>10676</v>
      </c>
    </row>
    <row r="6247" spans="1:8">
      <c r="A6247" t="s">
        <v>238</v>
      </c>
      <c r="B6247" t="s">
        <v>58</v>
      </c>
      <c r="C6247">
        <v>120</v>
      </c>
      <c r="D6247" t="s">
        <v>18277</v>
      </c>
      <c r="E6247" t="s">
        <v>18278</v>
      </c>
      <c r="F6247" t="s">
        <v>58</v>
      </c>
      <c r="G6247" t="s">
        <v>18279</v>
      </c>
      <c r="H6247" t="s">
        <v>18280</v>
      </c>
    </row>
    <row r="6248" spans="1:8">
      <c r="A6248" t="s">
        <v>241</v>
      </c>
      <c r="B6248" t="s">
        <v>58</v>
      </c>
      <c r="C6248">
        <v>120</v>
      </c>
      <c r="D6248" t="s">
        <v>18281</v>
      </c>
      <c r="E6248" t="s">
        <v>18282</v>
      </c>
      <c r="F6248" t="s">
        <v>58</v>
      </c>
      <c r="G6248" t="s">
        <v>18283</v>
      </c>
      <c r="H6248" t="s">
        <v>18284</v>
      </c>
    </row>
    <row r="6249" spans="1:8">
      <c r="A6249" t="s">
        <v>240</v>
      </c>
      <c r="B6249" t="s">
        <v>58</v>
      </c>
      <c r="C6249">
        <v>120</v>
      </c>
      <c r="D6249" t="s">
        <v>18285</v>
      </c>
      <c r="E6249" t="s">
        <v>18286</v>
      </c>
      <c r="F6249" t="s">
        <v>58</v>
      </c>
      <c r="G6249" t="s">
        <v>18287</v>
      </c>
      <c r="H6249" t="s">
        <v>18288</v>
      </c>
    </row>
    <row r="6250" spans="1:8">
      <c r="A6250" t="s">
        <v>241</v>
      </c>
      <c r="B6250" t="s">
        <v>58</v>
      </c>
      <c r="C6250">
        <v>120</v>
      </c>
      <c r="D6250" t="s">
        <v>18289</v>
      </c>
      <c r="E6250" t="s">
        <v>18290</v>
      </c>
      <c r="F6250" t="s">
        <v>58</v>
      </c>
      <c r="G6250" t="s">
        <v>18291</v>
      </c>
      <c r="H6250" t="s">
        <v>18292</v>
      </c>
    </row>
    <row r="6251" spans="1:8">
      <c r="A6251" t="s">
        <v>241</v>
      </c>
      <c r="B6251" t="s">
        <v>58</v>
      </c>
      <c r="C6251">
        <v>120</v>
      </c>
      <c r="D6251" t="s">
        <v>18293</v>
      </c>
      <c r="E6251" t="s">
        <v>18294</v>
      </c>
      <c r="F6251" t="s">
        <v>18295</v>
      </c>
      <c r="H6251" t="s">
        <v>18296</v>
      </c>
    </row>
    <row r="6252" spans="1:8">
      <c r="A6252" t="s">
        <v>241</v>
      </c>
      <c r="B6252" t="s">
        <v>58</v>
      </c>
      <c r="C6252">
        <v>120</v>
      </c>
      <c r="D6252" t="s">
        <v>2060</v>
      </c>
      <c r="E6252" t="s">
        <v>18297</v>
      </c>
      <c r="F6252" t="s">
        <v>58</v>
      </c>
      <c r="G6252" t="s">
        <v>18298</v>
      </c>
      <c r="H6252" t="s">
        <v>18299</v>
      </c>
    </row>
    <row r="6253" spans="1:8">
      <c r="A6253" t="s">
        <v>242</v>
      </c>
      <c r="B6253" t="s">
        <v>58</v>
      </c>
      <c r="C6253">
        <v>120</v>
      </c>
      <c r="D6253" t="s">
        <v>18300</v>
      </c>
      <c r="E6253" t="s">
        <v>18301</v>
      </c>
      <c r="F6253" t="s">
        <v>58</v>
      </c>
      <c r="G6253" t="s">
        <v>18302</v>
      </c>
      <c r="H6253" t="s">
        <v>18303</v>
      </c>
    </row>
    <row r="6254" spans="1:8">
      <c r="A6254" t="s">
        <v>241</v>
      </c>
      <c r="B6254" t="s">
        <v>58</v>
      </c>
      <c r="C6254">
        <v>120</v>
      </c>
      <c r="D6254" t="s">
        <v>18304</v>
      </c>
      <c r="E6254" t="s">
        <v>18305</v>
      </c>
      <c r="F6254" t="s">
        <v>58</v>
      </c>
      <c r="G6254" t="s">
        <v>18306</v>
      </c>
      <c r="H6254" t="s">
        <v>18307</v>
      </c>
    </row>
    <row r="6255" spans="1:8">
      <c r="A6255" t="s">
        <v>243</v>
      </c>
      <c r="B6255" t="s">
        <v>58</v>
      </c>
      <c r="C6255">
        <v>120</v>
      </c>
      <c r="D6255" t="s">
        <v>18308</v>
      </c>
      <c r="E6255" t="s">
        <v>18309</v>
      </c>
      <c r="F6255" t="s">
        <v>18310</v>
      </c>
      <c r="H6255" t="s">
        <v>18311</v>
      </c>
    </row>
    <row r="6256" spans="1:8">
      <c r="A6256" t="s">
        <v>242</v>
      </c>
      <c r="B6256" t="s">
        <v>58</v>
      </c>
      <c r="C6256">
        <v>120</v>
      </c>
      <c r="D6256" t="s">
        <v>18312</v>
      </c>
      <c r="E6256" t="s">
        <v>18313</v>
      </c>
      <c r="F6256" t="s">
        <v>18295</v>
      </c>
      <c r="G6256" t="s">
        <v>18314</v>
      </c>
      <c r="H6256" t="s">
        <v>18315</v>
      </c>
    </row>
    <row r="6257" spans="1:8">
      <c r="A6257" t="s">
        <v>241</v>
      </c>
      <c r="B6257" t="s">
        <v>58</v>
      </c>
      <c r="C6257">
        <v>120</v>
      </c>
      <c r="D6257" t="s">
        <v>18316</v>
      </c>
      <c r="E6257" t="s">
        <v>18317</v>
      </c>
      <c r="F6257" t="s">
        <v>58</v>
      </c>
      <c r="G6257" t="s">
        <v>18318</v>
      </c>
      <c r="H6257" t="s">
        <v>18319</v>
      </c>
    </row>
    <row r="6258" spans="1:8">
      <c r="A6258" t="s">
        <v>243</v>
      </c>
      <c r="B6258" t="s">
        <v>58</v>
      </c>
      <c r="C6258">
        <v>120</v>
      </c>
      <c r="D6258" t="s">
        <v>18320</v>
      </c>
      <c r="E6258" t="s">
        <v>18321</v>
      </c>
      <c r="H6258" t="s">
        <v>18322</v>
      </c>
    </row>
    <row r="6259" spans="1:8">
      <c r="A6259" t="s">
        <v>241</v>
      </c>
      <c r="B6259" t="s">
        <v>58</v>
      </c>
      <c r="C6259">
        <v>120</v>
      </c>
      <c r="D6259" t="s">
        <v>18323</v>
      </c>
      <c r="E6259" t="s">
        <v>18324</v>
      </c>
      <c r="F6259" t="s">
        <v>18325</v>
      </c>
      <c r="H6259" t="s">
        <v>18326</v>
      </c>
    </row>
    <row r="6260" spans="1:8">
      <c r="A6260" t="s">
        <v>243</v>
      </c>
      <c r="B6260" t="s">
        <v>58</v>
      </c>
      <c r="C6260">
        <v>120</v>
      </c>
      <c r="D6260" t="s">
        <v>18327</v>
      </c>
      <c r="E6260" t="s">
        <v>18328</v>
      </c>
      <c r="G6260" t="s">
        <v>18329</v>
      </c>
      <c r="H6260" t="s">
        <v>18330</v>
      </c>
    </row>
    <row r="6261" spans="1:8">
      <c r="A6261" t="s">
        <v>241</v>
      </c>
      <c r="B6261" t="s">
        <v>58</v>
      </c>
      <c r="C6261">
        <v>120</v>
      </c>
      <c r="D6261" t="s">
        <v>18331</v>
      </c>
      <c r="E6261" t="s">
        <v>18332</v>
      </c>
      <c r="F6261" t="s">
        <v>18333</v>
      </c>
      <c r="H6261" t="s">
        <v>18334</v>
      </c>
    </row>
    <row r="6262" spans="1:8">
      <c r="A6262" t="s">
        <v>243</v>
      </c>
      <c r="B6262" t="s">
        <v>58</v>
      </c>
      <c r="C6262">
        <v>120</v>
      </c>
      <c r="D6262" t="s">
        <v>18335</v>
      </c>
      <c r="E6262" t="s">
        <v>18336</v>
      </c>
      <c r="F6262" t="s">
        <v>58</v>
      </c>
      <c r="H6262" t="s">
        <v>18337</v>
      </c>
    </row>
    <row r="6263" spans="1:8">
      <c r="A6263" t="s">
        <v>241</v>
      </c>
      <c r="B6263" t="s">
        <v>58</v>
      </c>
      <c r="C6263">
        <v>120</v>
      </c>
      <c r="D6263" t="s">
        <v>18338</v>
      </c>
      <c r="E6263" t="s">
        <v>18339</v>
      </c>
      <c r="H6263" t="s">
        <v>18340</v>
      </c>
    </row>
    <row r="6264" spans="1:8">
      <c r="A6264" t="s">
        <v>243</v>
      </c>
      <c r="B6264" t="s">
        <v>58</v>
      </c>
      <c r="C6264">
        <v>120</v>
      </c>
      <c r="D6264" t="s">
        <v>18341</v>
      </c>
      <c r="E6264" t="s">
        <v>18342</v>
      </c>
      <c r="F6264" t="s">
        <v>18343</v>
      </c>
      <c r="G6264" t="s">
        <v>18344</v>
      </c>
      <c r="H6264" t="s">
        <v>18345</v>
      </c>
    </row>
    <row r="6265" spans="1:8">
      <c r="A6265" t="s">
        <v>243</v>
      </c>
      <c r="B6265" t="s">
        <v>58</v>
      </c>
      <c r="C6265">
        <v>120</v>
      </c>
      <c r="D6265" t="s">
        <v>18346</v>
      </c>
      <c r="E6265" t="s">
        <v>18347</v>
      </c>
      <c r="G6265" t="s">
        <v>18348</v>
      </c>
      <c r="H6265" t="s">
        <v>18349</v>
      </c>
    </row>
    <row r="6266" spans="1:8">
      <c r="A6266" t="s">
        <v>241</v>
      </c>
      <c r="B6266" t="s">
        <v>58</v>
      </c>
      <c r="C6266">
        <v>120</v>
      </c>
      <c r="D6266" t="s">
        <v>18350</v>
      </c>
      <c r="E6266" t="s">
        <v>18351</v>
      </c>
      <c r="F6266" t="s">
        <v>58</v>
      </c>
      <c r="H6266" t="s">
        <v>18352</v>
      </c>
    </row>
  </sheetData>
  <mergeCells count="6">
    <mergeCell ref="A6:G7"/>
    <mergeCell ref="A4:G5"/>
    <mergeCell ref="A1:B3"/>
    <mergeCell ref="D1:D3"/>
    <mergeCell ref="E1:E2"/>
    <mergeCell ref="F1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AB12-C451-48FA-B1BE-F08903F5BF62}">
  <dimension ref="A1:V1197"/>
  <sheetViews>
    <sheetView workbookViewId="0">
      <selection activeCell="J15" sqref="J15"/>
    </sheetView>
  </sheetViews>
  <sheetFormatPr defaultRowHeight="15"/>
  <cols>
    <col min="1" max="1" width="26" bestFit="1" customWidth="1"/>
    <col min="2" max="2" width="29.85546875" bestFit="1" customWidth="1"/>
    <col min="3" max="3" width="12.28515625" bestFit="1" customWidth="1"/>
  </cols>
  <sheetData>
    <row r="1" spans="1:22" ht="15.75" thickBot="1">
      <c r="A1" t="s">
        <v>0</v>
      </c>
      <c r="B1" t="s">
        <v>236</v>
      </c>
      <c r="C1" t="s">
        <v>237</v>
      </c>
    </row>
    <row r="2" spans="1:22">
      <c r="A2" t="s">
        <v>3</v>
      </c>
      <c r="B2" t="s">
        <v>239</v>
      </c>
      <c r="C2">
        <v>9</v>
      </c>
      <c r="E2" s="229" t="s">
        <v>19569</v>
      </c>
      <c r="F2" s="230"/>
      <c r="G2" s="230"/>
      <c r="H2" s="230"/>
      <c r="I2" s="230"/>
      <c r="J2" s="231"/>
    </row>
    <row r="3" spans="1:22" ht="15.75" thickBot="1">
      <c r="A3" t="s">
        <v>3</v>
      </c>
      <c r="B3" t="s">
        <v>240</v>
      </c>
      <c r="C3">
        <v>6</v>
      </c>
      <c r="E3" s="232"/>
      <c r="F3" s="233"/>
      <c r="G3" s="233"/>
      <c r="H3" s="233"/>
      <c r="I3" s="233"/>
      <c r="J3" s="234"/>
    </row>
    <row r="4" spans="1:22" ht="15.75" thickBot="1">
      <c r="A4" t="s">
        <v>3</v>
      </c>
      <c r="B4" t="s">
        <v>242</v>
      </c>
      <c r="C4">
        <v>4</v>
      </c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</row>
    <row r="5" spans="1:22">
      <c r="A5" t="s">
        <v>3</v>
      </c>
      <c r="B5" t="s">
        <v>241</v>
      </c>
      <c r="C5">
        <v>3</v>
      </c>
      <c r="E5" s="223" t="s">
        <v>19659</v>
      </c>
      <c r="F5" s="224"/>
      <c r="G5" s="224"/>
      <c r="H5" s="224"/>
      <c r="I5" s="224"/>
      <c r="J5" s="224"/>
      <c r="K5" s="225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</row>
    <row r="6" spans="1:22" ht="15.75" thickBot="1">
      <c r="A6" t="s">
        <v>3</v>
      </c>
      <c r="B6" t="s">
        <v>238</v>
      </c>
      <c r="C6">
        <v>1</v>
      </c>
      <c r="E6" s="226" t="s">
        <v>19660</v>
      </c>
      <c r="F6" s="227"/>
      <c r="G6" s="227"/>
      <c r="H6" s="227"/>
      <c r="I6" s="227"/>
      <c r="J6" s="227"/>
      <c r="K6" s="228"/>
    </row>
    <row r="7" spans="1:22" ht="15.75" thickBot="1">
      <c r="A7" t="s">
        <v>3</v>
      </c>
      <c r="B7" t="s">
        <v>243</v>
      </c>
      <c r="C7">
        <v>1</v>
      </c>
    </row>
    <row r="8" spans="1:22">
      <c r="A8" t="s">
        <v>3</v>
      </c>
      <c r="B8" t="s">
        <v>244</v>
      </c>
      <c r="C8">
        <v>1</v>
      </c>
      <c r="E8" s="217" t="s">
        <v>19661</v>
      </c>
      <c r="F8" s="218"/>
      <c r="G8" s="218"/>
      <c r="H8" s="218"/>
      <c r="I8" s="218"/>
      <c r="J8" s="218"/>
      <c r="K8" s="218"/>
      <c r="L8" s="218"/>
      <c r="M8" s="218"/>
      <c r="N8" s="218"/>
      <c r="O8" s="219"/>
    </row>
    <row r="9" spans="1:22" ht="15.75" thickBot="1">
      <c r="A9" t="s">
        <v>163</v>
      </c>
      <c r="B9" t="s">
        <v>241</v>
      </c>
      <c r="C9">
        <v>14</v>
      </c>
      <c r="E9" s="220"/>
      <c r="F9" s="221"/>
      <c r="G9" s="221"/>
      <c r="H9" s="221"/>
      <c r="I9" s="221"/>
      <c r="J9" s="221"/>
      <c r="K9" s="221"/>
      <c r="L9" s="221"/>
      <c r="M9" s="221"/>
      <c r="N9" s="221"/>
      <c r="O9" s="222"/>
    </row>
    <row r="10" spans="1:22">
      <c r="A10" t="s">
        <v>163</v>
      </c>
      <c r="B10" t="s">
        <v>240</v>
      </c>
      <c r="C10">
        <v>5</v>
      </c>
    </row>
    <row r="11" spans="1:22">
      <c r="A11" t="s">
        <v>163</v>
      </c>
      <c r="B11" t="s">
        <v>242</v>
      </c>
      <c r="C11">
        <v>4</v>
      </c>
    </row>
    <row r="12" spans="1:22">
      <c r="A12" t="s">
        <v>163</v>
      </c>
      <c r="B12" t="s">
        <v>238</v>
      </c>
      <c r="C12">
        <v>1</v>
      </c>
    </row>
    <row r="13" spans="1:22">
      <c r="A13" t="s">
        <v>163</v>
      </c>
      <c r="B13" t="s">
        <v>245</v>
      </c>
      <c r="C13">
        <v>1</v>
      </c>
    </row>
    <row r="14" spans="1:22">
      <c r="A14" t="s">
        <v>163</v>
      </c>
      <c r="B14" t="s">
        <v>243</v>
      </c>
      <c r="C14">
        <v>1</v>
      </c>
    </row>
    <row r="15" spans="1:22">
      <c r="A15" t="s">
        <v>164</v>
      </c>
      <c r="B15" t="s">
        <v>241</v>
      </c>
      <c r="C15">
        <v>14</v>
      </c>
    </row>
    <row r="16" spans="1:22">
      <c r="A16" t="s">
        <v>164</v>
      </c>
      <c r="B16" t="s">
        <v>240</v>
      </c>
      <c r="C16">
        <v>3</v>
      </c>
    </row>
    <row r="17" spans="1:3">
      <c r="A17" t="s">
        <v>164</v>
      </c>
      <c r="B17" t="s">
        <v>242</v>
      </c>
      <c r="C17">
        <v>1</v>
      </c>
    </row>
    <row r="18" spans="1:3">
      <c r="A18" t="s">
        <v>164</v>
      </c>
      <c r="B18" t="s">
        <v>238</v>
      </c>
      <c r="C18">
        <v>1</v>
      </c>
    </row>
    <row r="19" spans="1:3">
      <c r="A19" t="s">
        <v>61</v>
      </c>
      <c r="B19" t="s">
        <v>241</v>
      </c>
      <c r="C19">
        <v>3</v>
      </c>
    </row>
    <row r="20" spans="1:3">
      <c r="A20" t="s">
        <v>61</v>
      </c>
      <c r="B20" t="s">
        <v>240</v>
      </c>
      <c r="C20">
        <v>1</v>
      </c>
    </row>
    <row r="21" spans="1:3">
      <c r="A21" t="s">
        <v>61</v>
      </c>
      <c r="B21" t="s">
        <v>238</v>
      </c>
      <c r="C21">
        <v>1</v>
      </c>
    </row>
    <row r="22" spans="1:3">
      <c r="A22" t="s">
        <v>196</v>
      </c>
      <c r="B22" t="s">
        <v>250</v>
      </c>
      <c r="C22">
        <v>4</v>
      </c>
    </row>
    <row r="23" spans="1:3">
      <c r="A23" t="s">
        <v>196</v>
      </c>
      <c r="B23" t="s">
        <v>249</v>
      </c>
      <c r="C23">
        <v>3</v>
      </c>
    </row>
    <row r="24" spans="1:3">
      <c r="A24" t="s">
        <v>196</v>
      </c>
      <c r="B24" t="s">
        <v>241</v>
      </c>
      <c r="C24">
        <v>3</v>
      </c>
    </row>
    <row r="25" spans="1:3">
      <c r="A25" t="s">
        <v>196</v>
      </c>
      <c r="B25" t="s">
        <v>242</v>
      </c>
      <c r="C25">
        <v>2</v>
      </c>
    </row>
    <row r="26" spans="1:3">
      <c r="A26" t="s">
        <v>196</v>
      </c>
      <c r="B26" t="s">
        <v>238</v>
      </c>
      <c r="C26">
        <v>1</v>
      </c>
    </row>
    <row r="27" spans="1:3">
      <c r="A27" t="s">
        <v>196</v>
      </c>
      <c r="B27" t="s">
        <v>240</v>
      </c>
      <c r="C27">
        <v>1</v>
      </c>
    </row>
    <row r="28" spans="1:3">
      <c r="A28" t="s">
        <v>197</v>
      </c>
      <c r="B28" t="s">
        <v>242</v>
      </c>
      <c r="C28">
        <v>8</v>
      </c>
    </row>
    <row r="29" spans="1:3">
      <c r="A29" t="s">
        <v>197</v>
      </c>
      <c r="B29" t="s">
        <v>239</v>
      </c>
      <c r="C29">
        <v>6</v>
      </c>
    </row>
    <row r="30" spans="1:3">
      <c r="A30" t="s">
        <v>197</v>
      </c>
      <c r="B30" t="s">
        <v>243</v>
      </c>
      <c r="C30">
        <v>5</v>
      </c>
    </row>
    <row r="31" spans="1:3">
      <c r="A31" t="s">
        <v>197</v>
      </c>
      <c r="B31" t="s">
        <v>241</v>
      </c>
      <c r="C31">
        <v>5</v>
      </c>
    </row>
    <row r="32" spans="1:3">
      <c r="A32" t="s">
        <v>197</v>
      </c>
      <c r="B32" t="s">
        <v>238</v>
      </c>
      <c r="C32">
        <v>1</v>
      </c>
    </row>
    <row r="33" spans="1:3">
      <c r="A33" t="s">
        <v>197</v>
      </c>
      <c r="B33" t="s">
        <v>240</v>
      </c>
      <c r="C33">
        <v>1</v>
      </c>
    </row>
    <row r="34" spans="1:3">
      <c r="A34" t="s">
        <v>197</v>
      </c>
      <c r="B34" t="s">
        <v>244</v>
      </c>
      <c r="C34">
        <v>1</v>
      </c>
    </row>
    <row r="35" spans="1:3">
      <c r="A35" t="s">
        <v>62</v>
      </c>
      <c r="B35" t="s">
        <v>241</v>
      </c>
      <c r="C35">
        <v>60</v>
      </c>
    </row>
    <row r="36" spans="1:3">
      <c r="A36" t="s">
        <v>62</v>
      </c>
      <c r="B36" t="s">
        <v>250</v>
      </c>
      <c r="C36">
        <v>29</v>
      </c>
    </row>
    <row r="37" spans="1:3">
      <c r="A37" t="s">
        <v>62</v>
      </c>
      <c r="B37" t="s">
        <v>243</v>
      </c>
      <c r="C37">
        <v>25</v>
      </c>
    </row>
    <row r="38" spans="1:3">
      <c r="A38" t="s">
        <v>62</v>
      </c>
      <c r="B38" t="s">
        <v>242</v>
      </c>
      <c r="C38">
        <v>21</v>
      </c>
    </row>
    <row r="39" spans="1:3">
      <c r="A39" t="s">
        <v>62</v>
      </c>
      <c r="B39" t="s">
        <v>239</v>
      </c>
      <c r="C39">
        <v>20</v>
      </c>
    </row>
    <row r="40" spans="1:3">
      <c r="A40" t="s">
        <v>62</v>
      </c>
      <c r="B40" t="s">
        <v>240</v>
      </c>
      <c r="C40">
        <v>20</v>
      </c>
    </row>
    <row r="41" spans="1:3">
      <c r="A41" t="s">
        <v>62</v>
      </c>
      <c r="B41" t="s">
        <v>246</v>
      </c>
      <c r="C41">
        <v>3</v>
      </c>
    </row>
    <row r="42" spans="1:3">
      <c r="A42" t="s">
        <v>62</v>
      </c>
      <c r="B42" t="s">
        <v>238</v>
      </c>
      <c r="C42">
        <v>3</v>
      </c>
    </row>
    <row r="43" spans="1:3">
      <c r="A43" t="s">
        <v>62</v>
      </c>
      <c r="B43" t="s">
        <v>245</v>
      </c>
      <c r="C43">
        <v>1</v>
      </c>
    </row>
    <row r="44" spans="1:3">
      <c r="A44" t="s">
        <v>62</v>
      </c>
      <c r="B44" t="s">
        <v>244</v>
      </c>
      <c r="C44">
        <v>1</v>
      </c>
    </row>
    <row r="45" spans="1:3">
      <c r="A45" t="s">
        <v>62</v>
      </c>
      <c r="B45" t="s">
        <v>249</v>
      </c>
      <c r="C45">
        <v>1</v>
      </c>
    </row>
    <row r="46" spans="1:3">
      <c r="A46" t="s">
        <v>4</v>
      </c>
      <c r="B46" t="s">
        <v>242</v>
      </c>
      <c r="C46">
        <v>12</v>
      </c>
    </row>
    <row r="47" spans="1:3">
      <c r="A47" t="s">
        <v>4</v>
      </c>
      <c r="B47" t="s">
        <v>238</v>
      </c>
      <c r="C47">
        <v>6</v>
      </c>
    </row>
    <row r="48" spans="1:3">
      <c r="A48" t="s">
        <v>4</v>
      </c>
      <c r="B48" t="s">
        <v>241</v>
      </c>
      <c r="C48">
        <v>4</v>
      </c>
    </row>
    <row r="49" spans="1:3">
      <c r="A49" t="s">
        <v>4</v>
      </c>
      <c r="B49" t="s">
        <v>243</v>
      </c>
      <c r="C49">
        <v>4</v>
      </c>
    </row>
    <row r="50" spans="1:3">
      <c r="A50" t="s">
        <v>4</v>
      </c>
      <c r="B50" t="s">
        <v>240</v>
      </c>
      <c r="C50">
        <v>2</v>
      </c>
    </row>
    <row r="51" spans="1:3">
      <c r="A51" t="s">
        <v>4</v>
      </c>
      <c r="B51" t="s">
        <v>244</v>
      </c>
      <c r="C51">
        <v>1</v>
      </c>
    </row>
    <row r="52" spans="1:3">
      <c r="A52" t="s">
        <v>4</v>
      </c>
      <c r="B52" t="s">
        <v>245</v>
      </c>
      <c r="C52">
        <v>1</v>
      </c>
    </row>
    <row r="53" spans="1:3">
      <c r="A53" t="s">
        <v>4</v>
      </c>
      <c r="B53" t="s">
        <v>246</v>
      </c>
      <c r="C53">
        <v>1</v>
      </c>
    </row>
    <row r="54" spans="1:3">
      <c r="A54" t="s">
        <v>107</v>
      </c>
      <c r="B54" t="s">
        <v>242</v>
      </c>
      <c r="C54">
        <v>5</v>
      </c>
    </row>
    <row r="55" spans="1:3">
      <c r="A55" t="s">
        <v>107</v>
      </c>
      <c r="B55" t="s">
        <v>241</v>
      </c>
      <c r="C55">
        <v>2</v>
      </c>
    </row>
    <row r="56" spans="1:3">
      <c r="A56" t="s">
        <v>107</v>
      </c>
      <c r="B56" t="s">
        <v>244</v>
      </c>
      <c r="C56">
        <v>1</v>
      </c>
    </row>
    <row r="57" spans="1:3">
      <c r="A57" t="s">
        <v>107</v>
      </c>
      <c r="B57" t="s">
        <v>240</v>
      </c>
      <c r="C57">
        <v>1</v>
      </c>
    </row>
    <row r="58" spans="1:3">
      <c r="A58" t="s">
        <v>107</v>
      </c>
      <c r="B58" t="s">
        <v>238</v>
      </c>
      <c r="C58">
        <v>1</v>
      </c>
    </row>
    <row r="59" spans="1:3">
      <c r="A59" t="s">
        <v>108</v>
      </c>
      <c r="B59" t="s">
        <v>238</v>
      </c>
      <c r="C59">
        <v>3</v>
      </c>
    </row>
    <row r="60" spans="1:3">
      <c r="A60" t="s">
        <v>108</v>
      </c>
      <c r="B60" t="s">
        <v>240</v>
      </c>
      <c r="C60">
        <v>1</v>
      </c>
    </row>
    <row r="61" spans="1:3">
      <c r="A61" t="s">
        <v>108</v>
      </c>
      <c r="B61" t="s">
        <v>244</v>
      </c>
      <c r="C61">
        <v>1</v>
      </c>
    </row>
    <row r="62" spans="1:3">
      <c r="A62" t="s">
        <v>108</v>
      </c>
      <c r="B62" t="s">
        <v>242</v>
      </c>
      <c r="C62">
        <v>1</v>
      </c>
    </row>
    <row r="63" spans="1:3">
      <c r="A63" t="s">
        <v>108</v>
      </c>
      <c r="B63" t="s">
        <v>241</v>
      </c>
      <c r="C63">
        <v>1</v>
      </c>
    </row>
    <row r="64" spans="1:3">
      <c r="A64" t="s">
        <v>165</v>
      </c>
      <c r="B64" t="s">
        <v>242</v>
      </c>
      <c r="C64">
        <v>3</v>
      </c>
    </row>
    <row r="65" spans="1:3">
      <c r="A65" t="s">
        <v>165</v>
      </c>
      <c r="B65" t="s">
        <v>241</v>
      </c>
      <c r="C65">
        <v>1</v>
      </c>
    </row>
    <row r="66" spans="1:3">
      <c r="A66" t="s">
        <v>63</v>
      </c>
      <c r="B66" t="s">
        <v>242</v>
      </c>
      <c r="C66">
        <v>17</v>
      </c>
    </row>
    <row r="67" spans="1:3">
      <c r="A67" t="s">
        <v>63</v>
      </c>
      <c r="B67" t="s">
        <v>241</v>
      </c>
      <c r="C67">
        <v>16</v>
      </c>
    </row>
    <row r="68" spans="1:3">
      <c r="A68" t="s">
        <v>63</v>
      </c>
      <c r="B68" t="s">
        <v>239</v>
      </c>
      <c r="C68">
        <v>16</v>
      </c>
    </row>
    <row r="69" spans="1:3">
      <c r="A69" t="s">
        <v>63</v>
      </c>
      <c r="B69" t="s">
        <v>238</v>
      </c>
      <c r="C69">
        <v>6</v>
      </c>
    </row>
    <row r="70" spans="1:3">
      <c r="A70" t="s">
        <v>63</v>
      </c>
      <c r="B70" t="s">
        <v>243</v>
      </c>
      <c r="C70">
        <v>3</v>
      </c>
    </row>
    <row r="71" spans="1:3">
      <c r="A71" t="s">
        <v>63</v>
      </c>
      <c r="B71" t="s">
        <v>240</v>
      </c>
      <c r="C71">
        <v>3</v>
      </c>
    </row>
    <row r="72" spans="1:3">
      <c r="A72" t="s">
        <v>63</v>
      </c>
      <c r="B72" t="s">
        <v>252</v>
      </c>
      <c r="C72">
        <v>1</v>
      </c>
    </row>
    <row r="73" spans="1:3">
      <c r="A73" t="s">
        <v>63</v>
      </c>
      <c r="B73" t="s">
        <v>244</v>
      </c>
      <c r="C73">
        <v>1</v>
      </c>
    </row>
    <row r="74" spans="1:3">
      <c r="A74" t="s">
        <v>166</v>
      </c>
      <c r="B74" t="s">
        <v>241</v>
      </c>
      <c r="C74">
        <v>16</v>
      </c>
    </row>
    <row r="75" spans="1:3">
      <c r="A75" t="s">
        <v>166</v>
      </c>
      <c r="B75" t="s">
        <v>240</v>
      </c>
      <c r="C75">
        <v>3</v>
      </c>
    </row>
    <row r="76" spans="1:3">
      <c r="A76" t="s">
        <v>166</v>
      </c>
      <c r="B76" t="s">
        <v>247</v>
      </c>
      <c r="C76">
        <v>2</v>
      </c>
    </row>
    <row r="77" spans="1:3">
      <c r="A77" t="s">
        <v>166</v>
      </c>
      <c r="B77" t="s">
        <v>238</v>
      </c>
      <c r="C77">
        <v>1</v>
      </c>
    </row>
    <row r="78" spans="1:3">
      <c r="A78" t="s">
        <v>167</v>
      </c>
      <c r="B78" t="s">
        <v>241</v>
      </c>
      <c r="C78">
        <v>110</v>
      </c>
    </row>
    <row r="79" spans="1:3">
      <c r="A79" t="s">
        <v>167</v>
      </c>
      <c r="B79" t="s">
        <v>239</v>
      </c>
      <c r="C79">
        <v>14</v>
      </c>
    </row>
    <row r="80" spans="1:3">
      <c r="A80" t="s">
        <v>167</v>
      </c>
      <c r="B80" t="s">
        <v>240</v>
      </c>
      <c r="C80">
        <v>9</v>
      </c>
    </row>
    <row r="81" spans="1:3">
      <c r="A81" t="s">
        <v>167</v>
      </c>
      <c r="B81" t="s">
        <v>243</v>
      </c>
      <c r="C81">
        <v>9</v>
      </c>
    </row>
    <row r="82" spans="1:3">
      <c r="A82" t="s">
        <v>167</v>
      </c>
      <c r="B82" t="s">
        <v>246</v>
      </c>
      <c r="C82">
        <v>6</v>
      </c>
    </row>
    <row r="83" spans="1:3">
      <c r="A83" t="s">
        <v>167</v>
      </c>
      <c r="B83" t="s">
        <v>242</v>
      </c>
      <c r="C83">
        <v>5</v>
      </c>
    </row>
    <row r="84" spans="1:3">
      <c r="A84" t="s">
        <v>167</v>
      </c>
      <c r="B84" t="s">
        <v>238</v>
      </c>
      <c r="C84">
        <v>4</v>
      </c>
    </row>
    <row r="85" spans="1:3">
      <c r="A85" t="s">
        <v>167</v>
      </c>
      <c r="B85" t="s">
        <v>245</v>
      </c>
      <c r="C85">
        <v>2</v>
      </c>
    </row>
    <row r="86" spans="1:3">
      <c r="A86" t="s">
        <v>167</v>
      </c>
      <c r="B86" t="s">
        <v>247</v>
      </c>
      <c r="C86">
        <v>1</v>
      </c>
    </row>
    <row r="87" spans="1:3">
      <c r="A87" t="s">
        <v>167</v>
      </c>
      <c r="B87" t="s">
        <v>248</v>
      </c>
      <c r="C87">
        <v>1</v>
      </c>
    </row>
    <row r="88" spans="1:3">
      <c r="A88" t="s">
        <v>5</v>
      </c>
      <c r="B88" t="s">
        <v>243</v>
      </c>
      <c r="C88">
        <v>2</v>
      </c>
    </row>
    <row r="89" spans="1:3">
      <c r="A89" t="s">
        <v>5</v>
      </c>
      <c r="B89" t="s">
        <v>241</v>
      </c>
      <c r="C89">
        <v>2</v>
      </c>
    </row>
    <row r="90" spans="1:3">
      <c r="A90" t="s">
        <v>5</v>
      </c>
      <c r="B90" t="s">
        <v>240</v>
      </c>
      <c r="C90">
        <v>2</v>
      </c>
    </row>
    <row r="91" spans="1:3">
      <c r="A91" t="s">
        <v>5</v>
      </c>
      <c r="B91" t="s">
        <v>238</v>
      </c>
      <c r="C91">
        <v>1</v>
      </c>
    </row>
    <row r="92" spans="1:3">
      <c r="A92" t="s">
        <v>6</v>
      </c>
      <c r="B92" t="s">
        <v>239</v>
      </c>
      <c r="C92">
        <v>2</v>
      </c>
    </row>
    <row r="93" spans="1:3">
      <c r="A93" t="s">
        <v>6</v>
      </c>
      <c r="B93" t="s">
        <v>243</v>
      </c>
      <c r="C93">
        <v>2</v>
      </c>
    </row>
    <row r="94" spans="1:3">
      <c r="A94" t="s">
        <v>6</v>
      </c>
      <c r="B94" t="s">
        <v>242</v>
      </c>
      <c r="C94">
        <v>2</v>
      </c>
    </row>
    <row r="95" spans="1:3">
      <c r="A95" t="s">
        <v>6</v>
      </c>
      <c r="B95" t="s">
        <v>238</v>
      </c>
      <c r="C95">
        <v>1</v>
      </c>
    </row>
    <row r="96" spans="1:3">
      <c r="A96" t="s">
        <v>6</v>
      </c>
      <c r="B96" t="s">
        <v>244</v>
      </c>
      <c r="C96">
        <v>1</v>
      </c>
    </row>
    <row r="97" spans="1:3">
      <c r="A97" t="s">
        <v>7</v>
      </c>
      <c r="B97" t="s">
        <v>239</v>
      </c>
      <c r="C97">
        <v>2</v>
      </c>
    </row>
    <row r="98" spans="1:3">
      <c r="A98" t="s">
        <v>7</v>
      </c>
      <c r="B98" t="s">
        <v>242</v>
      </c>
      <c r="C98">
        <v>1</v>
      </c>
    </row>
    <row r="99" spans="1:3">
      <c r="A99" t="s">
        <v>109</v>
      </c>
      <c r="B99" t="s">
        <v>241</v>
      </c>
      <c r="C99">
        <v>4</v>
      </c>
    </row>
    <row r="100" spans="1:3">
      <c r="A100" t="s">
        <v>109</v>
      </c>
      <c r="B100" t="s">
        <v>242</v>
      </c>
      <c r="C100">
        <v>3</v>
      </c>
    </row>
    <row r="101" spans="1:3">
      <c r="A101" t="s">
        <v>109</v>
      </c>
      <c r="B101" t="s">
        <v>239</v>
      </c>
      <c r="C101">
        <v>1</v>
      </c>
    </row>
    <row r="102" spans="1:3">
      <c r="A102" t="s">
        <v>109</v>
      </c>
      <c r="B102" t="s">
        <v>238</v>
      </c>
      <c r="C102">
        <v>1</v>
      </c>
    </row>
    <row r="103" spans="1:3">
      <c r="A103" t="s">
        <v>109</v>
      </c>
      <c r="B103" t="s">
        <v>243</v>
      </c>
      <c r="C103">
        <v>1</v>
      </c>
    </row>
    <row r="104" spans="1:3">
      <c r="A104" t="s">
        <v>198</v>
      </c>
      <c r="B104" t="s">
        <v>241</v>
      </c>
      <c r="C104">
        <v>2</v>
      </c>
    </row>
    <row r="105" spans="1:3">
      <c r="A105" t="s">
        <v>198</v>
      </c>
      <c r="B105" t="s">
        <v>244</v>
      </c>
      <c r="C105">
        <v>1</v>
      </c>
    </row>
    <row r="106" spans="1:3">
      <c r="A106" t="s">
        <v>198</v>
      </c>
      <c r="B106" t="s">
        <v>246</v>
      </c>
      <c r="C106">
        <v>1</v>
      </c>
    </row>
    <row r="107" spans="1:3">
      <c r="A107" t="s">
        <v>198</v>
      </c>
      <c r="B107" t="s">
        <v>243</v>
      </c>
      <c r="C107">
        <v>1</v>
      </c>
    </row>
    <row r="108" spans="1:3">
      <c r="A108" t="s">
        <v>198</v>
      </c>
      <c r="B108" t="s">
        <v>242</v>
      </c>
      <c r="C108">
        <v>1</v>
      </c>
    </row>
    <row r="109" spans="1:3">
      <c r="A109" t="s">
        <v>64</v>
      </c>
      <c r="B109" t="s">
        <v>241</v>
      </c>
      <c r="C109">
        <v>5</v>
      </c>
    </row>
    <row r="110" spans="1:3">
      <c r="A110" t="s">
        <v>64</v>
      </c>
      <c r="B110" t="s">
        <v>238</v>
      </c>
      <c r="C110">
        <v>1</v>
      </c>
    </row>
    <row r="111" spans="1:3">
      <c r="A111" t="s">
        <v>64</v>
      </c>
      <c r="B111" t="s">
        <v>242</v>
      </c>
      <c r="C111">
        <v>1</v>
      </c>
    </row>
    <row r="112" spans="1:3">
      <c r="A112" t="s">
        <v>64</v>
      </c>
      <c r="B112" t="s">
        <v>239</v>
      </c>
      <c r="C112">
        <v>1</v>
      </c>
    </row>
    <row r="113" spans="1:3">
      <c r="A113" t="s">
        <v>110</v>
      </c>
      <c r="B113" t="s">
        <v>240</v>
      </c>
      <c r="C113">
        <v>2</v>
      </c>
    </row>
    <row r="114" spans="1:3">
      <c r="A114" t="s">
        <v>110</v>
      </c>
      <c r="B114" t="s">
        <v>241</v>
      </c>
      <c r="C114">
        <v>1</v>
      </c>
    </row>
    <row r="115" spans="1:3">
      <c r="A115" t="s">
        <v>110</v>
      </c>
      <c r="B115" t="s">
        <v>239</v>
      </c>
      <c r="C115">
        <v>1</v>
      </c>
    </row>
    <row r="116" spans="1:3">
      <c r="A116" t="s">
        <v>8</v>
      </c>
      <c r="B116" t="s">
        <v>242</v>
      </c>
      <c r="C116">
        <v>5</v>
      </c>
    </row>
    <row r="117" spans="1:3">
      <c r="A117" t="s">
        <v>8</v>
      </c>
      <c r="B117" t="s">
        <v>240</v>
      </c>
      <c r="C117">
        <v>3</v>
      </c>
    </row>
    <row r="118" spans="1:3">
      <c r="A118" t="s">
        <v>8</v>
      </c>
      <c r="B118" t="s">
        <v>241</v>
      </c>
      <c r="C118">
        <v>3</v>
      </c>
    </row>
    <row r="119" spans="1:3">
      <c r="A119" t="s">
        <v>8</v>
      </c>
      <c r="B119" t="s">
        <v>243</v>
      </c>
      <c r="C119">
        <v>1</v>
      </c>
    </row>
    <row r="120" spans="1:3">
      <c r="A120" t="s">
        <v>8</v>
      </c>
      <c r="B120" t="s">
        <v>244</v>
      </c>
      <c r="C120">
        <v>1</v>
      </c>
    </row>
    <row r="121" spans="1:3">
      <c r="A121" t="s">
        <v>8</v>
      </c>
      <c r="B121" t="s">
        <v>247</v>
      </c>
      <c r="C121">
        <v>1</v>
      </c>
    </row>
    <row r="122" spans="1:3">
      <c r="A122" t="s">
        <v>8</v>
      </c>
      <c r="B122" t="s">
        <v>245</v>
      </c>
      <c r="C122">
        <v>1</v>
      </c>
    </row>
    <row r="123" spans="1:3">
      <c r="A123" t="s">
        <v>9</v>
      </c>
      <c r="B123" t="s">
        <v>242</v>
      </c>
      <c r="C123">
        <v>22</v>
      </c>
    </row>
    <row r="124" spans="1:3">
      <c r="A124" t="s">
        <v>9</v>
      </c>
      <c r="B124" t="s">
        <v>241</v>
      </c>
      <c r="C124">
        <v>13</v>
      </c>
    </row>
    <row r="125" spans="1:3">
      <c r="A125" t="s">
        <v>9</v>
      </c>
      <c r="B125" t="s">
        <v>239</v>
      </c>
      <c r="C125">
        <v>12</v>
      </c>
    </row>
    <row r="126" spans="1:3">
      <c r="A126" t="s">
        <v>9</v>
      </c>
      <c r="B126" t="s">
        <v>243</v>
      </c>
      <c r="C126">
        <v>9</v>
      </c>
    </row>
    <row r="127" spans="1:3">
      <c r="A127" t="s">
        <v>9</v>
      </c>
      <c r="B127" t="s">
        <v>238</v>
      </c>
      <c r="C127">
        <v>6</v>
      </c>
    </row>
    <row r="128" spans="1:3">
      <c r="A128" t="s">
        <v>9</v>
      </c>
      <c r="B128" t="s">
        <v>248</v>
      </c>
      <c r="C128">
        <v>2</v>
      </c>
    </row>
    <row r="129" spans="1:3">
      <c r="A129" t="s">
        <v>9</v>
      </c>
      <c r="B129" t="s">
        <v>240</v>
      </c>
      <c r="C129">
        <v>2</v>
      </c>
    </row>
    <row r="130" spans="1:3">
      <c r="A130" t="s">
        <v>111</v>
      </c>
      <c r="B130" t="s">
        <v>241</v>
      </c>
      <c r="C130">
        <v>4</v>
      </c>
    </row>
    <row r="131" spans="1:3">
      <c r="A131" t="s">
        <v>111</v>
      </c>
      <c r="B131" t="s">
        <v>242</v>
      </c>
      <c r="C131">
        <v>3</v>
      </c>
    </row>
    <row r="132" spans="1:3">
      <c r="A132" t="s">
        <v>111</v>
      </c>
      <c r="B132" t="s">
        <v>239</v>
      </c>
      <c r="C132">
        <v>1</v>
      </c>
    </row>
    <row r="133" spans="1:3">
      <c r="A133" t="s">
        <v>111</v>
      </c>
      <c r="B133" t="s">
        <v>240</v>
      </c>
      <c r="C133">
        <v>1</v>
      </c>
    </row>
    <row r="134" spans="1:3">
      <c r="A134" t="s">
        <v>111</v>
      </c>
      <c r="B134" t="s">
        <v>244</v>
      </c>
      <c r="C134">
        <v>1</v>
      </c>
    </row>
    <row r="135" spans="1:3">
      <c r="A135" t="s">
        <v>111</v>
      </c>
      <c r="B135" t="s">
        <v>243</v>
      </c>
      <c r="C135">
        <v>1</v>
      </c>
    </row>
    <row r="136" spans="1:3">
      <c r="A136" t="s">
        <v>65</v>
      </c>
      <c r="B136" t="s">
        <v>240</v>
      </c>
      <c r="C136">
        <v>6</v>
      </c>
    </row>
    <row r="137" spans="1:3">
      <c r="A137" t="s">
        <v>65</v>
      </c>
      <c r="B137" t="s">
        <v>241</v>
      </c>
      <c r="C137">
        <v>6</v>
      </c>
    </row>
    <row r="138" spans="1:3">
      <c r="A138" t="s">
        <v>65</v>
      </c>
      <c r="B138" t="s">
        <v>239</v>
      </c>
      <c r="C138">
        <v>2</v>
      </c>
    </row>
    <row r="139" spans="1:3">
      <c r="A139" t="s">
        <v>65</v>
      </c>
      <c r="B139" t="s">
        <v>238</v>
      </c>
      <c r="C139">
        <v>1</v>
      </c>
    </row>
    <row r="140" spans="1:3">
      <c r="A140" t="s">
        <v>65</v>
      </c>
      <c r="B140" t="s">
        <v>243</v>
      </c>
      <c r="C140">
        <v>1</v>
      </c>
    </row>
    <row r="141" spans="1:3">
      <c r="A141" t="s">
        <v>65</v>
      </c>
      <c r="B141" t="s">
        <v>242</v>
      </c>
      <c r="C141">
        <v>1</v>
      </c>
    </row>
    <row r="142" spans="1:3">
      <c r="A142" t="s">
        <v>66</v>
      </c>
      <c r="B142" t="s">
        <v>243</v>
      </c>
      <c r="C142">
        <v>2</v>
      </c>
    </row>
    <row r="143" spans="1:3">
      <c r="A143" t="s">
        <v>66</v>
      </c>
      <c r="B143" t="s">
        <v>241</v>
      </c>
      <c r="C143">
        <v>1</v>
      </c>
    </row>
    <row r="144" spans="1:3">
      <c r="A144" t="s">
        <v>66</v>
      </c>
      <c r="B144" t="s">
        <v>242</v>
      </c>
      <c r="C144">
        <v>1</v>
      </c>
    </row>
    <row r="145" spans="1:3">
      <c r="A145" t="s">
        <v>112</v>
      </c>
      <c r="B145" t="s">
        <v>241</v>
      </c>
      <c r="C145">
        <v>18</v>
      </c>
    </row>
    <row r="146" spans="1:3">
      <c r="A146" t="s">
        <v>112</v>
      </c>
      <c r="B146" t="s">
        <v>242</v>
      </c>
      <c r="C146">
        <v>9</v>
      </c>
    </row>
    <row r="147" spans="1:3">
      <c r="A147" t="s">
        <v>112</v>
      </c>
      <c r="B147" t="s">
        <v>243</v>
      </c>
      <c r="C147">
        <v>8</v>
      </c>
    </row>
    <row r="148" spans="1:3">
      <c r="A148" t="s">
        <v>112</v>
      </c>
      <c r="B148" t="s">
        <v>238</v>
      </c>
      <c r="C148">
        <v>7</v>
      </c>
    </row>
    <row r="149" spans="1:3">
      <c r="A149" t="s">
        <v>112</v>
      </c>
      <c r="B149" t="s">
        <v>246</v>
      </c>
      <c r="C149">
        <v>4</v>
      </c>
    </row>
    <row r="150" spans="1:3">
      <c r="A150" t="s">
        <v>112</v>
      </c>
      <c r="B150" t="s">
        <v>240</v>
      </c>
      <c r="C150">
        <v>4</v>
      </c>
    </row>
    <row r="151" spans="1:3">
      <c r="A151" t="s">
        <v>112</v>
      </c>
      <c r="B151" t="s">
        <v>244</v>
      </c>
      <c r="C151">
        <v>1</v>
      </c>
    </row>
    <row r="152" spans="1:3">
      <c r="A152" t="s">
        <v>112</v>
      </c>
      <c r="B152" t="s">
        <v>239</v>
      </c>
      <c r="C152">
        <v>1</v>
      </c>
    </row>
    <row r="153" spans="1:3">
      <c r="A153" t="s">
        <v>199</v>
      </c>
      <c r="B153" t="s">
        <v>241</v>
      </c>
      <c r="C153">
        <v>9</v>
      </c>
    </row>
    <row r="154" spans="1:3">
      <c r="A154" t="s">
        <v>199</v>
      </c>
      <c r="B154" t="s">
        <v>242</v>
      </c>
      <c r="C154">
        <v>2</v>
      </c>
    </row>
    <row r="155" spans="1:3">
      <c r="A155" t="s">
        <v>199</v>
      </c>
      <c r="B155" t="s">
        <v>250</v>
      </c>
      <c r="C155">
        <v>2</v>
      </c>
    </row>
    <row r="156" spans="1:3">
      <c r="A156" t="s">
        <v>199</v>
      </c>
      <c r="B156" t="s">
        <v>249</v>
      </c>
      <c r="C156">
        <v>1</v>
      </c>
    </row>
    <row r="157" spans="1:3">
      <c r="A157" t="s">
        <v>199</v>
      </c>
      <c r="B157" t="s">
        <v>243</v>
      </c>
      <c r="C157">
        <v>1</v>
      </c>
    </row>
    <row r="158" spans="1:3">
      <c r="A158" t="s">
        <v>199</v>
      </c>
      <c r="B158" t="s">
        <v>239</v>
      </c>
      <c r="C158">
        <v>1</v>
      </c>
    </row>
    <row r="159" spans="1:3">
      <c r="A159" t="s">
        <v>199</v>
      </c>
      <c r="B159" t="s">
        <v>238</v>
      </c>
      <c r="C159">
        <v>1</v>
      </c>
    </row>
    <row r="160" spans="1:3">
      <c r="A160" t="s">
        <v>199</v>
      </c>
      <c r="B160" t="s">
        <v>240</v>
      </c>
      <c r="C160">
        <v>1</v>
      </c>
    </row>
    <row r="161" spans="1:3">
      <c r="A161" t="s">
        <v>113</v>
      </c>
      <c r="B161" t="s">
        <v>242</v>
      </c>
      <c r="C161">
        <v>2</v>
      </c>
    </row>
    <row r="162" spans="1:3">
      <c r="A162" t="s">
        <v>113</v>
      </c>
      <c r="B162" t="s">
        <v>241</v>
      </c>
      <c r="C162">
        <v>2</v>
      </c>
    </row>
    <row r="163" spans="1:3">
      <c r="A163" t="s">
        <v>113</v>
      </c>
      <c r="B163" t="s">
        <v>245</v>
      </c>
      <c r="C163">
        <v>1</v>
      </c>
    </row>
    <row r="164" spans="1:3">
      <c r="A164" t="s">
        <v>113</v>
      </c>
      <c r="B164" t="s">
        <v>239</v>
      </c>
      <c r="C164">
        <v>1</v>
      </c>
    </row>
    <row r="165" spans="1:3">
      <c r="A165" t="s">
        <v>10</v>
      </c>
      <c r="B165" t="s">
        <v>242</v>
      </c>
      <c r="C165">
        <v>2</v>
      </c>
    </row>
    <row r="166" spans="1:3">
      <c r="A166" t="s">
        <v>10</v>
      </c>
      <c r="B166" t="s">
        <v>241</v>
      </c>
      <c r="C166">
        <v>2</v>
      </c>
    </row>
    <row r="167" spans="1:3">
      <c r="A167" t="s">
        <v>10</v>
      </c>
      <c r="B167" t="s">
        <v>238</v>
      </c>
      <c r="C167">
        <v>2</v>
      </c>
    </row>
    <row r="168" spans="1:3">
      <c r="A168" t="s">
        <v>10</v>
      </c>
      <c r="B168" t="s">
        <v>240</v>
      </c>
      <c r="C168">
        <v>2</v>
      </c>
    </row>
    <row r="169" spans="1:3">
      <c r="A169" t="s">
        <v>10</v>
      </c>
      <c r="B169" t="s">
        <v>239</v>
      </c>
      <c r="C169">
        <v>1</v>
      </c>
    </row>
    <row r="170" spans="1:3">
      <c r="A170" t="s">
        <v>10</v>
      </c>
      <c r="B170" t="s">
        <v>245</v>
      </c>
      <c r="C170">
        <v>1</v>
      </c>
    </row>
    <row r="171" spans="1:3">
      <c r="A171" t="s">
        <v>10</v>
      </c>
      <c r="B171" t="s">
        <v>249</v>
      </c>
      <c r="C171">
        <v>1</v>
      </c>
    </row>
    <row r="172" spans="1:3">
      <c r="A172" t="s">
        <v>168</v>
      </c>
      <c r="B172" t="s">
        <v>242</v>
      </c>
      <c r="C172">
        <v>5</v>
      </c>
    </row>
    <row r="173" spans="1:3">
      <c r="A173" t="s">
        <v>168</v>
      </c>
      <c r="B173" t="s">
        <v>243</v>
      </c>
      <c r="C173">
        <v>3</v>
      </c>
    </row>
    <row r="174" spans="1:3">
      <c r="A174" t="s">
        <v>168</v>
      </c>
      <c r="B174" t="s">
        <v>241</v>
      </c>
      <c r="C174">
        <v>1</v>
      </c>
    </row>
    <row r="175" spans="1:3">
      <c r="A175" t="s">
        <v>168</v>
      </c>
      <c r="B175" t="s">
        <v>244</v>
      </c>
      <c r="C175">
        <v>1</v>
      </c>
    </row>
    <row r="176" spans="1:3">
      <c r="A176" t="s">
        <v>11</v>
      </c>
      <c r="B176" t="s">
        <v>240</v>
      </c>
      <c r="C176">
        <v>4</v>
      </c>
    </row>
    <row r="177" spans="1:3">
      <c r="A177" t="s">
        <v>11</v>
      </c>
      <c r="B177" t="s">
        <v>241</v>
      </c>
      <c r="C177">
        <v>3</v>
      </c>
    </row>
    <row r="178" spans="1:3">
      <c r="A178" t="s">
        <v>11</v>
      </c>
      <c r="B178" t="s">
        <v>243</v>
      </c>
      <c r="C178">
        <v>3</v>
      </c>
    </row>
    <row r="179" spans="1:3">
      <c r="A179" t="s">
        <v>11</v>
      </c>
      <c r="B179" t="s">
        <v>239</v>
      </c>
      <c r="C179">
        <v>3</v>
      </c>
    </row>
    <row r="180" spans="1:3">
      <c r="A180" t="s">
        <v>11</v>
      </c>
      <c r="B180" t="s">
        <v>249</v>
      </c>
      <c r="C180">
        <v>1</v>
      </c>
    </row>
    <row r="181" spans="1:3">
      <c r="A181" t="s">
        <v>11</v>
      </c>
      <c r="B181" t="s">
        <v>242</v>
      </c>
      <c r="C181">
        <v>1</v>
      </c>
    </row>
    <row r="182" spans="1:3">
      <c r="A182" t="s">
        <v>11</v>
      </c>
      <c r="B182" t="s">
        <v>245</v>
      </c>
      <c r="C182">
        <v>1</v>
      </c>
    </row>
    <row r="183" spans="1:3">
      <c r="A183" t="s">
        <v>11</v>
      </c>
      <c r="B183" t="s">
        <v>244</v>
      </c>
      <c r="C183">
        <v>1</v>
      </c>
    </row>
    <row r="184" spans="1:3">
      <c r="A184" t="s">
        <v>12</v>
      </c>
      <c r="B184" t="s">
        <v>241</v>
      </c>
      <c r="C184">
        <v>7</v>
      </c>
    </row>
    <row r="185" spans="1:3">
      <c r="A185" t="s">
        <v>12</v>
      </c>
      <c r="B185" t="s">
        <v>242</v>
      </c>
      <c r="C185">
        <v>3</v>
      </c>
    </row>
    <row r="186" spans="1:3">
      <c r="A186" t="s">
        <v>12</v>
      </c>
      <c r="B186" t="s">
        <v>239</v>
      </c>
      <c r="C186">
        <v>1</v>
      </c>
    </row>
    <row r="187" spans="1:3">
      <c r="A187" t="s">
        <v>12</v>
      </c>
      <c r="B187" t="s">
        <v>238</v>
      </c>
      <c r="C187">
        <v>1</v>
      </c>
    </row>
    <row r="188" spans="1:3">
      <c r="A188" t="s">
        <v>12</v>
      </c>
      <c r="B188" t="s">
        <v>243</v>
      </c>
      <c r="C188">
        <v>1</v>
      </c>
    </row>
    <row r="189" spans="1:3">
      <c r="A189" t="s">
        <v>169</v>
      </c>
      <c r="B189" t="s">
        <v>241</v>
      </c>
      <c r="C189">
        <v>6</v>
      </c>
    </row>
    <row r="190" spans="1:3">
      <c r="A190" t="s">
        <v>169</v>
      </c>
      <c r="B190" t="s">
        <v>238</v>
      </c>
      <c r="C190">
        <v>1</v>
      </c>
    </row>
    <row r="191" spans="1:3">
      <c r="A191" t="s">
        <v>67</v>
      </c>
      <c r="B191" t="s">
        <v>242</v>
      </c>
      <c r="C191">
        <v>2</v>
      </c>
    </row>
    <row r="192" spans="1:3">
      <c r="A192" t="s">
        <v>67</v>
      </c>
      <c r="B192" t="s">
        <v>244</v>
      </c>
      <c r="C192">
        <v>1</v>
      </c>
    </row>
    <row r="193" spans="1:3">
      <c r="A193" t="s">
        <v>67</v>
      </c>
      <c r="B193" t="s">
        <v>239</v>
      </c>
      <c r="C193">
        <v>1</v>
      </c>
    </row>
    <row r="194" spans="1:3">
      <c r="A194" t="s">
        <v>68</v>
      </c>
      <c r="B194" t="s">
        <v>241</v>
      </c>
      <c r="C194">
        <v>14</v>
      </c>
    </row>
    <row r="195" spans="1:3">
      <c r="A195" t="s">
        <v>68</v>
      </c>
      <c r="B195" t="s">
        <v>240</v>
      </c>
      <c r="C195">
        <v>5</v>
      </c>
    </row>
    <row r="196" spans="1:3">
      <c r="A196" t="s">
        <v>68</v>
      </c>
      <c r="B196" t="s">
        <v>238</v>
      </c>
      <c r="C196">
        <v>1</v>
      </c>
    </row>
    <row r="197" spans="1:3">
      <c r="A197" t="s">
        <v>68</v>
      </c>
      <c r="B197" t="s">
        <v>242</v>
      </c>
      <c r="C197">
        <v>1</v>
      </c>
    </row>
    <row r="198" spans="1:3">
      <c r="A198" t="s">
        <v>68</v>
      </c>
      <c r="B198" t="s">
        <v>244</v>
      </c>
      <c r="C198">
        <v>1</v>
      </c>
    </row>
    <row r="199" spans="1:3">
      <c r="A199" t="s">
        <v>68</v>
      </c>
      <c r="B199" t="s">
        <v>239</v>
      </c>
      <c r="C199">
        <v>1</v>
      </c>
    </row>
    <row r="200" spans="1:3">
      <c r="A200" t="s">
        <v>68</v>
      </c>
      <c r="B200" t="s">
        <v>243</v>
      </c>
      <c r="C200">
        <v>1</v>
      </c>
    </row>
    <row r="201" spans="1:3">
      <c r="A201" t="s">
        <v>69</v>
      </c>
      <c r="B201" t="s">
        <v>238</v>
      </c>
      <c r="C201">
        <v>1</v>
      </c>
    </row>
    <row r="202" spans="1:3">
      <c r="A202" t="s">
        <v>69</v>
      </c>
      <c r="B202" t="s">
        <v>240</v>
      </c>
      <c r="C202">
        <v>1</v>
      </c>
    </row>
    <row r="203" spans="1:3">
      <c r="A203" t="s">
        <v>69</v>
      </c>
      <c r="B203" t="s">
        <v>242</v>
      </c>
      <c r="C203">
        <v>1</v>
      </c>
    </row>
    <row r="204" spans="1:3">
      <c r="A204" t="s">
        <v>70</v>
      </c>
      <c r="B204" t="s">
        <v>242</v>
      </c>
      <c r="C204">
        <v>3</v>
      </c>
    </row>
    <row r="205" spans="1:3">
      <c r="A205" t="s">
        <v>70</v>
      </c>
      <c r="B205" t="s">
        <v>241</v>
      </c>
      <c r="C205">
        <v>3</v>
      </c>
    </row>
    <row r="206" spans="1:3">
      <c r="A206" t="s">
        <v>70</v>
      </c>
      <c r="B206" t="s">
        <v>240</v>
      </c>
      <c r="C206">
        <v>1</v>
      </c>
    </row>
    <row r="207" spans="1:3">
      <c r="A207" t="s">
        <v>70</v>
      </c>
      <c r="B207" t="s">
        <v>239</v>
      </c>
      <c r="C207">
        <v>1</v>
      </c>
    </row>
    <row r="208" spans="1:3">
      <c r="A208" t="s">
        <v>114</v>
      </c>
      <c r="B208" t="s">
        <v>242</v>
      </c>
      <c r="C208">
        <v>6</v>
      </c>
    </row>
    <row r="209" spans="1:3">
      <c r="A209" t="s">
        <v>114</v>
      </c>
      <c r="B209" t="s">
        <v>240</v>
      </c>
      <c r="C209">
        <v>3</v>
      </c>
    </row>
    <row r="210" spans="1:3">
      <c r="A210" t="s">
        <v>114</v>
      </c>
      <c r="B210" t="s">
        <v>238</v>
      </c>
      <c r="C210">
        <v>2</v>
      </c>
    </row>
    <row r="211" spans="1:3">
      <c r="A211" t="s">
        <v>114</v>
      </c>
      <c r="B211" t="s">
        <v>243</v>
      </c>
      <c r="C211">
        <v>2</v>
      </c>
    </row>
    <row r="212" spans="1:3">
      <c r="A212" t="s">
        <v>114</v>
      </c>
      <c r="B212" t="s">
        <v>241</v>
      </c>
      <c r="C212">
        <v>2</v>
      </c>
    </row>
    <row r="213" spans="1:3">
      <c r="A213" t="s">
        <v>115</v>
      </c>
      <c r="B213" t="s">
        <v>241</v>
      </c>
      <c r="C213">
        <v>6</v>
      </c>
    </row>
    <row r="214" spans="1:3">
      <c r="A214" t="s">
        <v>115</v>
      </c>
      <c r="B214" t="s">
        <v>240</v>
      </c>
      <c r="C214">
        <v>2</v>
      </c>
    </row>
    <row r="215" spans="1:3">
      <c r="A215" t="s">
        <v>115</v>
      </c>
      <c r="B215" t="s">
        <v>242</v>
      </c>
      <c r="C215">
        <v>1</v>
      </c>
    </row>
    <row r="216" spans="1:3">
      <c r="A216" t="s">
        <v>115</v>
      </c>
      <c r="B216" t="s">
        <v>249</v>
      </c>
      <c r="C216">
        <v>1</v>
      </c>
    </row>
    <row r="217" spans="1:3">
      <c r="A217" t="s">
        <v>115</v>
      </c>
      <c r="B217" t="s">
        <v>246</v>
      </c>
      <c r="C217">
        <v>1</v>
      </c>
    </row>
    <row r="218" spans="1:3">
      <c r="A218" t="s">
        <v>115</v>
      </c>
      <c r="B218" t="s">
        <v>244</v>
      </c>
      <c r="C218">
        <v>1</v>
      </c>
    </row>
    <row r="219" spans="1:3">
      <c r="A219" t="s">
        <v>170</v>
      </c>
      <c r="B219" t="s">
        <v>242</v>
      </c>
      <c r="C219">
        <v>6</v>
      </c>
    </row>
    <row r="220" spans="1:3">
      <c r="A220" t="s">
        <v>170</v>
      </c>
      <c r="B220" t="s">
        <v>241</v>
      </c>
      <c r="C220">
        <v>5</v>
      </c>
    </row>
    <row r="221" spans="1:3">
      <c r="A221" t="s">
        <v>170</v>
      </c>
      <c r="B221" t="s">
        <v>240</v>
      </c>
      <c r="C221">
        <v>2</v>
      </c>
    </row>
    <row r="222" spans="1:3">
      <c r="A222" t="s">
        <v>170</v>
      </c>
      <c r="B222" t="s">
        <v>244</v>
      </c>
      <c r="C222">
        <v>1</v>
      </c>
    </row>
    <row r="223" spans="1:3">
      <c r="A223" t="s">
        <v>171</v>
      </c>
      <c r="B223" t="s">
        <v>242</v>
      </c>
      <c r="C223">
        <v>4</v>
      </c>
    </row>
    <row r="224" spans="1:3">
      <c r="A224" t="s">
        <v>171</v>
      </c>
      <c r="B224" t="s">
        <v>241</v>
      </c>
      <c r="C224">
        <v>4</v>
      </c>
    </row>
    <row r="225" spans="1:3">
      <c r="A225" t="s">
        <v>71</v>
      </c>
      <c r="B225" t="s">
        <v>241</v>
      </c>
      <c r="C225">
        <v>3</v>
      </c>
    </row>
    <row r="226" spans="1:3">
      <c r="A226" t="s">
        <v>71</v>
      </c>
      <c r="B226" t="s">
        <v>238</v>
      </c>
      <c r="C226">
        <v>1</v>
      </c>
    </row>
    <row r="227" spans="1:3">
      <c r="A227" t="s">
        <v>71</v>
      </c>
      <c r="B227" t="s">
        <v>242</v>
      </c>
      <c r="C227">
        <v>1</v>
      </c>
    </row>
    <row r="228" spans="1:3">
      <c r="A228" t="s">
        <v>71</v>
      </c>
      <c r="B228" t="s">
        <v>240</v>
      </c>
      <c r="C228">
        <v>1</v>
      </c>
    </row>
    <row r="229" spans="1:3">
      <c r="A229" t="s">
        <v>116</v>
      </c>
      <c r="B229" t="s">
        <v>242</v>
      </c>
      <c r="C229">
        <v>8</v>
      </c>
    </row>
    <row r="230" spans="1:3">
      <c r="A230" t="s">
        <v>116</v>
      </c>
      <c r="B230" t="s">
        <v>238</v>
      </c>
      <c r="C230">
        <v>2</v>
      </c>
    </row>
    <row r="231" spans="1:3">
      <c r="A231" t="s">
        <v>116</v>
      </c>
      <c r="B231" t="s">
        <v>239</v>
      </c>
      <c r="C231">
        <v>2</v>
      </c>
    </row>
    <row r="232" spans="1:3">
      <c r="A232" t="s">
        <v>72</v>
      </c>
      <c r="B232" t="s">
        <v>243</v>
      </c>
      <c r="C232">
        <v>2</v>
      </c>
    </row>
    <row r="233" spans="1:3">
      <c r="A233" t="s">
        <v>72</v>
      </c>
      <c r="B233" t="s">
        <v>240</v>
      </c>
      <c r="C233">
        <v>1</v>
      </c>
    </row>
    <row r="234" spans="1:3">
      <c r="A234" t="s">
        <v>72</v>
      </c>
      <c r="B234" t="s">
        <v>241</v>
      </c>
      <c r="C234">
        <v>1</v>
      </c>
    </row>
    <row r="235" spans="1:3">
      <c r="A235" t="s">
        <v>72</v>
      </c>
      <c r="B235" t="s">
        <v>238</v>
      </c>
      <c r="C235">
        <v>1</v>
      </c>
    </row>
    <row r="236" spans="1:3">
      <c r="A236" t="s">
        <v>117</v>
      </c>
      <c r="B236" t="s">
        <v>241</v>
      </c>
      <c r="C236">
        <v>24</v>
      </c>
    </row>
    <row r="237" spans="1:3">
      <c r="A237" t="s">
        <v>117</v>
      </c>
      <c r="B237" t="s">
        <v>238</v>
      </c>
      <c r="C237">
        <v>10</v>
      </c>
    </row>
    <row r="238" spans="1:3">
      <c r="A238" t="s">
        <v>117</v>
      </c>
      <c r="B238" t="s">
        <v>242</v>
      </c>
      <c r="C238">
        <v>8</v>
      </c>
    </row>
    <row r="239" spans="1:3">
      <c r="A239" t="s">
        <v>117</v>
      </c>
      <c r="B239" t="s">
        <v>240</v>
      </c>
      <c r="C239">
        <v>5</v>
      </c>
    </row>
    <row r="240" spans="1:3">
      <c r="A240" t="s">
        <v>117</v>
      </c>
      <c r="B240" t="s">
        <v>239</v>
      </c>
      <c r="C240">
        <v>2</v>
      </c>
    </row>
    <row r="241" spans="1:3">
      <c r="A241" t="s">
        <v>117</v>
      </c>
      <c r="B241" t="s">
        <v>243</v>
      </c>
      <c r="C241">
        <v>2</v>
      </c>
    </row>
    <row r="242" spans="1:3">
      <c r="A242" t="s">
        <v>117</v>
      </c>
      <c r="B242" t="s">
        <v>244</v>
      </c>
      <c r="C242">
        <v>1</v>
      </c>
    </row>
    <row r="243" spans="1:3">
      <c r="A243" t="s">
        <v>117</v>
      </c>
      <c r="B243" t="s">
        <v>246</v>
      </c>
      <c r="C243">
        <v>1</v>
      </c>
    </row>
    <row r="244" spans="1:3">
      <c r="A244" t="s">
        <v>117</v>
      </c>
      <c r="B244" t="s">
        <v>249</v>
      </c>
      <c r="C244">
        <v>1</v>
      </c>
    </row>
    <row r="245" spans="1:3">
      <c r="A245" t="s">
        <v>118</v>
      </c>
      <c r="B245" t="s">
        <v>241</v>
      </c>
      <c r="C245">
        <v>75</v>
      </c>
    </row>
    <row r="246" spans="1:3">
      <c r="A246" t="s">
        <v>118</v>
      </c>
      <c r="B246" t="s">
        <v>250</v>
      </c>
      <c r="C246">
        <v>48</v>
      </c>
    </row>
    <row r="247" spans="1:3">
      <c r="A247" t="s">
        <v>118</v>
      </c>
      <c r="B247" t="s">
        <v>243</v>
      </c>
      <c r="C247">
        <v>10</v>
      </c>
    </row>
    <row r="248" spans="1:3">
      <c r="A248" t="s">
        <v>118</v>
      </c>
      <c r="B248" t="s">
        <v>240</v>
      </c>
      <c r="C248">
        <v>10</v>
      </c>
    </row>
    <row r="249" spans="1:3">
      <c r="A249" t="s">
        <v>118</v>
      </c>
      <c r="B249" t="s">
        <v>238</v>
      </c>
      <c r="C249">
        <v>5</v>
      </c>
    </row>
    <row r="250" spans="1:3">
      <c r="A250" t="s">
        <v>118</v>
      </c>
      <c r="B250" t="s">
        <v>242</v>
      </c>
      <c r="C250">
        <v>5</v>
      </c>
    </row>
    <row r="251" spans="1:3">
      <c r="A251" t="s">
        <v>118</v>
      </c>
      <c r="B251" t="s">
        <v>239</v>
      </c>
      <c r="C251">
        <v>1</v>
      </c>
    </row>
    <row r="252" spans="1:3">
      <c r="A252" t="s">
        <v>118</v>
      </c>
      <c r="B252" t="s">
        <v>248</v>
      </c>
      <c r="C252">
        <v>1</v>
      </c>
    </row>
    <row r="253" spans="1:3">
      <c r="A253" t="s">
        <v>118</v>
      </c>
      <c r="B253" t="s">
        <v>249</v>
      </c>
      <c r="C253">
        <v>1</v>
      </c>
    </row>
    <row r="254" spans="1:3">
      <c r="A254" t="s">
        <v>172</v>
      </c>
      <c r="B254" t="s">
        <v>241</v>
      </c>
      <c r="C254">
        <v>2</v>
      </c>
    </row>
    <row r="255" spans="1:3">
      <c r="A255" t="s">
        <v>172</v>
      </c>
      <c r="B255" t="s">
        <v>240</v>
      </c>
      <c r="C255">
        <v>2</v>
      </c>
    </row>
    <row r="256" spans="1:3">
      <c r="A256" t="s">
        <v>172</v>
      </c>
      <c r="B256" t="s">
        <v>242</v>
      </c>
      <c r="C256">
        <v>1</v>
      </c>
    </row>
    <row r="257" spans="1:3">
      <c r="A257" t="s">
        <v>119</v>
      </c>
      <c r="B257" t="s">
        <v>240</v>
      </c>
      <c r="C257">
        <v>1</v>
      </c>
    </row>
    <row r="258" spans="1:3">
      <c r="A258" t="s">
        <v>119</v>
      </c>
      <c r="B258" t="s">
        <v>238</v>
      </c>
      <c r="C258">
        <v>1</v>
      </c>
    </row>
    <row r="259" spans="1:3">
      <c r="A259" t="s">
        <v>119</v>
      </c>
      <c r="B259" t="s">
        <v>242</v>
      </c>
      <c r="C259">
        <v>1</v>
      </c>
    </row>
    <row r="260" spans="1:3">
      <c r="A260" t="s">
        <v>119</v>
      </c>
      <c r="B260" t="s">
        <v>244</v>
      </c>
      <c r="C260">
        <v>1</v>
      </c>
    </row>
    <row r="261" spans="1:3">
      <c r="A261" t="s">
        <v>173</v>
      </c>
      <c r="B261" t="s">
        <v>240</v>
      </c>
      <c r="C261">
        <v>4</v>
      </c>
    </row>
    <row r="262" spans="1:3">
      <c r="A262" t="s">
        <v>173</v>
      </c>
      <c r="B262" t="s">
        <v>242</v>
      </c>
      <c r="C262">
        <v>2</v>
      </c>
    </row>
    <row r="263" spans="1:3">
      <c r="A263" t="s">
        <v>173</v>
      </c>
      <c r="B263" t="s">
        <v>243</v>
      </c>
      <c r="C263">
        <v>2</v>
      </c>
    </row>
    <row r="264" spans="1:3">
      <c r="A264" t="s">
        <v>173</v>
      </c>
      <c r="B264" t="s">
        <v>239</v>
      </c>
      <c r="C264">
        <v>1</v>
      </c>
    </row>
    <row r="265" spans="1:3">
      <c r="A265" t="s">
        <v>173</v>
      </c>
      <c r="B265" t="s">
        <v>241</v>
      </c>
      <c r="C265">
        <v>1</v>
      </c>
    </row>
    <row r="266" spans="1:3">
      <c r="A266" t="s">
        <v>173</v>
      </c>
      <c r="B266" t="s">
        <v>238</v>
      </c>
      <c r="C266">
        <v>1</v>
      </c>
    </row>
    <row r="267" spans="1:3">
      <c r="A267" t="s">
        <v>73</v>
      </c>
      <c r="B267" t="s">
        <v>241</v>
      </c>
      <c r="C267">
        <v>12</v>
      </c>
    </row>
    <row r="268" spans="1:3">
      <c r="A268" t="s">
        <v>73</v>
      </c>
      <c r="B268" t="s">
        <v>239</v>
      </c>
      <c r="C268">
        <v>10</v>
      </c>
    </row>
    <row r="269" spans="1:3">
      <c r="A269" t="s">
        <v>73</v>
      </c>
      <c r="B269" t="s">
        <v>242</v>
      </c>
      <c r="C269">
        <v>4</v>
      </c>
    </row>
    <row r="270" spans="1:3">
      <c r="A270" t="s">
        <v>73</v>
      </c>
      <c r="B270" t="s">
        <v>238</v>
      </c>
      <c r="C270">
        <v>3</v>
      </c>
    </row>
    <row r="271" spans="1:3">
      <c r="A271" t="s">
        <v>73</v>
      </c>
      <c r="B271" t="s">
        <v>240</v>
      </c>
      <c r="C271">
        <v>3</v>
      </c>
    </row>
    <row r="272" spans="1:3">
      <c r="A272" t="s">
        <v>73</v>
      </c>
      <c r="B272" t="s">
        <v>243</v>
      </c>
      <c r="C272">
        <v>1</v>
      </c>
    </row>
    <row r="273" spans="1:3">
      <c r="A273" t="s">
        <v>73</v>
      </c>
      <c r="B273" t="s">
        <v>244</v>
      </c>
      <c r="C273">
        <v>1</v>
      </c>
    </row>
    <row r="274" spans="1:3">
      <c r="A274" t="s">
        <v>73</v>
      </c>
      <c r="B274" t="s">
        <v>249</v>
      </c>
      <c r="C274">
        <v>1</v>
      </c>
    </row>
    <row r="275" spans="1:3">
      <c r="A275" t="s">
        <v>120</v>
      </c>
      <c r="B275" t="s">
        <v>240</v>
      </c>
      <c r="C275">
        <v>5</v>
      </c>
    </row>
    <row r="276" spans="1:3">
      <c r="A276" t="s">
        <v>120</v>
      </c>
      <c r="B276" t="s">
        <v>241</v>
      </c>
      <c r="C276">
        <v>3</v>
      </c>
    </row>
    <row r="277" spans="1:3">
      <c r="A277" t="s">
        <v>120</v>
      </c>
      <c r="B277" t="s">
        <v>242</v>
      </c>
      <c r="C277">
        <v>1</v>
      </c>
    </row>
    <row r="278" spans="1:3">
      <c r="A278" t="s">
        <v>120</v>
      </c>
      <c r="B278" t="s">
        <v>243</v>
      </c>
      <c r="C278">
        <v>1</v>
      </c>
    </row>
    <row r="279" spans="1:3">
      <c r="A279" t="s">
        <v>120</v>
      </c>
      <c r="B279" t="s">
        <v>239</v>
      </c>
      <c r="C279">
        <v>1</v>
      </c>
    </row>
    <row r="280" spans="1:3">
      <c r="A280" t="s">
        <v>174</v>
      </c>
      <c r="B280" t="s">
        <v>241</v>
      </c>
      <c r="C280">
        <v>7</v>
      </c>
    </row>
    <row r="281" spans="1:3">
      <c r="A281" t="s">
        <v>174</v>
      </c>
      <c r="B281" t="s">
        <v>242</v>
      </c>
      <c r="C281">
        <v>6</v>
      </c>
    </row>
    <row r="282" spans="1:3">
      <c r="A282" t="s">
        <v>174</v>
      </c>
      <c r="B282" t="s">
        <v>239</v>
      </c>
      <c r="C282">
        <v>3</v>
      </c>
    </row>
    <row r="283" spans="1:3">
      <c r="A283" t="s">
        <v>174</v>
      </c>
      <c r="B283" t="s">
        <v>244</v>
      </c>
      <c r="C283">
        <v>1</v>
      </c>
    </row>
    <row r="284" spans="1:3">
      <c r="A284" t="s">
        <v>174</v>
      </c>
      <c r="B284" t="s">
        <v>240</v>
      </c>
      <c r="C284">
        <v>1</v>
      </c>
    </row>
    <row r="285" spans="1:3">
      <c r="A285" t="s">
        <v>174</v>
      </c>
      <c r="B285" t="s">
        <v>243</v>
      </c>
      <c r="C285">
        <v>1</v>
      </c>
    </row>
    <row r="286" spans="1:3">
      <c r="A286" t="s">
        <v>175</v>
      </c>
      <c r="B286" t="s">
        <v>250</v>
      </c>
      <c r="C286">
        <v>31</v>
      </c>
    </row>
    <row r="287" spans="1:3">
      <c r="A287" t="s">
        <v>175</v>
      </c>
      <c r="B287" t="s">
        <v>240</v>
      </c>
      <c r="C287">
        <v>12</v>
      </c>
    </row>
    <row r="288" spans="1:3">
      <c r="A288" t="s">
        <v>175</v>
      </c>
      <c r="B288" t="s">
        <v>243</v>
      </c>
      <c r="C288">
        <v>7</v>
      </c>
    </row>
    <row r="289" spans="1:3">
      <c r="A289" t="s">
        <v>175</v>
      </c>
      <c r="B289" t="s">
        <v>249</v>
      </c>
      <c r="C289">
        <v>7</v>
      </c>
    </row>
    <row r="290" spans="1:3">
      <c r="A290" t="s">
        <v>175</v>
      </c>
      <c r="B290" t="s">
        <v>241</v>
      </c>
      <c r="C290">
        <v>6</v>
      </c>
    </row>
    <row r="291" spans="1:3">
      <c r="A291" t="s">
        <v>175</v>
      </c>
      <c r="B291" t="s">
        <v>242</v>
      </c>
      <c r="C291">
        <v>4</v>
      </c>
    </row>
    <row r="292" spans="1:3">
      <c r="A292" t="s">
        <v>175</v>
      </c>
      <c r="B292" t="s">
        <v>248</v>
      </c>
      <c r="C292">
        <v>1</v>
      </c>
    </row>
    <row r="293" spans="1:3">
      <c r="A293" t="s">
        <v>175</v>
      </c>
      <c r="B293" t="s">
        <v>252</v>
      </c>
      <c r="C293">
        <v>1</v>
      </c>
    </row>
    <row r="294" spans="1:3">
      <c r="A294" t="s">
        <v>175</v>
      </c>
      <c r="B294" t="s">
        <v>239</v>
      </c>
      <c r="C294">
        <v>1</v>
      </c>
    </row>
    <row r="295" spans="1:3">
      <c r="A295" t="s">
        <v>175</v>
      </c>
      <c r="B295" t="s">
        <v>246</v>
      </c>
      <c r="C295">
        <v>1</v>
      </c>
    </row>
    <row r="296" spans="1:3">
      <c r="A296" t="s">
        <v>175</v>
      </c>
      <c r="B296" t="s">
        <v>238</v>
      </c>
      <c r="C296">
        <v>1</v>
      </c>
    </row>
    <row r="297" spans="1:3">
      <c r="A297" t="s">
        <v>74</v>
      </c>
      <c r="B297" t="s">
        <v>241</v>
      </c>
      <c r="C297">
        <v>23</v>
      </c>
    </row>
    <row r="298" spans="1:3">
      <c r="A298" t="s">
        <v>74</v>
      </c>
      <c r="B298" t="s">
        <v>239</v>
      </c>
      <c r="C298">
        <v>7</v>
      </c>
    </row>
    <row r="299" spans="1:3">
      <c r="A299" t="s">
        <v>74</v>
      </c>
      <c r="B299" t="s">
        <v>243</v>
      </c>
      <c r="C299">
        <v>4</v>
      </c>
    </row>
    <row r="300" spans="1:3">
      <c r="A300" t="s">
        <v>74</v>
      </c>
      <c r="B300" t="s">
        <v>242</v>
      </c>
      <c r="C300">
        <v>3</v>
      </c>
    </row>
    <row r="301" spans="1:3">
      <c r="A301" t="s">
        <v>74</v>
      </c>
      <c r="B301" t="s">
        <v>245</v>
      </c>
      <c r="C301">
        <v>1</v>
      </c>
    </row>
    <row r="302" spans="1:3">
      <c r="A302" t="s">
        <v>74</v>
      </c>
      <c r="B302" t="s">
        <v>244</v>
      </c>
      <c r="C302">
        <v>1</v>
      </c>
    </row>
    <row r="303" spans="1:3">
      <c r="A303" t="s">
        <v>74</v>
      </c>
      <c r="B303" t="s">
        <v>251</v>
      </c>
      <c r="C303">
        <v>1</v>
      </c>
    </row>
    <row r="304" spans="1:3">
      <c r="A304" t="s">
        <v>121</v>
      </c>
      <c r="B304" t="s">
        <v>243</v>
      </c>
      <c r="C304">
        <v>3</v>
      </c>
    </row>
    <row r="305" spans="1:3">
      <c r="A305" t="s">
        <v>121</v>
      </c>
      <c r="B305" t="s">
        <v>241</v>
      </c>
      <c r="C305">
        <v>2</v>
      </c>
    </row>
    <row r="306" spans="1:3">
      <c r="A306" t="s">
        <v>121</v>
      </c>
      <c r="B306" t="s">
        <v>249</v>
      </c>
      <c r="C306">
        <v>1</v>
      </c>
    </row>
    <row r="307" spans="1:3">
      <c r="A307" t="s">
        <v>121</v>
      </c>
      <c r="B307" t="s">
        <v>238</v>
      </c>
      <c r="C307">
        <v>1</v>
      </c>
    </row>
    <row r="308" spans="1:3">
      <c r="A308" t="s">
        <v>75</v>
      </c>
      <c r="B308" t="s">
        <v>241</v>
      </c>
      <c r="C308">
        <v>20</v>
      </c>
    </row>
    <row r="309" spans="1:3">
      <c r="A309" t="s">
        <v>75</v>
      </c>
      <c r="B309" t="s">
        <v>242</v>
      </c>
      <c r="C309">
        <v>18</v>
      </c>
    </row>
    <row r="310" spans="1:3">
      <c r="A310" t="s">
        <v>75</v>
      </c>
      <c r="B310" t="s">
        <v>240</v>
      </c>
      <c r="C310">
        <v>10</v>
      </c>
    </row>
    <row r="311" spans="1:3">
      <c r="A311" t="s">
        <v>75</v>
      </c>
      <c r="B311" t="s">
        <v>243</v>
      </c>
      <c r="C311">
        <v>9</v>
      </c>
    </row>
    <row r="312" spans="1:3">
      <c r="A312" t="s">
        <v>75</v>
      </c>
      <c r="B312" t="s">
        <v>238</v>
      </c>
      <c r="C312">
        <v>5</v>
      </c>
    </row>
    <row r="313" spans="1:3">
      <c r="A313" t="s">
        <v>75</v>
      </c>
      <c r="B313" t="s">
        <v>239</v>
      </c>
      <c r="C313">
        <v>5</v>
      </c>
    </row>
    <row r="314" spans="1:3">
      <c r="A314" t="s">
        <v>75</v>
      </c>
      <c r="B314" t="s">
        <v>244</v>
      </c>
      <c r="C314">
        <v>2</v>
      </c>
    </row>
    <row r="315" spans="1:3">
      <c r="A315" t="s">
        <v>75</v>
      </c>
      <c r="B315" t="s">
        <v>245</v>
      </c>
      <c r="C315">
        <v>1</v>
      </c>
    </row>
    <row r="316" spans="1:3">
      <c r="A316" t="s">
        <v>76</v>
      </c>
      <c r="B316" t="s">
        <v>250</v>
      </c>
      <c r="C316">
        <v>25</v>
      </c>
    </row>
    <row r="317" spans="1:3">
      <c r="A317" t="s">
        <v>76</v>
      </c>
      <c r="B317" t="s">
        <v>241</v>
      </c>
      <c r="C317">
        <v>9</v>
      </c>
    </row>
    <row r="318" spans="1:3">
      <c r="A318" t="s">
        <v>76</v>
      </c>
      <c r="B318" t="s">
        <v>243</v>
      </c>
      <c r="C318">
        <v>9</v>
      </c>
    </row>
    <row r="319" spans="1:3">
      <c r="A319" t="s">
        <v>76</v>
      </c>
      <c r="B319" t="s">
        <v>240</v>
      </c>
      <c r="C319">
        <v>3</v>
      </c>
    </row>
    <row r="320" spans="1:3">
      <c r="A320" t="s">
        <v>76</v>
      </c>
      <c r="B320" t="s">
        <v>239</v>
      </c>
      <c r="C320">
        <v>2</v>
      </c>
    </row>
    <row r="321" spans="1:3">
      <c r="A321" t="s">
        <v>76</v>
      </c>
      <c r="B321" t="s">
        <v>249</v>
      </c>
      <c r="C321">
        <v>1</v>
      </c>
    </row>
    <row r="322" spans="1:3">
      <c r="A322" t="s">
        <v>200</v>
      </c>
      <c r="B322" t="s">
        <v>241</v>
      </c>
      <c r="C322">
        <v>4</v>
      </c>
    </row>
    <row r="323" spans="1:3">
      <c r="A323" t="s">
        <v>200</v>
      </c>
      <c r="B323" t="s">
        <v>242</v>
      </c>
      <c r="C323">
        <v>1</v>
      </c>
    </row>
    <row r="324" spans="1:3">
      <c r="A324" t="s">
        <v>200</v>
      </c>
      <c r="B324" t="s">
        <v>244</v>
      </c>
      <c r="C324">
        <v>1</v>
      </c>
    </row>
    <row r="325" spans="1:3">
      <c r="A325" t="s">
        <v>200</v>
      </c>
      <c r="B325" t="s">
        <v>238</v>
      </c>
      <c r="C325">
        <v>1</v>
      </c>
    </row>
    <row r="326" spans="1:3">
      <c r="A326" t="s">
        <v>13</v>
      </c>
      <c r="B326" t="s">
        <v>239</v>
      </c>
      <c r="C326">
        <v>112</v>
      </c>
    </row>
    <row r="327" spans="1:3">
      <c r="A327" t="s">
        <v>13</v>
      </c>
      <c r="B327" t="s">
        <v>241</v>
      </c>
      <c r="C327">
        <v>64</v>
      </c>
    </row>
    <row r="328" spans="1:3">
      <c r="A328" t="s">
        <v>13</v>
      </c>
      <c r="B328" t="s">
        <v>250</v>
      </c>
      <c r="C328">
        <v>55</v>
      </c>
    </row>
    <row r="329" spans="1:3">
      <c r="A329" t="s">
        <v>13</v>
      </c>
      <c r="B329" t="s">
        <v>240</v>
      </c>
      <c r="C329">
        <v>36</v>
      </c>
    </row>
    <row r="330" spans="1:3">
      <c r="A330" t="s">
        <v>13</v>
      </c>
      <c r="B330" t="s">
        <v>243</v>
      </c>
      <c r="C330">
        <v>24</v>
      </c>
    </row>
    <row r="331" spans="1:3">
      <c r="A331" t="s">
        <v>13</v>
      </c>
      <c r="B331" t="s">
        <v>242</v>
      </c>
      <c r="C331">
        <v>10</v>
      </c>
    </row>
    <row r="332" spans="1:3">
      <c r="A332" t="s">
        <v>13</v>
      </c>
      <c r="B332" t="s">
        <v>249</v>
      </c>
      <c r="C332">
        <v>9</v>
      </c>
    </row>
    <row r="333" spans="1:3">
      <c r="A333" t="s">
        <v>13</v>
      </c>
      <c r="B333" t="s">
        <v>246</v>
      </c>
      <c r="C333">
        <v>7</v>
      </c>
    </row>
    <row r="334" spans="1:3">
      <c r="A334" t="s">
        <v>13</v>
      </c>
      <c r="B334" t="s">
        <v>238</v>
      </c>
      <c r="C334">
        <v>7</v>
      </c>
    </row>
    <row r="335" spans="1:3">
      <c r="A335" t="s">
        <v>13</v>
      </c>
      <c r="B335" t="s">
        <v>251</v>
      </c>
      <c r="C335">
        <v>7</v>
      </c>
    </row>
    <row r="336" spans="1:3">
      <c r="A336" t="s">
        <v>13</v>
      </c>
      <c r="B336" t="s">
        <v>245</v>
      </c>
      <c r="C336">
        <v>1</v>
      </c>
    </row>
    <row r="337" spans="1:3">
      <c r="A337" t="s">
        <v>13</v>
      </c>
      <c r="B337" t="s">
        <v>244</v>
      </c>
      <c r="C337">
        <v>1</v>
      </c>
    </row>
    <row r="338" spans="1:3">
      <c r="A338" t="s">
        <v>14</v>
      </c>
      <c r="B338" t="s">
        <v>241</v>
      </c>
      <c r="C338">
        <v>10</v>
      </c>
    </row>
    <row r="339" spans="1:3">
      <c r="A339" t="s">
        <v>14</v>
      </c>
      <c r="B339" t="s">
        <v>242</v>
      </c>
      <c r="C339">
        <v>5</v>
      </c>
    </row>
    <row r="340" spans="1:3">
      <c r="A340" t="s">
        <v>14</v>
      </c>
      <c r="B340" t="s">
        <v>243</v>
      </c>
      <c r="C340">
        <v>3</v>
      </c>
    </row>
    <row r="341" spans="1:3">
      <c r="A341" t="s">
        <v>14</v>
      </c>
      <c r="B341" t="s">
        <v>244</v>
      </c>
      <c r="C341">
        <v>1</v>
      </c>
    </row>
    <row r="342" spans="1:3">
      <c r="A342" t="s">
        <v>14</v>
      </c>
      <c r="B342" t="s">
        <v>238</v>
      </c>
      <c r="C342">
        <v>1</v>
      </c>
    </row>
    <row r="343" spans="1:3">
      <c r="A343" t="s">
        <v>14</v>
      </c>
      <c r="B343" t="s">
        <v>240</v>
      </c>
      <c r="C343">
        <v>1</v>
      </c>
    </row>
    <row r="344" spans="1:3">
      <c r="A344" t="s">
        <v>201</v>
      </c>
      <c r="B344" t="s">
        <v>241</v>
      </c>
      <c r="C344">
        <v>57</v>
      </c>
    </row>
    <row r="345" spans="1:3">
      <c r="A345" t="s">
        <v>201</v>
      </c>
      <c r="B345" t="s">
        <v>242</v>
      </c>
      <c r="C345">
        <v>23</v>
      </c>
    </row>
    <row r="346" spans="1:3">
      <c r="A346" t="s">
        <v>201</v>
      </c>
      <c r="B346" t="s">
        <v>250</v>
      </c>
      <c r="C346">
        <v>15</v>
      </c>
    </row>
    <row r="347" spans="1:3">
      <c r="A347" t="s">
        <v>201</v>
      </c>
      <c r="B347" t="s">
        <v>243</v>
      </c>
      <c r="C347">
        <v>11</v>
      </c>
    </row>
    <row r="348" spans="1:3">
      <c r="A348" t="s">
        <v>201</v>
      </c>
      <c r="B348" t="s">
        <v>249</v>
      </c>
      <c r="C348">
        <v>8</v>
      </c>
    </row>
    <row r="349" spans="1:3">
      <c r="A349" t="s">
        <v>201</v>
      </c>
      <c r="B349" t="s">
        <v>240</v>
      </c>
      <c r="C349">
        <v>7</v>
      </c>
    </row>
    <row r="350" spans="1:3">
      <c r="A350" t="s">
        <v>201</v>
      </c>
      <c r="B350" t="s">
        <v>252</v>
      </c>
      <c r="C350">
        <v>6</v>
      </c>
    </row>
    <row r="351" spans="1:3">
      <c r="A351" t="s">
        <v>201</v>
      </c>
      <c r="B351" t="s">
        <v>239</v>
      </c>
      <c r="C351">
        <v>3</v>
      </c>
    </row>
    <row r="352" spans="1:3">
      <c r="A352" t="s">
        <v>201</v>
      </c>
      <c r="B352" t="s">
        <v>248</v>
      </c>
      <c r="C352">
        <v>3</v>
      </c>
    </row>
    <row r="353" spans="1:3">
      <c r="A353" t="s">
        <v>201</v>
      </c>
      <c r="B353" t="s">
        <v>238</v>
      </c>
      <c r="C353">
        <v>2</v>
      </c>
    </row>
    <row r="354" spans="1:3">
      <c r="A354" t="s">
        <v>201</v>
      </c>
      <c r="B354" t="s">
        <v>246</v>
      </c>
      <c r="C354">
        <v>1</v>
      </c>
    </row>
    <row r="355" spans="1:3">
      <c r="A355" t="s">
        <v>201</v>
      </c>
      <c r="B355" t="s">
        <v>244</v>
      </c>
      <c r="C355">
        <v>1</v>
      </c>
    </row>
    <row r="356" spans="1:3">
      <c r="A356" t="s">
        <v>201</v>
      </c>
      <c r="B356" t="s">
        <v>251</v>
      </c>
      <c r="C356">
        <v>1</v>
      </c>
    </row>
    <row r="357" spans="1:3">
      <c r="A357" t="s">
        <v>122</v>
      </c>
      <c r="B357" t="s">
        <v>242</v>
      </c>
      <c r="C357">
        <v>8</v>
      </c>
    </row>
    <row r="358" spans="1:3">
      <c r="A358" t="s">
        <v>122</v>
      </c>
      <c r="B358" t="s">
        <v>241</v>
      </c>
      <c r="C358">
        <v>3</v>
      </c>
    </row>
    <row r="359" spans="1:3">
      <c r="A359" t="s">
        <v>122</v>
      </c>
      <c r="B359" t="s">
        <v>249</v>
      </c>
      <c r="C359">
        <v>2</v>
      </c>
    </row>
    <row r="360" spans="1:3">
      <c r="A360" t="s">
        <v>122</v>
      </c>
      <c r="B360" t="s">
        <v>244</v>
      </c>
      <c r="C360">
        <v>1</v>
      </c>
    </row>
    <row r="361" spans="1:3">
      <c r="A361" t="s">
        <v>122</v>
      </c>
      <c r="B361" t="s">
        <v>247</v>
      </c>
      <c r="C361">
        <v>1</v>
      </c>
    </row>
    <row r="362" spans="1:3">
      <c r="A362" t="s">
        <v>122</v>
      </c>
      <c r="B362" t="s">
        <v>240</v>
      </c>
      <c r="C362">
        <v>1</v>
      </c>
    </row>
    <row r="363" spans="1:3">
      <c r="A363" t="s">
        <v>122</v>
      </c>
      <c r="B363" t="s">
        <v>243</v>
      </c>
      <c r="C363">
        <v>1</v>
      </c>
    </row>
    <row r="364" spans="1:3">
      <c r="A364" t="s">
        <v>122</v>
      </c>
      <c r="B364" t="s">
        <v>239</v>
      </c>
      <c r="C364">
        <v>1</v>
      </c>
    </row>
    <row r="365" spans="1:3">
      <c r="A365" t="s">
        <v>77</v>
      </c>
      <c r="B365" t="s">
        <v>241</v>
      </c>
      <c r="C365">
        <v>5</v>
      </c>
    </row>
    <row r="366" spans="1:3">
      <c r="A366" t="s">
        <v>77</v>
      </c>
      <c r="B366" t="s">
        <v>242</v>
      </c>
      <c r="C366">
        <v>2</v>
      </c>
    </row>
    <row r="367" spans="1:3">
      <c r="A367" t="s">
        <v>77</v>
      </c>
      <c r="B367" t="s">
        <v>243</v>
      </c>
      <c r="C367">
        <v>1</v>
      </c>
    </row>
    <row r="368" spans="1:3">
      <c r="A368" t="s">
        <v>77</v>
      </c>
      <c r="B368" t="s">
        <v>240</v>
      </c>
      <c r="C368">
        <v>1</v>
      </c>
    </row>
    <row r="369" spans="1:3">
      <c r="A369" t="s">
        <v>77</v>
      </c>
      <c r="B369" t="s">
        <v>238</v>
      </c>
      <c r="C369">
        <v>1</v>
      </c>
    </row>
    <row r="370" spans="1:3">
      <c r="A370" t="s">
        <v>123</v>
      </c>
      <c r="B370" t="s">
        <v>241</v>
      </c>
      <c r="C370">
        <v>1</v>
      </c>
    </row>
    <row r="371" spans="1:3">
      <c r="A371" t="s">
        <v>124</v>
      </c>
      <c r="B371" t="s">
        <v>242</v>
      </c>
      <c r="C371">
        <v>2</v>
      </c>
    </row>
    <row r="372" spans="1:3">
      <c r="A372" t="s">
        <v>124</v>
      </c>
      <c r="B372" t="s">
        <v>244</v>
      </c>
      <c r="C372">
        <v>1</v>
      </c>
    </row>
    <row r="373" spans="1:3">
      <c r="A373" t="s">
        <v>124</v>
      </c>
      <c r="B373" t="s">
        <v>243</v>
      </c>
      <c r="C373">
        <v>1</v>
      </c>
    </row>
    <row r="374" spans="1:3">
      <c r="A374" t="s">
        <v>176</v>
      </c>
      <c r="B374" t="s">
        <v>241</v>
      </c>
      <c r="C374">
        <v>2</v>
      </c>
    </row>
    <row r="375" spans="1:3">
      <c r="A375" t="s">
        <v>176</v>
      </c>
      <c r="B375" t="s">
        <v>240</v>
      </c>
      <c r="C375">
        <v>1</v>
      </c>
    </row>
    <row r="376" spans="1:3">
      <c r="A376" t="s">
        <v>176</v>
      </c>
      <c r="B376" t="s">
        <v>238</v>
      </c>
      <c r="C376">
        <v>1</v>
      </c>
    </row>
    <row r="377" spans="1:3">
      <c r="A377" t="s">
        <v>177</v>
      </c>
      <c r="B377" t="s">
        <v>241</v>
      </c>
      <c r="C377">
        <v>2</v>
      </c>
    </row>
    <row r="378" spans="1:3">
      <c r="A378" t="s">
        <v>177</v>
      </c>
      <c r="B378" t="s">
        <v>242</v>
      </c>
      <c r="C378">
        <v>1</v>
      </c>
    </row>
    <row r="379" spans="1:3">
      <c r="A379" t="s">
        <v>177</v>
      </c>
      <c r="B379" t="s">
        <v>240</v>
      </c>
      <c r="C379">
        <v>1</v>
      </c>
    </row>
    <row r="380" spans="1:3">
      <c r="A380" t="s">
        <v>177</v>
      </c>
      <c r="B380" t="s">
        <v>243</v>
      </c>
      <c r="C380">
        <v>1</v>
      </c>
    </row>
    <row r="381" spans="1:3">
      <c r="A381" t="s">
        <v>177</v>
      </c>
      <c r="B381" t="s">
        <v>244</v>
      </c>
      <c r="C381">
        <v>1</v>
      </c>
    </row>
    <row r="382" spans="1:3">
      <c r="A382" t="s">
        <v>15</v>
      </c>
      <c r="B382" t="s">
        <v>242</v>
      </c>
      <c r="C382">
        <v>7</v>
      </c>
    </row>
    <row r="383" spans="1:3">
      <c r="A383" t="s">
        <v>15</v>
      </c>
      <c r="B383" t="s">
        <v>241</v>
      </c>
      <c r="C383">
        <v>6</v>
      </c>
    </row>
    <row r="384" spans="1:3">
      <c r="A384" t="s">
        <v>15</v>
      </c>
      <c r="B384" t="s">
        <v>240</v>
      </c>
      <c r="C384">
        <v>3</v>
      </c>
    </row>
    <row r="385" spans="1:3">
      <c r="A385" t="s">
        <v>15</v>
      </c>
      <c r="B385" t="s">
        <v>238</v>
      </c>
      <c r="C385">
        <v>3</v>
      </c>
    </row>
    <row r="386" spans="1:3">
      <c r="A386" t="s">
        <v>15</v>
      </c>
      <c r="B386" t="s">
        <v>244</v>
      </c>
      <c r="C386">
        <v>1</v>
      </c>
    </row>
    <row r="387" spans="1:3">
      <c r="A387" t="s">
        <v>202</v>
      </c>
      <c r="B387" t="s">
        <v>242</v>
      </c>
      <c r="C387">
        <v>1</v>
      </c>
    </row>
    <row r="388" spans="1:3">
      <c r="A388" t="s">
        <v>202</v>
      </c>
      <c r="B388" t="s">
        <v>238</v>
      </c>
      <c r="C388">
        <v>1</v>
      </c>
    </row>
    <row r="389" spans="1:3">
      <c r="A389" t="s">
        <v>16</v>
      </c>
      <c r="B389" t="s">
        <v>242</v>
      </c>
      <c r="C389">
        <v>2</v>
      </c>
    </row>
    <row r="390" spans="1:3">
      <c r="A390" t="s">
        <v>16</v>
      </c>
      <c r="B390" t="s">
        <v>240</v>
      </c>
      <c r="C390">
        <v>1</v>
      </c>
    </row>
    <row r="391" spans="1:3">
      <c r="A391" t="s">
        <v>16</v>
      </c>
      <c r="B391" t="s">
        <v>239</v>
      </c>
      <c r="C391">
        <v>1</v>
      </c>
    </row>
    <row r="392" spans="1:3">
      <c r="A392" t="s">
        <v>17</v>
      </c>
      <c r="B392" t="s">
        <v>242</v>
      </c>
      <c r="C392">
        <v>3</v>
      </c>
    </row>
    <row r="393" spans="1:3">
      <c r="A393" t="s">
        <v>17</v>
      </c>
      <c r="B393" t="s">
        <v>238</v>
      </c>
      <c r="C393">
        <v>3</v>
      </c>
    </row>
    <row r="394" spans="1:3">
      <c r="A394" t="s">
        <v>17</v>
      </c>
      <c r="B394" t="s">
        <v>241</v>
      </c>
      <c r="C394">
        <v>3</v>
      </c>
    </row>
    <row r="395" spans="1:3">
      <c r="A395" t="s">
        <v>17</v>
      </c>
      <c r="B395" t="s">
        <v>239</v>
      </c>
      <c r="C395">
        <v>2</v>
      </c>
    </row>
    <row r="396" spans="1:3">
      <c r="A396" t="s">
        <v>17</v>
      </c>
      <c r="B396" t="s">
        <v>243</v>
      </c>
      <c r="C396">
        <v>2</v>
      </c>
    </row>
    <row r="397" spans="1:3">
      <c r="A397" t="s">
        <v>17</v>
      </c>
      <c r="B397" t="s">
        <v>246</v>
      </c>
      <c r="C397">
        <v>1</v>
      </c>
    </row>
    <row r="398" spans="1:3">
      <c r="A398" t="s">
        <v>17</v>
      </c>
      <c r="B398" t="s">
        <v>240</v>
      </c>
      <c r="C398">
        <v>1</v>
      </c>
    </row>
    <row r="399" spans="1:3">
      <c r="A399" t="s">
        <v>17</v>
      </c>
      <c r="B399" t="s">
        <v>249</v>
      </c>
      <c r="C399">
        <v>1</v>
      </c>
    </row>
    <row r="400" spans="1:3">
      <c r="A400" t="s">
        <v>18</v>
      </c>
      <c r="B400" t="s">
        <v>241</v>
      </c>
      <c r="C400">
        <v>4</v>
      </c>
    </row>
    <row r="401" spans="1:3">
      <c r="A401" t="s">
        <v>18</v>
      </c>
      <c r="B401" t="s">
        <v>243</v>
      </c>
      <c r="C401">
        <v>4</v>
      </c>
    </row>
    <row r="402" spans="1:3">
      <c r="A402" t="s">
        <v>18</v>
      </c>
      <c r="B402" t="s">
        <v>242</v>
      </c>
      <c r="C402">
        <v>2</v>
      </c>
    </row>
    <row r="403" spans="1:3">
      <c r="A403" t="s">
        <v>18</v>
      </c>
      <c r="B403" t="s">
        <v>240</v>
      </c>
      <c r="C403">
        <v>1</v>
      </c>
    </row>
    <row r="404" spans="1:3">
      <c r="A404" t="s">
        <v>18</v>
      </c>
      <c r="B404" t="s">
        <v>244</v>
      </c>
      <c r="C404">
        <v>1</v>
      </c>
    </row>
    <row r="405" spans="1:3">
      <c r="A405" t="s">
        <v>18</v>
      </c>
      <c r="B405" t="s">
        <v>247</v>
      </c>
      <c r="C405">
        <v>1</v>
      </c>
    </row>
    <row r="406" spans="1:3">
      <c r="A406" t="s">
        <v>19</v>
      </c>
      <c r="B406" t="s">
        <v>240</v>
      </c>
      <c r="C406">
        <v>82</v>
      </c>
    </row>
    <row r="407" spans="1:3">
      <c r="A407" t="s">
        <v>19</v>
      </c>
      <c r="B407" t="s">
        <v>239</v>
      </c>
      <c r="C407">
        <v>44</v>
      </c>
    </row>
    <row r="408" spans="1:3">
      <c r="A408" t="s">
        <v>19</v>
      </c>
      <c r="B408" t="s">
        <v>250</v>
      </c>
      <c r="C408">
        <v>38</v>
      </c>
    </row>
    <row r="409" spans="1:3">
      <c r="A409" t="s">
        <v>19</v>
      </c>
      <c r="B409" t="s">
        <v>248</v>
      </c>
      <c r="C409">
        <v>8</v>
      </c>
    </row>
    <row r="410" spans="1:3">
      <c r="A410" t="s">
        <v>19</v>
      </c>
      <c r="B410" t="s">
        <v>243</v>
      </c>
      <c r="C410">
        <v>4</v>
      </c>
    </row>
    <row r="411" spans="1:3">
      <c r="A411" t="s">
        <v>19</v>
      </c>
      <c r="B411" t="s">
        <v>249</v>
      </c>
      <c r="C411">
        <v>1</v>
      </c>
    </row>
    <row r="412" spans="1:3">
      <c r="A412" t="s">
        <v>19</v>
      </c>
      <c r="B412" t="s">
        <v>241</v>
      </c>
      <c r="C412">
        <v>1</v>
      </c>
    </row>
    <row r="413" spans="1:3">
      <c r="A413" t="s">
        <v>125</v>
      </c>
      <c r="B413" t="s">
        <v>242</v>
      </c>
      <c r="C413">
        <v>3</v>
      </c>
    </row>
    <row r="414" spans="1:3">
      <c r="A414" t="s">
        <v>125</v>
      </c>
      <c r="B414" t="s">
        <v>243</v>
      </c>
      <c r="C414">
        <v>2</v>
      </c>
    </row>
    <row r="415" spans="1:3">
      <c r="A415" t="s">
        <v>78</v>
      </c>
      <c r="B415" t="s">
        <v>239</v>
      </c>
      <c r="C415">
        <v>4</v>
      </c>
    </row>
    <row r="416" spans="1:3">
      <c r="A416" t="s">
        <v>78</v>
      </c>
      <c r="B416" t="s">
        <v>240</v>
      </c>
      <c r="C416">
        <v>4</v>
      </c>
    </row>
    <row r="417" spans="1:3">
      <c r="A417" t="s">
        <v>78</v>
      </c>
      <c r="B417" t="s">
        <v>241</v>
      </c>
      <c r="C417">
        <v>3</v>
      </c>
    </row>
    <row r="418" spans="1:3">
      <c r="A418" t="s">
        <v>78</v>
      </c>
      <c r="B418" t="s">
        <v>242</v>
      </c>
      <c r="C418">
        <v>2</v>
      </c>
    </row>
    <row r="419" spans="1:3">
      <c r="A419" t="s">
        <v>78</v>
      </c>
      <c r="B419" t="s">
        <v>246</v>
      </c>
      <c r="C419">
        <v>1</v>
      </c>
    </row>
    <row r="420" spans="1:3">
      <c r="A420" t="s">
        <v>78</v>
      </c>
      <c r="B420" t="s">
        <v>244</v>
      </c>
      <c r="C420">
        <v>1</v>
      </c>
    </row>
    <row r="421" spans="1:3">
      <c r="A421" t="s">
        <v>78</v>
      </c>
      <c r="B421" t="s">
        <v>238</v>
      </c>
      <c r="C421">
        <v>1</v>
      </c>
    </row>
    <row r="422" spans="1:3">
      <c r="A422" t="s">
        <v>20</v>
      </c>
      <c r="B422" t="s">
        <v>241</v>
      </c>
      <c r="C422">
        <v>12</v>
      </c>
    </row>
    <row r="423" spans="1:3">
      <c r="A423" t="s">
        <v>20</v>
      </c>
      <c r="B423" t="s">
        <v>239</v>
      </c>
      <c r="C423">
        <v>8</v>
      </c>
    </row>
    <row r="424" spans="1:3">
      <c r="A424" t="s">
        <v>20</v>
      </c>
      <c r="B424" t="s">
        <v>243</v>
      </c>
      <c r="C424">
        <v>6</v>
      </c>
    </row>
    <row r="425" spans="1:3">
      <c r="A425" t="s">
        <v>20</v>
      </c>
      <c r="B425" t="s">
        <v>240</v>
      </c>
      <c r="C425">
        <v>1</v>
      </c>
    </row>
    <row r="426" spans="1:3">
      <c r="A426" t="s">
        <v>20</v>
      </c>
      <c r="B426" t="s">
        <v>244</v>
      </c>
      <c r="C426">
        <v>1</v>
      </c>
    </row>
    <row r="427" spans="1:3">
      <c r="A427" t="s">
        <v>178</v>
      </c>
      <c r="B427" t="s">
        <v>250</v>
      </c>
      <c r="C427">
        <v>62</v>
      </c>
    </row>
    <row r="428" spans="1:3">
      <c r="A428" t="s">
        <v>178</v>
      </c>
      <c r="B428" t="s">
        <v>241</v>
      </c>
      <c r="C428">
        <v>36</v>
      </c>
    </row>
    <row r="429" spans="1:3">
      <c r="A429" t="s">
        <v>178</v>
      </c>
      <c r="B429" t="s">
        <v>240</v>
      </c>
      <c r="C429">
        <v>21</v>
      </c>
    </row>
    <row r="430" spans="1:3">
      <c r="A430" t="s">
        <v>178</v>
      </c>
      <c r="B430" t="s">
        <v>243</v>
      </c>
      <c r="C430">
        <v>9</v>
      </c>
    </row>
    <row r="431" spans="1:3">
      <c r="A431" t="s">
        <v>178</v>
      </c>
      <c r="B431" t="s">
        <v>248</v>
      </c>
      <c r="C431">
        <v>6</v>
      </c>
    </row>
    <row r="432" spans="1:3">
      <c r="A432" t="s">
        <v>178</v>
      </c>
      <c r="B432" t="s">
        <v>239</v>
      </c>
      <c r="C432">
        <v>2</v>
      </c>
    </row>
    <row r="433" spans="1:3">
      <c r="A433" t="s">
        <v>178</v>
      </c>
      <c r="B433" t="s">
        <v>246</v>
      </c>
      <c r="C433">
        <v>1</v>
      </c>
    </row>
    <row r="434" spans="1:3">
      <c r="A434" t="s">
        <v>178</v>
      </c>
      <c r="B434" t="s">
        <v>238</v>
      </c>
      <c r="C434">
        <v>1</v>
      </c>
    </row>
    <row r="435" spans="1:3">
      <c r="A435" t="s">
        <v>178</v>
      </c>
      <c r="B435" t="s">
        <v>244</v>
      </c>
      <c r="C435">
        <v>1</v>
      </c>
    </row>
    <row r="436" spans="1:3">
      <c r="A436" t="s">
        <v>178</v>
      </c>
      <c r="B436" t="s">
        <v>249</v>
      </c>
      <c r="C436">
        <v>1</v>
      </c>
    </row>
    <row r="437" spans="1:3">
      <c r="A437" t="s">
        <v>178</v>
      </c>
      <c r="B437" t="s">
        <v>242</v>
      </c>
      <c r="C437">
        <v>1</v>
      </c>
    </row>
    <row r="438" spans="1:3">
      <c r="A438" t="s">
        <v>178</v>
      </c>
      <c r="B438" t="s">
        <v>251</v>
      </c>
      <c r="C438">
        <v>1</v>
      </c>
    </row>
    <row r="439" spans="1:3">
      <c r="A439" t="s">
        <v>203</v>
      </c>
      <c r="B439" t="s">
        <v>241</v>
      </c>
      <c r="C439">
        <v>2</v>
      </c>
    </row>
    <row r="440" spans="1:3">
      <c r="A440" t="s">
        <v>203</v>
      </c>
      <c r="B440" t="s">
        <v>238</v>
      </c>
      <c r="C440">
        <v>1</v>
      </c>
    </row>
    <row r="441" spans="1:3">
      <c r="A441" t="s">
        <v>203</v>
      </c>
      <c r="B441" t="s">
        <v>242</v>
      </c>
      <c r="C441">
        <v>1</v>
      </c>
    </row>
    <row r="442" spans="1:3">
      <c r="A442" t="s">
        <v>126</v>
      </c>
      <c r="B442" t="s">
        <v>239</v>
      </c>
      <c r="C442">
        <v>20</v>
      </c>
    </row>
    <row r="443" spans="1:3">
      <c r="A443" t="s">
        <v>126</v>
      </c>
      <c r="B443" t="s">
        <v>242</v>
      </c>
      <c r="C443">
        <v>5</v>
      </c>
    </row>
    <row r="444" spans="1:3">
      <c r="A444" t="s">
        <v>126</v>
      </c>
      <c r="B444" t="s">
        <v>241</v>
      </c>
      <c r="C444">
        <v>3</v>
      </c>
    </row>
    <row r="445" spans="1:3">
      <c r="A445" t="s">
        <v>126</v>
      </c>
      <c r="B445" t="s">
        <v>243</v>
      </c>
      <c r="C445">
        <v>2</v>
      </c>
    </row>
    <row r="446" spans="1:3">
      <c r="A446" t="s">
        <v>126</v>
      </c>
      <c r="B446" t="s">
        <v>238</v>
      </c>
      <c r="C446">
        <v>2</v>
      </c>
    </row>
    <row r="447" spans="1:3">
      <c r="A447" t="s">
        <v>21</v>
      </c>
      <c r="B447" t="s">
        <v>242</v>
      </c>
      <c r="C447">
        <v>5</v>
      </c>
    </row>
    <row r="448" spans="1:3">
      <c r="A448" t="s">
        <v>21</v>
      </c>
      <c r="B448" t="s">
        <v>238</v>
      </c>
      <c r="C448">
        <v>1</v>
      </c>
    </row>
    <row r="449" spans="1:3">
      <c r="A449" t="s">
        <v>79</v>
      </c>
      <c r="B449" t="s">
        <v>241</v>
      </c>
      <c r="C449">
        <v>21</v>
      </c>
    </row>
    <row r="450" spans="1:3">
      <c r="A450" t="s">
        <v>79</v>
      </c>
      <c r="B450" t="s">
        <v>243</v>
      </c>
      <c r="C450">
        <v>7</v>
      </c>
    </row>
    <row r="451" spans="1:3">
      <c r="A451" t="s">
        <v>79</v>
      </c>
      <c r="B451" t="s">
        <v>240</v>
      </c>
      <c r="C451">
        <v>5</v>
      </c>
    </row>
    <row r="452" spans="1:3">
      <c r="A452" t="s">
        <v>79</v>
      </c>
      <c r="B452" t="s">
        <v>242</v>
      </c>
      <c r="C452">
        <v>3</v>
      </c>
    </row>
    <row r="453" spans="1:3">
      <c r="A453" t="s">
        <v>79</v>
      </c>
      <c r="B453" t="s">
        <v>238</v>
      </c>
      <c r="C453">
        <v>1</v>
      </c>
    </row>
    <row r="454" spans="1:3">
      <c r="A454" t="s">
        <v>204</v>
      </c>
      <c r="B454" t="s">
        <v>241</v>
      </c>
      <c r="C454">
        <v>11</v>
      </c>
    </row>
    <row r="455" spans="1:3">
      <c r="A455" t="s">
        <v>204</v>
      </c>
      <c r="B455" t="s">
        <v>242</v>
      </c>
      <c r="C455">
        <v>6</v>
      </c>
    </row>
    <row r="456" spans="1:3">
      <c r="A456" t="s">
        <v>204</v>
      </c>
      <c r="B456" t="s">
        <v>243</v>
      </c>
      <c r="C456">
        <v>4</v>
      </c>
    </row>
    <row r="457" spans="1:3">
      <c r="A457" t="s">
        <v>204</v>
      </c>
      <c r="B457" t="s">
        <v>239</v>
      </c>
      <c r="C457">
        <v>1</v>
      </c>
    </row>
    <row r="458" spans="1:3">
      <c r="A458" t="s">
        <v>80</v>
      </c>
      <c r="B458" t="s">
        <v>241</v>
      </c>
      <c r="C458">
        <v>20</v>
      </c>
    </row>
    <row r="459" spans="1:3">
      <c r="A459" t="s">
        <v>80</v>
      </c>
      <c r="B459" t="s">
        <v>240</v>
      </c>
      <c r="C459">
        <v>14</v>
      </c>
    </row>
    <row r="460" spans="1:3">
      <c r="A460" t="s">
        <v>80</v>
      </c>
      <c r="B460" t="s">
        <v>246</v>
      </c>
      <c r="C460">
        <v>12</v>
      </c>
    </row>
    <row r="461" spans="1:3">
      <c r="A461" t="s">
        <v>80</v>
      </c>
      <c r="B461" t="s">
        <v>243</v>
      </c>
      <c r="C461">
        <v>4</v>
      </c>
    </row>
    <row r="462" spans="1:3">
      <c r="A462" t="s">
        <v>80</v>
      </c>
      <c r="B462" t="s">
        <v>239</v>
      </c>
      <c r="C462">
        <v>2</v>
      </c>
    </row>
    <row r="463" spans="1:3">
      <c r="A463" t="s">
        <v>80</v>
      </c>
      <c r="B463" t="s">
        <v>238</v>
      </c>
      <c r="C463">
        <v>1</v>
      </c>
    </row>
    <row r="464" spans="1:3">
      <c r="A464" t="s">
        <v>80</v>
      </c>
      <c r="B464" t="s">
        <v>242</v>
      </c>
      <c r="C464">
        <v>1</v>
      </c>
    </row>
    <row r="465" spans="1:3">
      <c r="A465" t="s">
        <v>80</v>
      </c>
      <c r="B465" t="s">
        <v>244</v>
      </c>
      <c r="C465">
        <v>1</v>
      </c>
    </row>
    <row r="466" spans="1:3">
      <c r="A466" t="s">
        <v>127</v>
      </c>
      <c r="B466" t="s">
        <v>238</v>
      </c>
      <c r="C466">
        <v>5</v>
      </c>
    </row>
    <row r="467" spans="1:3">
      <c r="A467" t="s">
        <v>127</v>
      </c>
      <c r="B467" t="s">
        <v>241</v>
      </c>
      <c r="C467">
        <v>5</v>
      </c>
    </row>
    <row r="468" spans="1:3">
      <c r="A468" t="s">
        <v>127</v>
      </c>
      <c r="B468" t="s">
        <v>242</v>
      </c>
      <c r="C468">
        <v>4</v>
      </c>
    </row>
    <row r="469" spans="1:3">
      <c r="A469" t="s">
        <v>127</v>
      </c>
      <c r="B469" t="s">
        <v>239</v>
      </c>
      <c r="C469">
        <v>4</v>
      </c>
    </row>
    <row r="470" spans="1:3">
      <c r="A470" t="s">
        <v>127</v>
      </c>
      <c r="B470" t="s">
        <v>240</v>
      </c>
      <c r="C470">
        <v>1</v>
      </c>
    </row>
    <row r="471" spans="1:3">
      <c r="A471" t="s">
        <v>127</v>
      </c>
      <c r="B471" t="s">
        <v>243</v>
      </c>
      <c r="C471">
        <v>1</v>
      </c>
    </row>
    <row r="472" spans="1:3">
      <c r="A472" t="s">
        <v>22</v>
      </c>
      <c r="B472" t="s">
        <v>242</v>
      </c>
      <c r="C472">
        <v>1</v>
      </c>
    </row>
    <row r="473" spans="1:3">
      <c r="A473" t="s">
        <v>22</v>
      </c>
      <c r="B473" t="s">
        <v>246</v>
      </c>
      <c r="C473">
        <v>1</v>
      </c>
    </row>
    <row r="474" spans="1:3">
      <c r="A474" t="s">
        <v>128</v>
      </c>
      <c r="B474" t="s">
        <v>241</v>
      </c>
      <c r="C474">
        <v>26</v>
      </c>
    </row>
    <row r="475" spans="1:3">
      <c r="A475" t="s">
        <v>128</v>
      </c>
      <c r="B475" t="s">
        <v>240</v>
      </c>
      <c r="C475">
        <v>7</v>
      </c>
    </row>
    <row r="476" spans="1:3">
      <c r="A476" t="s">
        <v>128</v>
      </c>
      <c r="B476" t="s">
        <v>242</v>
      </c>
      <c r="C476">
        <v>6</v>
      </c>
    </row>
    <row r="477" spans="1:3">
      <c r="A477" t="s">
        <v>128</v>
      </c>
      <c r="B477" t="s">
        <v>243</v>
      </c>
      <c r="C477">
        <v>3</v>
      </c>
    </row>
    <row r="478" spans="1:3">
      <c r="A478" t="s">
        <v>128</v>
      </c>
      <c r="B478" t="s">
        <v>238</v>
      </c>
      <c r="C478">
        <v>3</v>
      </c>
    </row>
    <row r="479" spans="1:3">
      <c r="A479" t="s">
        <v>128</v>
      </c>
      <c r="B479" t="s">
        <v>246</v>
      </c>
      <c r="C479">
        <v>2</v>
      </c>
    </row>
    <row r="480" spans="1:3">
      <c r="A480" t="s">
        <v>128</v>
      </c>
      <c r="B480" t="s">
        <v>245</v>
      </c>
      <c r="C480">
        <v>2</v>
      </c>
    </row>
    <row r="481" spans="1:3">
      <c r="A481" t="s">
        <v>23</v>
      </c>
      <c r="B481" t="s">
        <v>242</v>
      </c>
      <c r="C481">
        <v>3</v>
      </c>
    </row>
    <row r="482" spans="1:3">
      <c r="A482" t="s">
        <v>23</v>
      </c>
      <c r="B482" t="s">
        <v>241</v>
      </c>
      <c r="C482">
        <v>2</v>
      </c>
    </row>
    <row r="483" spans="1:3">
      <c r="A483" t="s">
        <v>23</v>
      </c>
      <c r="B483" t="s">
        <v>240</v>
      </c>
      <c r="C483">
        <v>2</v>
      </c>
    </row>
    <row r="484" spans="1:3">
      <c r="A484" t="s">
        <v>23</v>
      </c>
      <c r="B484" t="s">
        <v>245</v>
      </c>
      <c r="C484">
        <v>1</v>
      </c>
    </row>
    <row r="485" spans="1:3">
      <c r="A485" t="s">
        <v>23</v>
      </c>
      <c r="B485" t="s">
        <v>243</v>
      </c>
      <c r="C485">
        <v>1</v>
      </c>
    </row>
    <row r="486" spans="1:3">
      <c r="A486" t="s">
        <v>205</v>
      </c>
      <c r="B486" t="s">
        <v>241</v>
      </c>
      <c r="C486">
        <v>2</v>
      </c>
    </row>
    <row r="487" spans="1:3">
      <c r="A487" t="s">
        <v>205</v>
      </c>
      <c r="B487" t="s">
        <v>240</v>
      </c>
      <c r="C487">
        <v>1</v>
      </c>
    </row>
    <row r="488" spans="1:3">
      <c r="A488" t="s">
        <v>81</v>
      </c>
      <c r="B488" t="s">
        <v>241</v>
      </c>
      <c r="C488">
        <v>3</v>
      </c>
    </row>
    <row r="489" spans="1:3">
      <c r="A489" t="s">
        <v>81</v>
      </c>
      <c r="B489" t="s">
        <v>242</v>
      </c>
      <c r="C489">
        <v>3</v>
      </c>
    </row>
    <row r="490" spans="1:3">
      <c r="A490" t="s">
        <v>81</v>
      </c>
      <c r="B490" t="s">
        <v>240</v>
      </c>
      <c r="C490">
        <v>3</v>
      </c>
    </row>
    <row r="491" spans="1:3">
      <c r="A491" t="s">
        <v>81</v>
      </c>
      <c r="B491" t="s">
        <v>243</v>
      </c>
      <c r="C491">
        <v>2</v>
      </c>
    </row>
    <row r="492" spans="1:3">
      <c r="A492" t="s">
        <v>179</v>
      </c>
      <c r="B492" t="s">
        <v>240</v>
      </c>
      <c r="C492">
        <v>1</v>
      </c>
    </row>
    <row r="493" spans="1:3">
      <c r="A493" t="s">
        <v>179</v>
      </c>
      <c r="B493" t="s">
        <v>241</v>
      </c>
      <c r="C493">
        <v>1</v>
      </c>
    </row>
    <row r="494" spans="1:3">
      <c r="A494" t="s">
        <v>206</v>
      </c>
      <c r="B494" t="s">
        <v>241</v>
      </c>
      <c r="C494">
        <v>1</v>
      </c>
    </row>
    <row r="495" spans="1:3">
      <c r="A495" t="s">
        <v>180</v>
      </c>
      <c r="B495" t="s">
        <v>242</v>
      </c>
      <c r="C495">
        <v>4</v>
      </c>
    </row>
    <row r="496" spans="1:3">
      <c r="A496" t="s">
        <v>180</v>
      </c>
      <c r="B496" t="s">
        <v>241</v>
      </c>
      <c r="C496">
        <v>4</v>
      </c>
    </row>
    <row r="497" spans="1:3">
      <c r="A497" t="s">
        <v>180</v>
      </c>
      <c r="B497" t="s">
        <v>250</v>
      </c>
      <c r="C497">
        <v>4</v>
      </c>
    </row>
    <row r="498" spans="1:3">
      <c r="A498" t="s">
        <v>180</v>
      </c>
      <c r="B498" t="s">
        <v>240</v>
      </c>
      <c r="C498">
        <v>4</v>
      </c>
    </row>
    <row r="499" spans="1:3">
      <c r="A499" t="s">
        <v>180</v>
      </c>
      <c r="B499" t="s">
        <v>238</v>
      </c>
      <c r="C499">
        <v>3</v>
      </c>
    </row>
    <row r="500" spans="1:3">
      <c r="A500" t="s">
        <v>180</v>
      </c>
      <c r="B500" t="s">
        <v>243</v>
      </c>
      <c r="C500">
        <v>2</v>
      </c>
    </row>
    <row r="501" spans="1:3">
      <c r="A501" t="s">
        <v>180</v>
      </c>
      <c r="B501" t="s">
        <v>252</v>
      </c>
      <c r="C501">
        <v>1</v>
      </c>
    </row>
    <row r="502" spans="1:3">
      <c r="A502" t="s">
        <v>129</v>
      </c>
      <c r="B502" t="s">
        <v>242</v>
      </c>
      <c r="C502">
        <v>8</v>
      </c>
    </row>
    <row r="503" spans="1:3">
      <c r="A503" t="s">
        <v>129</v>
      </c>
      <c r="B503" t="s">
        <v>241</v>
      </c>
      <c r="C503">
        <v>6</v>
      </c>
    </row>
    <row r="504" spans="1:3">
      <c r="A504" t="s">
        <v>129</v>
      </c>
      <c r="B504" t="s">
        <v>240</v>
      </c>
      <c r="C504">
        <v>4</v>
      </c>
    </row>
    <row r="505" spans="1:3">
      <c r="A505" t="s">
        <v>129</v>
      </c>
      <c r="B505" t="s">
        <v>238</v>
      </c>
      <c r="C505">
        <v>3</v>
      </c>
    </row>
    <row r="506" spans="1:3">
      <c r="A506" t="s">
        <v>129</v>
      </c>
      <c r="B506" t="s">
        <v>243</v>
      </c>
      <c r="C506">
        <v>1</v>
      </c>
    </row>
    <row r="507" spans="1:3">
      <c r="A507" t="s">
        <v>129</v>
      </c>
      <c r="B507" t="s">
        <v>246</v>
      </c>
      <c r="C507">
        <v>1</v>
      </c>
    </row>
    <row r="508" spans="1:3">
      <c r="A508" t="s">
        <v>24</v>
      </c>
      <c r="B508" t="s">
        <v>242</v>
      </c>
      <c r="C508">
        <v>7</v>
      </c>
    </row>
    <row r="509" spans="1:3">
      <c r="A509" t="s">
        <v>24</v>
      </c>
      <c r="B509" t="s">
        <v>241</v>
      </c>
      <c r="C509">
        <v>6</v>
      </c>
    </row>
    <row r="510" spans="1:3">
      <c r="A510" t="s">
        <v>24</v>
      </c>
      <c r="B510" t="s">
        <v>238</v>
      </c>
      <c r="C510">
        <v>4</v>
      </c>
    </row>
    <row r="511" spans="1:3">
      <c r="A511" t="s">
        <v>24</v>
      </c>
      <c r="B511" t="s">
        <v>239</v>
      </c>
      <c r="C511">
        <v>3</v>
      </c>
    </row>
    <row r="512" spans="1:3">
      <c r="A512" t="s">
        <v>24</v>
      </c>
      <c r="B512" t="s">
        <v>243</v>
      </c>
      <c r="C512">
        <v>1</v>
      </c>
    </row>
    <row r="513" spans="1:3">
      <c r="A513" t="s">
        <v>25</v>
      </c>
      <c r="B513" t="s">
        <v>242</v>
      </c>
      <c r="C513">
        <v>1</v>
      </c>
    </row>
    <row r="514" spans="1:3">
      <c r="A514" t="s">
        <v>25</v>
      </c>
      <c r="B514" t="s">
        <v>241</v>
      </c>
      <c r="C514">
        <v>1</v>
      </c>
    </row>
    <row r="515" spans="1:3">
      <c r="A515" t="s">
        <v>82</v>
      </c>
      <c r="B515" t="s">
        <v>241</v>
      </c>
      <c r="C515">
        <v>6</v>
      </c>
    </row>
    <row r="516" spans="1:3">
      <c r="A516" t="s">
        <v>82</v>
      </c>
      <c r="B516" t="s">
        <v>242</v>
      </c>
      <c r="C516">
        <v>2</v>
      </c>
    </row>
    <row r="517" spans="1:3">
      <c r="A517" t="s">
        <v>82</v>
      </c>
      <c r="B517" t="s">
        <v>239</v>
      </c>
      <c r="C517">
        <v>2</v>
      </c>
    </row>
    <row r="518" spans="1:3">
      <c r="A518" t="s">
        <v>82</v>
      </c>
      <c r="B518" t="s">
        <v>240</v>
      </c>
      <c r="C518">
        <v>1</v>
      </c>
    </row>
    <row r="519" spans="1:3">
      <c r="A519" t="s">
        <v>82</v>
      </c>
      <c r="B519" t="s">
        <v>238</v>
      </c>
      <c r="C519">
        <v>1</v>
      </c>
    </row>
    <row r="520" spans="1:3">
      <c r="A520" t="s">
        <v>82</v>
      </c>
      <c r="B520" t="s">
        <v>244</v>
      </c>
      <c r="C520">
        <v>1</v>
      </c>
    </row>
    <row r="521" spans="1:3">
      <c r="A521" t="s">
        <v>82</v>
      </c>
      <c r="B521" t="s">
        <v>243</v>
      </c>
      <c r="C521">
        <v>1</v>
      </c>
    </row>
    <row r="522" spans="1:3">
      <c r="A522" t="s">
        <v>130</v>
      </c>
      <c r="B522" t="s">
        <v>239</v>
      </c>
      <c r="C522">
        <v>10</v>
      </c>
    </row>
    <row r="523" spans="1:3">
      <c r="A523" t="s">
        <v>130</v>
      </c>
      <c r="B523" t="s">
        <v>241</v>
      </c>
      <c r="C523">
        <v>3</v>
      </c>
    </row>
    <row r="524" spans="1:3">
      <c r="A524" t="s">
        <v>130</v>
      </c>
      <c r="B524" t="s">
        <v>242</v>
      </c>
      <c r="C524">
        <v>1</v>
      </c>
    </row>
    <row r="525" spans="1:3">
      <c r="A525" t="s">
        <v>130</v>
      </c>
      <c r="B525" t="s">
        <v>240</v>
      </c>
      <c r="C525">
        <v>1</v>
      </c>
    </row>
    <row r="526" spans="1:3">
      <c r="A526" t="s">
        <v>130</v>
      </c>
      <c r="B526" t="s">
        <v>238</v>
      </c>
      <c r="C526">
        <v>1</v>
      </c>
    </row>
    <row r="527" spans="1:3">
      <c r="A527" t="s">
        <v>26</v>
      </c>
      <c r="B527" t="s">
        <v>241</v>
      </c>
      <c r="C527">
        <v>6</v>
      </c>
    </row>
    <row r="528" spans="1:3">
      <c r="A528" t="s">
        <v>26</v>
      </c>
      <c r="B528" t="s">
        <v>239</v>
      </c>
      <c r="C528">
        <v>5</v>
      </c>
    </row>
    <row r="529" spans="1:3">
      <c r="A529" t="s">
        <v>26</v>
      </c>
      <c r="B529" t="s">
        <v>242</v>
      </c>
      <c r="C529">
        <v>2</v>
      </c>
    </row>
    <row r="530" spans="1:3">
      <c r="A530" t="s">
        <v>26</v>
      </c>
      <c r="B530" t="s">
        <v>238</v>
      </c>
      <c r="C530">
        <v>1</v>
      </c>
    </row>
    <row r="531" spans="1:3">
      <c r="A531" t="s">
        <v>27</v>
      </c>
      <c r="B531" t="s">
        <v>242</v>
      </c>
      <c r="C531">
        <v>5</v>
      </c>
    </row>
    <row r="532" spans="1:3">
      <c r="A532" t="s">
        <v>27</v>
      </c>
      <c r="B532" t="s">
        <v>243</v>
      </c>
      <c r="C532">
        <v>2</v>
      </c>
    </row>
    <row r="533" spans="1:3">
      <c r="A533" t="s">
        <v>27</v>
      </c>
      <c r="B533" t="s">
        <v>241</v>
      </c>
      <c r="C533">
        <v>2</v>
      </c>
    </row>
    <row r="534" spans="1:3">
      <c r="A534" t="s">
        <v>27</v>
      </c>
      <c r="B534" t="s">
        <v>240</v>
      </c>
      <c r="C534">
        <v>1</v>
      </c>
    </row>
    <row r="535" spans="1:3">
      <c r="A535" t="s">
        <v>27</v>
      </c>
      <c r="B535" t="s">
        <v>239</v>
      </c>
      <c r="C535">
        <v>1</v>
      </c>
    </row>
    <row r="536" spans="1:3">
      <c r="A536" t="s">
        <v>27</v>
      </c>
      <c r="B536" t="s">
        <v>244</v>
      </c>
      <c r="C536">
        <v>1</v>
      </c>
    </row>
    <row r="537" spans="1:3">
      <c r="A537" t="s">
        <v>27</v>
      </c>
      <c r="B537" t="s">
        <v>238</v>
      </c>
      <c r="C537">
        <v>1</v>
      </c>
    </row>
    <row r="538" spans="1:3">
      <c r="A538" t="s">
        <v>28</v>
      </c>
      <c r="B538" t="s">
        <v>239</v>
      </c>
      <c r="C538">
        <v>37</v>
      </c>
    </row>
    <row r="539" spans="1:3">
      <c r="A539" t="s">
        <v>28</v>
      </c>
      <c r="B539" t="s">
        <v>240</v>
      </c>
      <c r="C539">
        <v>17</v>
      </c>
    </row>
    <row r="540" spans="1:3">
      <c r="A540" t="s">
        <v>28</v>
      </c>
      <c r="B540" t="s">
        <v>250</v>
      </c>
      <c r="C540">
        <v>16</v>
      </c>
    </row>
    <row r="541" spans="1:3">
      <c r="A541" t="s">
        <v>28</v>
      </c>
      <c r="B541" t="s">
        <v>241</v>
      </c>
      <c r="C541">
        <v>4</v>
      </c>
    </row>
    <row r="542" spans="1:3">
      <c r="A542" t="s">
        <v>28</v>
      </c>
      <c r="B542" t="s">
        <v>243</v>
      </c>
      <c r="C542">
        <v>3</v>
      </c>
    </row>
    <row r="543" spans="1:3">
      <c r="A543" t="s">
        <v>28</v>
      </c>
      <c r="B543" t="s">
        <v>249</v>
      </c>
      <c r="C543">
        <v>3</v>
      </c>
    </row>
    <row r="544" spans="1:3">
      <c r="A544" t="s">
        <v>28</v>
      </c>
      <c r="B544" t="s">
        <v>248</v>
      </c>
      <c r="C544">
        <v>2</v>
      </c>
    </row>
    <row r="545" spans="1:3">
      <c r="A545" t="s">
        <v>28</v>
      </c>
      <c r="B545" t="s">
        <v>244</v>
      </c>
      <c r="C545">
        <v>1</v>
      </c>
    </row>
    <row r="546" spans="1:3">
      <c r="A546" t="s">
        <v>28</v>
      </c>
      <c r="B546" t="s">
        <v>238</v>
      </c>
      <c r="C546">
        <v>1</v>
      </c>
    </row>
    <row r="547" spans="1:3">
      <c r="A547" t="s">
        <v>207</v>
      </c>
      <c r="B547" t="s">
        <v>241</v>
      </c>
      <c r="C547">
        <v>2</v>
      </c>
    </row>
    <row r="548" spans="1:3">
      <c r="A548" t="s">
        <v>207</v>
      </c>
      <c r="B548" t="s">
        <v>238</v>
      </c>
      <c r="C548">
        <v>1</v>
      </c>
    </row>
    <row r="549" spans="1:3">
      <c r="A549" t="s">
        <v>181</v>
      </c>
      <c r="B549" t="s">
        <v>241</v>
      </c>
      <c r="C549">
        <v>7</v>
      </c>
    </row>
    <row r="550" spans="1:3">
      <c r="A550" t="s">
        <v>181</v>
      </c>
      <c r="B550" t="s">
        <v>242</v>
      </c>
      <c r="C550">
        <v>3</v>
      </c>
    </row>
    <row r="551" spans="1:3">
      <c r="A551" t="s">
        <v>181</v>
      </c>
      <c r="B551" t="s">
        <v>240</v>
      </c>
      <c r="C551">
        <v>2</v>
      </c>
    </row>
    <row r="552" spans="1:3">
      <c r="A552" t="s">
        <v>181</v>
      </c>
      <c r="B552" t="s">
        <v>238</v>
      </c>
      <c r="C552">
        <v>1</v>
      </c>
    </row>
    <row r="553" spans="1:3">
      <c r="A553" t="s">
        <v>83</v>
      </c>
      <c r="B553" t="s">
        <v>240</v>
      </c>
      <c r="C553">
        <v>2</v>
      </c>
    </row>
    <row r="554" spans="1:3">
      <c r="A554" t="s">
        <v>83</v>
      </c>
      <c r="B554" t="s">
        <v>241</v>
      </c>
      <c r="C554">
        <v>1</v>
      </c>
    </row>
    <row r="555" spans="1:3">
      <c r="A555" t="s">
        <v>83</v>
      </c>
      <c r="B555" t="s">
        <v>238</v>
      </c>
      <c r="C555">
        <v>1</v>
      </c>
    </row>
    <row r="556" spans="1:3">
      <c r="A556" t="s">
        <v>83</v>
      </c>
      <c r="B556" t="s">
        <v>243</v>
      </c>
      <c r="C556">
        <v>1</v>
      </c>
    </row>
    <row r="557" spans="1:3">
      <c r="A557" t="s">
        <v>182</v>
      </c>
      <c r="B557" t="s">
        <v>242</v>
      </c>
      <c r="C557">
        <v>12</v>
      </c>
    </row>
    <row r="558" spans="1:3">
      <c r="A558" t="s">
        <v>182</v>
      </c>
      <c r="B558" t="s">
        <v>241</v>
      </c>
      <c r="C558">
        <v>5</v>
      </c>
    </row>
    <row r="559" spans="1:3">
      <c r="A559" t="s">
        <v>182</v>
      </c>
      <c r="B559" t="s">
        <v>238</v>
      </c>
      <c r="C559">
        <v>3</v>
      </c>
    </row>
    <row r="560" spans="1:3">
      <c r="A560" t="s">
        <v>182</v>
      </c>
      <c r="B560" t="s">
        <v>239</v>
      </c>
      <c r="C560">
        <v>2</v>
      </c>
    </row>
    <row r="561" spans="1:3">
      <c r="A561" t="s">
        <v>182</v>
      </c>
      <c r="B561" t="s">
        <v>244</v>
      </c>
      <c r="C561">
        <v>1</v>
      </c>
    </row>
    <row r="562" spans="1:3">
      <c r="A562" t="s">
        <v>208</v>
      </c>
      <c r="B562" t="s">
        <v>240</v>
      </c>
      <c r="C562">
        <v>2</v>
      </c>
    </row>
    <row r="563" spans="1:3">
      <c r="A563" t="s">
        <v>208</v>
      </c>
      <c r="B563" t="s">
        <v>241</v>
      </c>
      <c r="C563">
        <v>1</v>
      </c>
    </row>
    <row r="564" spans="1:3">
      <c r="A564" t="s">
        <v>208</v>
      </c>
      <c r="B564" t="s">
        <v>244</v>
      </c>
      <c r="C564">
        <v>1</v>
      </c>
    </row>
    <row r="565" spans="1:3">
      <c r="A565" t="s">
        <v>132</v>
      </c>
      <c r="B565" t="s">
        <v>244</v>
      </c>
      <c r="C565">
        <v>1</v>
      </c>
    </row>
    <row r="566" spans="1:3">
      <c r="A566" t="s">
        <v>30</v>
      </c>
      <c r="B566" t="s">
        <v>241</v>
      </c>
      <c r="C566">
        <v>4</v>
      </c>
    </row>
    <row r="567" spans="1:3">
      <c r="A567" t="s">
        <v>30</v>
      </c>
      <c r="B567" t="s">
        <v>244</v>
      </c>
      <c r="C567">
        <v>1</v>
      </c>
    </row>
    <row r="568" spans="1:3">
      <c r="A568" t="s">
        <v>30</v>
      </c>
      <c r="B568" t="s">
        <v>242</v>
      </c>
      <c r="C568">
        <v>1</v>
      </c>
    </row>
    <row r="569" spans="1:3">
      <c r="A569" t="s">
        <v>211</v>
      </c>
      <c r="B569" t="s">
        <v>241</v>
      </c>
      <c r="C569">
        <v>6</v>
      </c>
    </row>
    <row r="570" spans="1:3">
      <c r="A570" t="s">
        <v>211</v>
      </c>
      <c r="B570" t="s">
        <v>242</v>
      </c>
      <c r="C570">
        <v>4</v>
      </c>
    </row>
    <row r="571" spans="1:3">
      <c r="A571" t="s">
        <v>34</v>
      </c>
      <c r="B571" t="s">
        <v>240</v>
      </c>
      <c r="C571">
        <v>4</v>
      </c>
    </row>
    <row r="572" spans="1:3">
      <c r="A572" t="s">
        <v>34</v>
      </c>
      <c r="B572" t="s">
        <v>241</v>
      </c>
      <c r="C572">
        <v>3</v>
      </c>
    </row>
    <row r="573" spans="1:3">
      <c r="A573" t="s">
        <v>34</v>
      </c>
      <c r="B573" t="s">
        <v>239</v>
      </c>
      <c r="C573">
        <v>2</v>
      </c>
    </row>
    <row r="574" spans="1:3">
      <c r="A574" t="s">
        <v>37</v>
      </c>
      <c r="B574" t="s">
        <v>242</v>
      </c>
      <c r="C574">
        <v>3</v>
      </c>
    </row>
    <row r="575" spans="1:3">
      <c r="A575" t="s">
        <v>37</v>
      </c>
      <c r="B575" t="s">
        <v>240</v>
      </c>
      <c r="C575">
        <v>2</v>
      </c>
    </row>
    <row r="576" spans="1:3">
      <c r="A576" t="s">
        <v>37</v>
      </c>
      <c r="B576" t="s">
        <v>241</v>
      </c>
      <c r="C576">
        <v>2</v>
      </c>
    </row>
    <row r="577" spans="1:3">
      <c r="A577" t="s">
        <v>37</v>
      </c>
      <c r="B577" t="s">
        <v>239</v>
      </c>
      <c r="C577">
        <v>1</v>
      </c>
    </row>
    <row r="578" spans="1:3">
      <c r="A578" t="s">
        <v>37</v>
      </c>
      <c r="B578" t="s">
        <v>238</v>
      </c>
      <c r="C578">
        <v>1</v>
      </c>
    </row>
    <row r="579" spans="1:3">
      <c r="A579" t="s">
        <v>216</v>
      </c>
      <c r="B579" t="s">
        <v>242</v>
      </c>
      <c r="C579">
        <v>4</v>
      </c>
    </row>
    <row r="580" spans="1:3">
      <c r="A580" t="s">
        <v>216</v>
      </c>
      <c r="B580" t="s">
        <v>238</v>
      </c>
      <c r="C580">
        <v>1</v>
      </c>
    </row>
    <row r="581" spans="1:3">
      <c r="A581" t="s">
        <v>216</v>
      </c>
      <c r="B581" t="s">
        <v>243</v>
      </c>
      <c r="C581">
        <v>1</v>
      </c>
    </row>
    <row r="582" spans="1:3">
      <c r="A582" t="s">
        <v>216</v>
      </c>
      <c r="B582" t="s">
        <v>241</v>
      </c>
      <c r="C582">
        <v>1</v>
      </c>
    </row>
    <row r="583" spans="1:3">
      <c r="A583" t="s">
        <v>86</v>
      </c>
      <c r="B583" t="s">
        <v>242</v>
      </c>
      <c r="C583">
        <v>2</v>
      </c>
    </row>
    <row r="584" spans="1:3">
      <c r="A584" t="s">
        <v>86</v>
      </c>
      <c r="B584" t="s">
        <v>241</v>
      </c>
      <c r="C584">
        <v>1</v>
      </c>
    </row>
    <row r="585" spans="1:3">
      <c r="A585" t="s">
        <v>136</v>
      </c>
      <c r="B585" t="s">
        <v>240</v>
      </c>
      <c r="C585">
        <v>1</v>
      </c>
    </row>
    <row r="586" spans="1:3">
      <c r="A586" t="s">
        <v>136</v>
      </c>
      <c r="B586" t="s">
        <v>242</v>
      </c>
      <c r="C586">
        <v>1</v>
      </c>
    </row>
    <row r="587" spans="1:3">
      <c r="A587" t="s">
        <v>136</v>
      </c>
      <c r="B587" t="s">
        <v>238</v>
      </c>
      <c r="C587">
        <v>1</v>
      </c>
    </row>
    <row r="588" spans="1:3">
      <c r="A588" t="s">
        <v>136</v>
      </c>
      <c r="B588" t="s">
        <v>241</v>
      </c>
      <c r="C588">
        <v>1</v>
      </c>
    </row>
    <row r="589" spans="1:3">
      <c r="A589" t="s">
        <v>137</v>
      </c>
      <c r="B589" t="s">
        <v>242</v>
      </c>
      <c r="C589">
        <v>6</v>
      </c>
    </row>
    <row r="590" spans="1:3">
      <c r="A590" t="s">
        <v>137</v>
      </c>
      <c r="B590" t="s">
        <v>243</v>
      </c>
      <c r="C590">
        <v>1</v>
      </c>
    </row>
    <row r="591" spans="1:3">
      <c r="A591" t="s">
        <v>137</v>
      </c>
      <c r="B591" t="s">
        <v>241</v>
      </c>
      <c r="C591">
        <v>1</v>
      </c>
    </row>
    <row r="592" spans="1:3">
      <c r="A592" t="s">
        <v>137</v>
      </c>
      <c r="B592" t="s">
        <v>238</v>
      </c>
      <c r="C592">
        <v>1</v>
      </c>
    </row>
    <row r="593" spans="1:3">
      <c r="A593" t="s">
        <v>218</v>
      </c>
      <c r="B593" t="s">
        <v>242</v>
      </c>
      <c r="C593">
        <v>2</v>
      </c>
    </row>
    <row r="594" spans="1:3">
      <c r="A594" t="s">
        <v>218</v>
      </c>
      <c r="B594" t="s">
        <v>239</v>
      </c>
      <c r="C594">
        <v>1</v>
      </c>
    </row>
    <row r="595" spans="1:3">
      <c r="A595" t="s">
        <v>218</v>
      </c>
      <c r="B595" t="s">
        <v>241</v>
      </c>
      <c r="C595">
        <v>1</v>
      </c>
    </row>
    <row r="596" spans="1:3">
      <c r="A596" t="s">
        <v>218</v>
      </c>
      <c r="B596" t="s">
        <v>244</v>
      </c>
      <c r="C596">
        <v>1</v>
      </c>
    </row>
    <row r="597" spans="1:3">
      <c r="A597" t="s">
        <v>218</v>
      </c>
      <c r="B597" t="s">
        <v>240</v>
      </c>
      <c r="C597">
        <v>1</v>
      </c>
    </row>
    <row r="598" spans="1:3">
      <c r="A598" t="s">
        <v>87</v>
      </c>
      <c r="B598" t="s">
        <v>238</v>
      </c>
      <c r="C598">
        <v>3</v>
      </c>
    </row>
    <row r="599" spans="1:3">
      <c r="A599" t="s">
        <v>87</v>
      </c>
      <c r="B599" t="s">
        <v>242</v>
      </c>
      <c r="C599">
        <v>2</v>
      </c>
    </row>
    <row r="600" spans="1:3">
      <c r="A600" t="s">
        <v>87</v>
      </c>
      <c r="B600" t="s">
        <v>241</v>
      </c>
      <c r="C600">
        <v>2</v>
      </c>
    </row>
    <row r="601" spans="1:3">
      <c r="A601" t="s">
        <v>219</v>
      </c>
      <c r="B601" t="s">
        <v>241</v>
      </c>
      <c r="C601">
        <v>2</v>
      </c>
    </row>
    <row r="602" spans="1:3">
      <c r="A602" t="s">
        <v>219</v>
      </c>
      <c r="B602" t="s">
        <v>240</v>
      </c>
      <c r="C602">
        <v>1</v>
      </c>
    </row>
    <row r="603" spans="1:3">
      <c r="A603" t="s">
        <v>219</v>
      </c>
      <c r="B603" t="s">
        <v>242</v>
      </c>
      <c r="C603">
        <v>1</v>
      </c>
    </row>
    <row r="604" spans="1:3">
      <c r="A604" t="s">
        <v>219</v>
      </c>
      <c r="B604" t="s">
        <v>238</v>
      </c>
      <c r="C604">
        <v>1</v>
      </c>
    </row>
    <row r="605" spans="1:3">
      <c r="A605" t="s">
        <v>220</v>
      </c>
      <c r="B605" t="s">
        <v>249</v>
      </c>
      <c r="C605">
        <v>1</v>
      </c>
    </row>
    <row r="606" spans="1:3">
      <c r="A606" t="s">
        <v>220</v>
      </c>
      <c r="B606" t="s">
        <v>243</v>
      </c>
      <c r="C606">
        <v>1</v>
      </c>
    </row>
    <row r="607" spans="1:3">
      <c r="A607" t="s">
        <v>221</v>
      </c>
      <c r="B607" t="s">
        <v>244</v>
      </c>
      <c r="C607">
        <v>1</v>
      </c>
    </row>
    <row r="608" spans="1:3">
      <c r="A608" t="s">
        <v>221</v>
      </c>
      <c r="B608" t="s">
        <v>238</v>
      </c>
      <c r="C608">
        <v>1</v>
      </c>
    </row>
    <row r="609" spans="1:3">
      <c r="A609" t="s">
        <v>221</v>
      </c>
      <c r="B609" t="s">
        <v>242</v>
      </c>
      <c r="C609">
        <v>1</v>
      </c>
    </row>
    <row r="610" spans="1:3">
      <c r="A610" t="s">
        <v>29</v>
      </c>
      <c r="B610" t="s">
        <v>242</v>
      </c>
      <c r="C610">
        <v>4</v>
      </c>
    </row>
    <row r="611" spans="1:3">
      <c r="A611" t="s">
        <v>29</v>
      </c>
      <c r="B611" t="s">
        <v>241</v>
      </c>
      <c r="C611">
        <v>2</v>
      </c>
    </row>
    <row r="612" spans="1:3">
      <c r="A612" t="s">
        <v>29</v>
      </c>
      <c r="B612" t="s">
        <v>238</v>
      </c>
      <c r="C612">
        <v>1</v>
      </c>
    </row>
    <row r="613" spans="1:3">
      <c r="A613" t="s">
        <v>84</v>
      </c>
      <c r="B613" t="s">
        <v>241</v>
      </c>
      <c r="C613">
        <v>4</v>
      </c>
    </row>
    <row r="614" spans="1:3">
      <c r="A614" t="s">
        <v>84</v>
      </c>
      <c r="B614" t="s">
        <v>242</v>
      </c>
      <c r="C614">
        <v>4</v>
      </c>
    </row>
    <row r="615" spans="1:3">
      <c r="A615" t="s">
        <v>84</v>
      </c>
      <c r="B615" t="s">
        <v>238</v>
      </c>
      <c r="C615">
        <v>3</v>
      </c>
    </row>
    <row r="616" spans="1:3">
      <c r="A616" t="s">
        <v>131</v>
      </c>
      <c r="B616" t="s">
        <v>238</v>
      </c>
      <c r="C616">
        <v>3</v>
      </c>
    </row>
    <row r="617" spans="1:3">
      <c r="A617" t="s">
        <v>131</v>
      </c>
      <c r="B617" t="s">
        <v>241</v>
      </c>
      <c r="C617">
        <v>3</v>
      </c>
    </row>
    <row r="618" spans="1:3">
      <c r="A618" t="s">
        <v>131</v>
      </c>
      <c r="B618" t="s">
        <v>240</v>
      </c>
      <c r="C618">
        <v>2</v>
      </c>
    </row>
    <row r="619" spans="1:3">
      <c r="A619" t="s">
        <v>131</v>
      </c>
      <c r="B619" t="s">
        <v>243</v>
      </c>
      <c r="C619">
        <v>1</v>
      </c>
    </row>
    <row r="620" spans="1:3">
      <c r="A620" t="s">
        <v>131</v>
      </c>
      <c r="B620" t="s">
        <v>242</v>
      </c>
      <c r="C620">
        <v>1</v>
      </c>
    </row>
    <row r="621" spans="1:3">
      <c r="A621" t="s">
        <v>31</v>
      </c>
      <c r="B621" t="s">
        <v>239</v>
      </c>
      <c r="C621">
        <v>4</v>
      </c>
    </row>
    <row r="622" spans="1:3">
      <c r="A622" t="s">
        <v>31</v>
      </c>
      <c r="B622" t="s">
        <v>241</v>
      </c>
      <c r="C622">
        <v>2</v>
      </c>
    </row>
    <row r="623" spans="1:3">
      <c r="A623" t="s">
        <v>31</v>
      </c>
      <c r="B623" t="s">
        <v>249</v>
      </c>
      <c r="C623">
        <v>1</v>
      </c>
    </row>
    <row r="624" spans="1:3">
      <c r="A624" t="s">
        <v>31</v>
      </c>
      <c r="B624" t="s">
        <v>242</v>
      </c>
      <c r="C624">
        <v>1</v>
      </c>
    </row>
    <row r="625" spans="1:3">
      <c r="A625" t="s">
        <v>32</v>
      </c>
      <c r="B625" t="s">
        <v>240</v>
      </c>
      <c r="C625">
        <v>5</v>
      </c>
    </row>
    <row r="626" spans="1:3">
      <c r="A626" t="s">
        <v>32</v>
      </c>
      <c r="B626" t="s">
        <v>241</v>
      </c>
      <c r="C626">
        <v>4</v>
      </c>
    </row>
    <row r="627" spans="1:3">
      <c r="A627" t="s">
        <v>32</v>
      </c>
      <c r="B627" t="s">
        <v>247</v>
      </c>
      <c r="C627">
        <v>1</v>
      </c>
    </row>
    <row r="628" spans="1:3">
      <c r="A628" t="s">
        <v>133</v>
      </c>
      <c r="B628" t="s">
        <v>241</v>
      </c>
      <c r="C628">
        <v>7</v>
      </c>
    </row>
    <row r="629" spans="1:3">
      <c r="A629" t="s">
        <v>133</v>
      </c>
      <c r="B629" t="s">
        <v>239</v>
      </c>
      <c r="C629">
        <v>2</v>
      </c>
    </row>
    <row r="630" spans="1:3">
      <c r="A630" t="s">
        <v>133</v>
      </c>
      <c r="B630" t="s">
        <v>244</v>
      </c>
      <c r="C630">
        <v>1</v>
      </c>
    </row>
    <row r="631" spans="1:3">
      <c r="A631" t="s">
        <v>133</v>
      </c>
      <c r="B631" t="s">
        <v>238</v>
      </c>
      <c r="C631">
        <v>1</v>
      </c>
    </row>
    <row r="632" spans="1:3">
      <c r="A632" t="s">
        <v>133</v>
      </c>
      <c r="B632" t="s">
        <v>240</v>
      </c>
      <c r="C632">
        <v>1</v>
      </c>
    </row>
    <row r="633" spans="1:3">
      <c r="A633" t="s">
        <v>133</v>
      </c>
      <c r="B633" t="s">
        <v>243</v>
      </c>
      <c r="C633">
        <v>1</v>
      </c>
    </row>
    <row r="634" spans="1:3">
      <c r="A634" t="s">
        <v>183</v>
      </c>
      <c r="B634" t="s">
        <v>242</v>
      </c>
      <c r="C634">
        <v>6</v>
      </c>
    </row>
    <row r="635" spans="1:3">
      <c r="A635" t="s">
        <v>183</v>
      </c>
      <c r="B635" t="s">
        <v>241</v>
      </c>
      <c r="C635">
        <v>3</v>
      </c>
    </row>
    <row r="636" spans="1:3">
      <c r="A636" t="s">
        <v>183</v>
      </c>
      <c r="B636" t="s">
        <v>240</v>
      </c>
      <c r="C636">
        <v>1</v>
      </c>
    </row>
    <row r="637" spans="1:3">
      <c r="A637" t="s">
        <v>183</v>
      </c>
      <c r="B637" t="s">
        <v>238</v>
      </c>
      <c r="C637">
        <v>1</v>
      </c>
    </row>
    <row r="638" spans="1:3">
      <c r="A638" t="s">
        <v>183</v>
      </c>
      <c r="B638" t="s">
        <v>244</v>
      </c>
      <c r="C638">
        <v>1</v>
      </c>
    </row>
    <row r="639" spans="1:3">
      <c r="A639" t="s">
        <v>209</v>
      </c>
      <c r="B639" t="s">
        <v>243</v>
      </c>
      <c r="C639">
        <v>4</v>
      </c>
    </row>
    <row r="640" spans="1:3">
      <c r="A640" t="s">
        <v>209</v>
      </c>
      <c r="B640" t="s">
        <v>242</v>
      </c>
      <c r="C640">
        <v>2</v>
      </c>
    </row>
    <row r="641" spans="1:3">
      <c r="A641" t="s">
        <v>209</v>
      </c>
      <c r="B641" t="s">
        <v>241</v>
      </c>
      <c r="C641">
        <v>2</v>
      </c>
    </row>
    <row r="642" spans="1:3">
      <c r="A642" t="s">
        <v>209</v>
      </c>
      <c r="B642" t="s">
        <v>239</v>
      </c>
      <c r="C642">
        <v>1</v>
      </c>
    </row>
    <row r="643" spans="1:3">
      <c r="A643" t="s">
        <v>134</v>
      </c>
      <c r="B643" t="s">
        <v>241</v>
      </c>
      <c r="C643">
        <v>2</v>
      </c>
    </row>
    <row r="644" spans="1:3">
      <c r="A644" t="s">
        <v>134</v>
      </c>
      <c r="B644" t="s">
        <v>238</v>
      </c>
      <c r="C644">
        <v>2</v>
      </c>
    </row>
    <row r="645" spans="1:3">
      <c r="A645" t="s">
        <v>134</v>
      </c>
      <c r="B645" t="s">
        <v>242</v>
      </c>
      <c r="C645">
        <v>2</v>
      </c>
    </row>
    <row r="646" spans="1:3">
      <c r="A646" t="s">
        <v>134</v>
      </c>
      <c r="B646" t="s">
        <v>239</v>
      </c>
      <c r="C646">
        <v>1</v>
      </c>
    </row>
    <row r="647" spans="1:3">
      <c r="A647" t="s">
        <v>134</v>
      </c>
      <c r="B647" t="s">
        <v>251</v>
      </c>
      <c r="C647">
        <v>1</v>
      </c>
    </row>
    <row r="648" spans="1:3">
      <c r="A648" t="s">
        <v>134</v>
      </c>
      <c r="B648" t="s">
        <v>240</v>
      </c>
      <c r="C648">
        <v>1</v>
      </c>
    </row>
    <row r="649" spans="1:3">
      <c r="A649" t="s">
        <v>33</v>
      </c>
      <c r="B649" t="s">
        <v>242</v>
      </c>
      <c r="C649">
        <v>3</v>
      </c>
    </row>
    <row r="650" spans="1:3">
      <c r="A650" t="s">
        <v>33</v>
      </c>
      <c r="B650" t="s">
        <v>238</v>
      </c>
      <c r="C650">
        <v>2</v>
      </c>
    </row>
    <row r="651" spans="1:3">
      <c r="A651" t="s">
        <v>33</v>
      </c>
      <c r="B651" t="s">
        <v>241</v>
      </c>
      <c r="C651">
        <v>2</v>
      </c>
    </row>
    <row r="652" spans="1:3">
      <c r="A652" t="s">
        <v>33</v>
      </c>
      <c r="B652" t="s">
        <v>239</v>
      </c>
      <c r="C652">
        <v>1</v>
      </c>
    </row>
    <row r="653" spans="1:3">
      <c r="A653" t="s">
        <v>184</v>
      </c>
      <c r="B653" t="s">
        <v>241</v>
      </c>
      <c r="C653">
        <v>9</v>
      </c>
    </row>
    <row r="654" spans="1:3">
      <c r="A654" t="s">
        <v>184</v>
      </c>
      <c r="B654" t="s">
        <v>242</v>
      </c>
      <c r="C654">
        <v>8</v>
      </c>
    </row>
    <row r="655" spans="1:3">
      <c r="A655" t="s">
        <v>184</v>
      </c>
      <c r="B655" t="s">
        <v>238</v>
      </c>
      <c r="C655">
        <v>2</v>
      </c>
    </row>
    <row r="656" spans="1:3">
      <c r="A656" t="s">
        <v>184</v>
      </c>
      <c r="B656" t="s">
        <v>240</v>
      </c>
      <c r="C656">
        <v>2</v>
      </c>
    </row>
    <row r="657" spans="1:3">
      <c r="A657" t="s">
        <v>184</v>
      </c>
      <c r="B657" t="s">
        <v>243</v>
      </c>
      <c r="C657">
        <v>1</v>
      </c>
    </row>
    <row r="658" spans="1:3">
      <c r="A658" t="s">
        <v>210</v>
      </c>
      <c r="B658" t="s">
        <v>242</v>
      </c>
      <c r="C658">
        <v>7</v>
      </c>
    </row>
    <row r="659" spans="1:3">
      <c r="A659" t="s">
        <v>210</v>
      </c>
      <c r="B659" t="s">
        <v>241</v>
      </c>
      <c r="C659">
        <v>5</v>
      </c>
    </row>
    <row r="660" spans="1:3">
      <c r="A660" t="s">
        <v>210</v>
      </c>
      <c r="B660" t="s">
        <v>243</v>
      </c>
      <c r="C660">
        <v>2</v>
      </c>
    </row>
    <row r="661" spans="1:3">
      <c r="A661" t="s">
        <v>210</v>
      </c>
      <c r="B661" t="s">
        <v>249</v>
      </c>
      <c r="C661">
        <v>2</v>
      </c>
    </row>
    <row r="662" spans="1:3">
      <c r="A662" t="s">
        <v>210</v>
      </c>
      <c r="B662" t="s">
        <v>238</v>
      </c>
      <c r="C662">
        <v>2</v>
      </c>
    </row>
    <row r="663" spans="1:3">
      <c r="A663" t="s">
        <v>210</v>
      </c>
      <c r="B663" t="s">
        <v>240</v>
      </c>
      <c r="C663">
        <v>1</v>
      </c>
    </row>
    <row r="664" spans="1:3">
      <c r="A664" t="s">
        <v>210</v>
      </c>
      <c r="B664" t="s">
        <v>247</v>
      </c>
      <c r="C664">
        <v>1</v>
      </c>
    </row>
    <row r="665" spans="1:3">
      <c r="A665" t="s">
        <v>185</v>
      </c>
      <c r="B665" t="s">
        <v>241</v>
      </c>
      <c r="C665">
        <v>3</v>
      </c>
    </row>
    <row r="666" spans="1:3">
      <c r="A666" t="s">
        <v>185</v>
      </c>
      <c r="B666" t="s">
        <v>242</v>
      </c>
      <c r="C666">
        <v>2</v>
      </c>
    </row>
    <row r="667" spans="1:3">
      <c r="A667" t="s">
        <v>185</v>
      </c>
      <c r="B667" t="s">
        <v>249</v>
      </c>
      <c r="C667">
        <v>1</v>
      </c>
    </row>
    <row r="668" spans="1:3">
      <c r="A668" t="s">
        <v>185</v>
      </c>
      <c r="B668" t="s">
        <v>240</v>
      </c>
      <c r="C668">
        <v>1</v>
      </c>
    </row>
    <row r="669" spans="1:3">
      <c r="A669" t="s">
        <v>185</v>
      </c>
      <c r="B669" t="s">
        <v>247</v>
      </c>
      <c r="C669">
        <v>1</v>
      </c>
    </row>
    <row r="670" spans="1:3">
      <c r="A670" t="s">
        <v>185</v>
      </c>
      <c r="B670" t="s">
        <v>245</v>
      </c>
      <c r="C670">
        <v>1</v>
      </c>
    </row>
    <row r="671" spans="1:3">
      <c r="A671" t="s">
        <v>212</v>
      </c>
      <c r="B671" t="s">
        <v>241</v>
      </c>
      <c r="C671">
        <v>3</v>
      </c>
    </row>
    <row r="672" spans="1:3">
      <c r="A672" t="s">
        <v>212</v>
      </c>
      <c r="B672" t="s">
        <v>242</v>
      </c>
      <c r="C672">
        <v>2</v>
      </c>
    </row>
    <row r="673" spans="1:3">
      <c r="A673" t="s">
        <v>212</v>
      </c>
      <c r="B673" t="s">
        <v>240</v>
      </c>
      <c r="C673">
        <v>2</v>
      </c>
    </row>
    <row r="674" spans="1:3">
      <c r="A674" t="s">
        <v>212</v>
      </c>
      <c r="B674" t="s">
        <v>238</v>
      </c>
      <c r="C674">
        <v>1</v>
      </c>
    </row>
    <row r="675" spans="1:3">
      <c r="A675" t="s">
        <v>212</v>
      </c>
      <c r="B675" t="s">
        <v>244</v>
      </c>
      <c r="C675">
        <v>1</v>
      </c>
    </row>
    <row r="676" spans="1:3">
      <c r="A676" t="s">
        <v>213</v>
      </c>
      <c r="B676" t="s">
        <v>241</v>
      </c>
      <c r="C676">
        <v>5</v>
      </c>
    </row>
    <row r="677" spans="1:3">
      <c r="A677" t="s">
        <v>213</v>
      </c>
      <c r="B677" t="s">
        <v>243</v>
      </c>
      <c r="C677">
        <v>3</v>
      </c>
    </row>
    <row r="678" spans="1:3">
      <c r="A678" t="s">
        <v>213</v>
      </c>
      <c r="B678" t="s">
        <v>238</v>
      </c>
      <c r="C678">
        <v>1</v>
      </c>
    </row>
    <row r="679" spans="1:3">
      <c r="A679" t="s">
        <v>213</v>
      </c>
      <c r="B679" t="s">
        <v>239</v>
      </c>
      <c r="C679">
        <v>1</v>
      </c>
    </row>
    <row r="680" spans="1:3">
      <c r="A680" t="s">
        <v>213</v>
      </c>
      <c r="B680" t="s">
        <v>240</v>
      </c>
      <c r="C680">
        <v>1</v>
      </c>
    </row>
    <row r="681" spans="1:3">
      <c r="A681" t="s">
        <v>35</v>
      </c>
      <c r="B681" t="s">
        <v>241</v>
      </c>
      <c r="C681">
        <v>2</v>
      </c>
    </row>
    <row r="682" spans="1:3">
      <c r="A682" t="s">
        <v>35</v>
      </c>
      <c r="B682" t="s">
        <v>240</v>
      </c>
      <c r="C682">
        <v>1</v>
      </c>
    </row>
    <row r="683" spans="1:3">
      <c r="A683" t="s">
        <v>35</v>
      </c>
      <c r="B683" t="s">
        <v>243</v>
      </c>
      <c r="C683">
        <v>1</v>
      </c>
    </row>
    <row r="684" spans="1:3">
      <c r="A684" t="s">
        <v>35</v>
      </c>
      <c r="B684" t="s">
        <v>242</v>
      </c>
      <c r="C684">
        <v>1</v>
      </c>
    </row>
    <row r="685" spans="1:3">
      <c r="A685" t="s">
        <v>35</v>
      </c>
      <c r="B685" t="s">
        <v>239</v>
      </c>
      <c r="C685">
        <v>1</v>
      </c>
    </row>
    <row r="686" spans="1:3">
      <c r="A686" t="s">
        <v>214</v>
      </c>
      <c r="B686" t="s">
        <v>238</v>
      </c>
      <c r="C686">
        <v>1</v>
      </c>
    </row>
    <row r="687" spans="1:3">
      <c r="A687" t="s">
        <v>214</v>
      </c>
      <c r="B687" t="s">
        <v>241</v>
      </c>
      <c r="C687">
        <v>1</v>
      </c>
    </row>
    <row r="688" spans="1:3">
      <c r="A688" t="s">
        <v>215</v>
      </c>
      <c r="B688" t="s">
        <v>242</v>
      </c>
      <c r="C688">
        <v>7</v>
      </c>
    </row>
    <row r="689" spans="1:3">
      <c r="A689" t="s">
        <v>215</v>
      </c>
      <c r="B689" t="s">
        <v>241</v>
      </c>
      <c r="C689">
        <v>5</v>
      </c>
    </row>
    <row r="690" spans="1:3">
      <c r="A690" t="s">
        <v>215</v>
      </c>
      <c r="B690" t="s">
        <v>245</v>
      </c>
      <c r="C690">
        <v>1</v>
      </c>
    </row>
    <row r="691" spans="1:3">
      <c r="A691" t="s">
        <v>215</v>
      </c>
      <c r="B691" t="s">
        <v>239</v>
      </c>
      <c r="C691">
        <v>1</v>
      </c>
    </row>
    <row r="692" spans="1:3">
      <c r="A692" t="s">
        <v>215</v>
      </c>
      <c r="B692" t="s">
        <v>248</v>
      </c>
      <c r="C692">
        <v>1</v>
      </c>
    </row>
    <row r="693" spans="1:3">
      <c r="A693" t="s">
        <v>215</v>
      </c>
      <c r="B693" t="s">
        <v>243</v>
      </c>
      <c r="C693">
        <v>1</v>
      </c>
    </row>
    <row r="694" spans="1:3">
      <c r="A694" t="s">
        <v>135</v>
      </c>
      <c r="B694" t="s">
        <v>241</v>
      </c>
      <c r="C694">
        <v>7</v>
      </c>
    </row>
    <row r="695" spans="1:3">
      <c r="A695" t="s">
        <v>135</v>
      </c>
      <c r="B695" t="s">
        <v>242</v>
      </c>
      <c r="C695">
        <v>3</v>
      </c>
    </row>
    <row r="696" spans="1:3">
      <c r="A696" t="s">
        <v>135</v>
      </c>
      <c r="B696" t="s">
        <v>244</v>
      </c>
      <c r="C696">
        <v>1</v>
      </c>
    </row>
    <row r="697" spans="1:3">
      <c r="A697" t="s">
        <v>135</v>
      </c>
      <c r="B697" t="s">
        <v>240</v>
      </c>
      <c r="C697">
        <v>1</v>
      </c>
    </row>
    <row r="698" spans="1:3">
      <c r="A698" t="s">
        <v>135</v>
      </c>
      <c r="B698" t="s">
        <v>239</v>
      </c>
      <c r="C698">
        <v>1</v>
      </c>
    </row>
    <row r="699" spans="1:3">
      <c r="A699" t="s">
        <v>36</v>
      </c>
      <c r="B699" t="s">
        <v>238</v>
      </c>
      <c r="C699">
        <v>3</v>
      </c>
    </row>
    <row r="700" spans="1:3">
      <c r="A700" t="s">
        <v>36</v>
      </c>
      <c r="B700" t="s">
        <v>239</v>
      </c>
      <c r="C700">
        <v>2</v>
      </c>
    </row>
    <row r="701" spans="1:3">
      <c r="A701" t="s">
        <v>36</v>
      </c>
      <c r="B701" t="s">
        <v>241</v>
      </c>
      <c r="C701">
        <v>2</v>
      </c>
    </row>
    <row r="702" spans="1:3">
      <c r="A702" t="s">
        <v>36</v>
      </c>
      <c r="B702" t="s">
        <v>242</v>
      </c>
      <c r="C702">
        <v>2</v>
      </c>
    </row>
    <row r="703" spans="1:3">
      <c r="A703" t="s">
        <v>36</v>
      </c>
      <c r="B703" t="s">
        <v>243</v>
      </c>
      <c r="C703">
        <v>1</v>
      </c>
    </row>
    <row r="704" spans="1:3">
      <c r="A704" t="s">
        <v>36</v>
      </c>
      <c r="B704" t="s">
        <v>240</v>
      </c>
      <c r="C704">
        <v>1</v>
      </c>
    </row>
    <row r="705" spans="1:3">
      <c r="A705" t="s">
        <v>85</v>
      </c>
      <c r="B705" t="s">
        <v>250</v>
      </c>
      <c r="C705">
        <v>12</v>
      </c>
    </row>
    <row r="706" spans="1:3">
      <c r="A706" t="s">
        <v>85</v>
      </c>
      <c r="B706" t="s">
        <v>241</v>
      </c>
      <c r="C706">
        <v>7</v>
      </c>
    </row>
    <row r="707" spans="1:3">
      <c r="A707" t="s">
        <v>85</v>
      </c>
      <c r="B707" t="s">
        <v>242</v>
      </c>
      <c r="C707">
        <v>6</v>
      </c>
    </row>
    <row r="708" spans="1:3">
      <c r="A708" t="s">
        <v>85</v>
      </c>
      <c r="B708" t="s">
        <v>243</v>
      </c>
      <c r="C708">
        <v>4</v>
      </c>
    </row>
    <row r="709" spans="1:3">
      <c r="A709" t="s">
        <v>85</v>
      </c>
      <c r="B709" t="s">
        <v>240</v>
      </c>
      <c r="C709">
        <v>2</v>
      </c>
    </row>
    <row r="710" spans="1:3">
      <c r="A710" t="s">
        <v>85</v>
      </c>
      <c r="B710" t="s">
        <v>244</v>
      </c>
      <c r="C710">
        <v>1</v>
      </c>
    </row>
    <row r="711" spans="1:3">
      <c r="A711" t="s">
        <v>85</v>
      </c>
      <c r="B711" t="s">
        <v>246</v>
      </c>
      <c r="C711">
        <v>1</v>
      </c>
    </row>
    <row r="712" spans="1:3">
      <c r="A712" t="s">
        <v>85</v>
      </c>
      <c r="B712" t="s">
        <v>239</v>
      </c>
      <c r="C712">
        <v>1</v>
      </c>
    </row>
    <row r="713" spans="1:3">
      <c r="A713" t="s">
        <v>186</v>
      </c>
      <c r="B713" t="s">
        <v>242</v>
      </c>
      <c r="C713">
        <v>11</v>
      </c>
    </row>
    <row r="714" spans="1:3">
      <c r="A714" t="s">
        <v>186</v>
      </c>
      <c r="B714" t="s">
        <v>246</v>
      </c>
      <c r="C714">
        <v>8</v>
      </c>
    </row>
    <row r="715" spans="1:3">
      <c r="A715" t="s">
        <v>186</v>
      </c>
      <c r="B715" t="s">
        <v>240</v>
      </c>
      <c r="C715">
        <v>4</v>
      </c>
    </row>
    <row r="716" spans="1:3">
      <c r="A716" t="s">
        <v>186</v>
      </c>
      <c r="B716" t="s">
        <v>243</v>
      </c>
      <c r="C716">
        <v>3</v>
      </c>
    </row>
    <row r="717" spans="1:3">
      <c r="A717" t="s">
        <v>186</v>
      </c>
      <c r="B717" t="s">
        <v>247</v>
      </c>
      <c r="C717">
        <v>2</v>
      </c>
    </row>
    <row r="718" spans="1:3">
      <c r="A718" t="s">
        <v>186</v>
      </c>
      <c r="B718" t="s">
        <v>239</v>
      </c>
      <c r="C718">
        <v>1</v>
      </c>
    </row>
    <row r="719" spans="1:3">
      <c r="A719" t="s">
        <v>186</v>
      </c>
      <c r="B719" t="s">
        <v>238</v>
      </c>
      <c r="C719">
        <v>1</v>
      </c>
    </row>
    <row r="720" spans="1:3">
      <c r="A720" t="s">
        <v>186</v>
      </c>
      <c r="B720" t="s">
        <v>241</v>
      </c>
      <c r="C720">
        <v>1</v>
      </c>
    </row>
    <row r="721" spans="1:3">
      <c r="A721" t="s">
        <v>187</v>
      </c>
      <c r="B721" t="s">
        <v>241</v>
      </c>
      <c r="C721">
        <v>7</v>
      </c>
    </row>
    <row r="722" spans="1:3">
      <c r="A722" t="s">
        <v>187</v>
      </c>
      <c r="B722" t="s">
        <v>240</v>
      </c>
      <c r="C722">
        <v>3</v>
      </c>
    </row>
    <row r="723" spans="1:3">
      <c r="A723" t="s">
        <v>187</v>
      </c>
      <c r="B723" t="s">
        <v>242</v>
      </c>
      <c r="C723">
        <v>1</v>
      </c>
    </row>
    <row r="724" spans="1:3">
      <c r="A724" t="s">
        <v>187</v>
      </c>
      <c r="B724" t="s">
        <v>243</v>
      </c>
      <c r="C724">
        <v>1</v>
      </c>
    </row>
    <row r="725" spans="1:3">
      <c r="A725" t="s">
        <v>217</v>
      </c>
      <c r="B725" t="s">
        <v>241</v>
      </c>
      <c r="C725">
        <v>6</v>
      </c>
    </row>
    <row r="726" spans="1:3">
      <c r="A726" t="s">
        <v>217</v>
      </c>
      <c r="B726" t="s">
        <v>242</v>
      </c>
      <c r="C726">
        <v>2</v>
      </c>
    </row>
    <row r="727" spans="1:3">
      <c r="A727" t="s">
        <v>217</v>
      </c>
      <c r="B727" t="s">
        <v>240</v>
      </c>
      <c r="C727">
        <v>2</v>
      </c>
    </row>
    <row r="728" spans="1:3">
      <c r="A728" t="s">
        <v>217</v>
      </c>
      <c r="B728" t="s">
        <v>243</v>
      </c>
      <c r="C728">
        <v>2</v>
      </c>
    </row>
    <row r="729" spans="1:3">
      <c r="A729" t="s">
        <v>217</v>
      </c>
      <c r="B729" t="s">
        <v>239</v>
      </c>
      <c r="C729">
        <v>1</v>
      </c>
    </row>
    <row r="730" spans="1:3">
      <c r="A730" t="s">
        <v>222</v>
      </c>
      <c r="B730" t="s">
        <v>241</v>
      </c>
      <c r="C730">
        <v>5</v>
      </c>
    </row>
    <row r="731" spans="1:3">
      <c r="A731" t="s">
        <v>222</v>
      </c>
      <c r="B731" t="s">
        <v>242</v>
      </c>
      <c r="C731">
        <v>2</v>
      </c>
    </row>
    <row r="732" spans="1:3">
      <c r="A732" t="s">
        <v>223</v>
      </c>
      <c r="B732" t="s">
        <v>243</v>
      </c>
      <c r="C732">
        <v>2</v>
      </c>
    </row>
    <row r="733" spans="1:3">
      <c r="A733" t="s">
        <v>223</v>
      </c>
      <c r="B733" t="s">
        <v>244</v>
      </c>
      <c r="C733">
        <v>1</v>
      </c>
    </row>
    <row r="734" spans="1:3">
      <c r="A734" t="s">
        <v>223</v>
      </c>
      <c r="B734" t="s">
        <v>242</v>
      </c>
      <c r="C734">
        <v>1</v>
      </c>
    </row>
    <row r="735" spans="1:3">
      <c r="A735" t="s">
        <v>88</v>
      </c>
      <c r="B735" t="s">
        <v>238</v>
      </c>
      <c r="C735">
        <v>4</v>
      </c>
    </row>
    <row r="736" spans="1:3">
      <c r="A736" t="s">
        <v>88</v>
      </c>
      <c r="B736" t="s">
        <v>241</v>
      </c>
      <c r="C736">
        <v>3</v>
      </c>
    </row>
    <row r="737" spans="1:3">
      <c r="A737" t="s">
        <v>88</v>
      </c>
      <c r="B737" t="s">
        <v>243</v>
      </c>
      <c r="C737">
        <v>2</v>
      </c>
    </row>
    <row r="738" spans="1:3">
      <c r="A738" t="s">
        <v>88</v>
      </c>
      <c r="B738" t="s">
        <v>239</v>
      </c>
      <c r="C738">
        <v>1</v>
      </c>
    </row>
    <row r="739" spans="1:3">
      <c r="A739" t="s">
        <v>88</v>
      </c>
      <c r="B739" t="s">
        <v>240</v>
      </c>
      <c r="C739">
        <v>1</v>
      </c>
    </row>
    <row r="740" spans="1:3">
      <c r="A740" t="s">
        <v>138</v>
      </c>
      <c r="B740" t="s">
        <v>241</v>
      </c>
      <c r="C740">
        <v>8</v>
      </c>
    </row>
    <row r="741" spans="1:3">
      <c r="A741" t="s">
        <v>138</v>
      </c>
      <c r="B741" t="s">
        <v>239</v>
      </c>
      <c r="C741">
        <v>5</v>
      </c>
    </row>
    <row r="742" spans="1:3">
      <c r="A742" t="s">
        <v>138</v>
      </c>
      <c r="B742" t="s">
        <v>242</v>
      </c>
      <c r="C742">
        <v>3</v>
      </c>
    </row>
    <row r="743" spans="1:3">
      <c r="A743" t="s">
        <v>138</v>
      </c>
      <c r="B743" t="s">
        <v>240</v>
      </c>
      <c r="C743">
        <v>1</v>
      </c>
    </row>
    <row r="744" spans="1:3">
      <c r="A744" t="s">
        <v>138</v>
      </c>
      <c r="B744" t="s">
        <v>238</v>
      </c>
      <c r="C744">
        <v>1</v>
      </c>
    </row>
    <row r="745" spans="1:3">
      <c r="A745" t="s">
        <v>138</v>
      </c>
      <c r="B745" t="s">
        <v>244</v>
      </c>
      <c r="C745">
        <v>1</v>
      </c>
    </row>
    <row r="746" spans="1:3">
      <c r="A746" t="s">
        <v>139</v>
      </c>
      <c r="B746" t="s">
        <v>241</v>
      </c>
      <c r="C746">
        <v>2</v>
      </c>
    </row>
    <row r="747" spans="1:3">
      <c r="A747" t="s">
        <v>139</v>
      </c>
      <c r="B747" t="s">
        <v>240</v>
      </c>
      <c r="C747">
        <v>2</v>
      </c>
    </row>
    <row r="748" spans="1:3">
      <c r="A748" t="s">
        <v>139</v>
      </c>
      <c r="B748" t="s">
        <v>242</v>
      </c>
      <c r="C748">
        <v>2</v>
      </c>
    </row>
    <row r="749" spans="1:3">
      <c r="A749" t="s">
        <v>139</v>
      </c>
      <c r="B749" t="s">
        <v>243</v>
      </c>
      <c r="C749">
        <v>1</v>
      </c>
    </row>
    <row r="750" spans="1:3">
      <c r="A750" t="s">
        <v>139</v>
      </c>
      <c r="B750" t="s">
        <v>246</v>
      </c>
      <c r="C750">
        <v>1</v>
      </c>
    </row>
    <row r="751" spans="1:3">
      <c r="A751" t="s">
        <v>89</v>
      </c>
      <c r="B751" t="s">
        <v>243</v>
      </c>
      <c r="C751">
        <v>58</v>
      </c>
    </row>
    <row r="752" spans="1:3">
      <c r="A752" t="s">
        <v>89</v>
      </c>
      <c r="B752" t="s">
        <v>250</v>
      </c>
      <c r="C752">
        <v>49</v>
      </c>
    </row>
    <row r="753" spans="1:3">
      <c r="A753" t="s">
        <v>89</v>
      </c>
      <c r="B753" t="s">
        <v>241</v>
      </c>
      <c r="C753">
        <v>24</v>
      </c>
    </row>
    <row r="754" spans="1:3">
      <c r="A754" t="s">
        <v>89</v>
      </c>
      <c r="B754" t="s">
        <v>240</v>
      </c>
      <c r="C754">
        <v>21</v>
      </c>
    </row>
    <row r="755" spans="1:3">
      <c r="A755" t="s">
        <v>89</v>
      </c>
      <c r="B755" t="s">
        <v>239</v>
      </c>
      <c r="C755">
        <v>10</v>
      </c>
    </row>
    <row r="756" spans="1:3">
      <c r="A756" t="s">
        <v>89</v>
      </c>
      <c r="B756" t="s">
        <v>242</v>
      </c>
      <c r="C756">
        <v>3</v>
      </c>
    </row>
    <row r="757" spans="1:3">
      <c r="A757" t="s">
        <v>89</v>
      </c>
      <c r="B757" t="s">
        <v>252</v>
      </c>
      <c r="C757">
        <v>3</v>
      </c>
    </row>
    <row r="758" spans="1:3">
      <c r="A758" t="s">
        <v>89</v>
      </c>
      <c r="B758" t="s">
        <v>238</v>
      </c>
      <c r="C758">
        <v>2</v>
      </c>
    </row>
    <row r="759" spans="1:3">
      <c r="A759" t="s">
        <v>89</v>
      </c>
      <c r="B759" t="s">
        <v>248</v>
      </c>
      <c r="C759">
        <v>2</v>
      </c>
    </row>
    <row r="760" spans="1:3">
      <c r="A760" t="s">
        <v>89</v>
      </c>
      <c r="B760" t="s">
        <v>249</v>
      </c>
      <c r="C760">
        <v>1</v>
      </c>
    </row>
    <row r="761" spans="1:3">
      <c r="A761" t="s">
        <v>90</v>
      </c>
      <c r="B761" t="s">
        <v>241</v>
      </c>
      <c r="C761">
        <v>7</v>
      </c>
    </row>
    <row r="762" spans="1:3">
      <c r="A762" t="s">
        <v>90</v>
      </c>
      <c r="B762" t="s">
        <v>242</v>
      </c>
      <c r="C762">
        <v>4</v>
      </c>
    </row>
    <row r="763" spans="1:3">
      <c r="A763" t="s">
        <v>90</v>
      </c>
      <c r="B763" t="s">
        <v>240</v>
      </c>
      <c r="C763">
        <v>1</v>
      </c>
    </row>
    <row r="764" spans="1:3">
      <c r="A764" t="s">
        <v>188</v>
      </c>
      <c r="B764" t="s">
        <v>241</v>
      </c>
      <c r="C764">
        <v>14</v>
      </c>
    </row>
    <row r="765" spans="1:3">
      <c r="A765" t="s">
        <v>188</v>
      </c>
      <c r="B765" t="s">
        <v>242</v>
      </c>
      <c r="C765">
        <v>9</v>
      </c>
    </row>
    <row r="766" spans="1:3">
      <c r="A766" t="s">
        <v>188</v>
      </c>
      <c r="B766" t="s">
        <v>239</v>
      </c>
      <c r="C766">
        <v>9</v>
      </c>
    </row>
    <row r="767" spans="1:3">
      <c r="A767" t="s">
        <v>188</v>
      </c>
      <c r="B767" t="s">
        <v>243</v>
      </c>
      <c r="C767">
        <v>9</v>
      </c>
    </row>
    <row r="768" spans="1:3">
      <c r="A768" t="s">
        <v>188</v>
      </c>
      <c r="B768" t="s">
        <v>240</v>
      </c>
      <c r="C768">
        <v>3</v>
      </c>
    </row>
    <row r="769" spans="1:3">
      <c r="A769" t="s">
        <v>188</v>
      </c>
      <c r="B769" t="s">
        <v>244</v>
      </c>
      <c r="C769">
        <v>1</v>
      </c>
    </row>
    <row r="770" spans="1:3">
      <c r="A770" t="s">
        <v>38</v>
      </c>
      <c r="B770" t="s">
        <v>242</v>
      </c>
      <c r="C770">
        <v>3</v>
      </c>
    </row>
    <row r="771" spans="1:3">
      <c r="A771" t="s">
        <v>38</v>
      </c>
      <c r="B771" t="s">
        <v>244</v>
      </c>
      <c r="C771">
        <v>1</v>
      </c>
    </row>
    <row r="772" spans="1:3">
      <c r="A772" t="s">
        <v>38</v>
      </c>
      <c r="B772" t="s">
        <v>240</v>
      </c>
      <c r="C772">
        <v>1</v>
      </c>
    </row>
    <row r="773" spans="1:3">
      <c r="A773" t="s">
        <v>38</v>
      </c>
      <c r="B773" t="s">
        <v>241</v>
      </c>
      <c r="C773">
        <v>1</v>
      </c>
    </row>
    <row r="774" spans="1:3">
      <c r="A774" t="s">
        <v>38</v>
      </c>
      <c r="B774" t="s">
        <v>238</v>
      </c>
      <c r="C774">
        <v>1</v>
      </c>
    </row>
    <row r="775" spans="1:3">
      <c r="A775" t="s">
        <v>224</v>
      </c>
      <c r="B775" t="s">
        <v>242</v>
      </c>
      <c r="C775">
        <v>5</v>
      </c>
    </row>
    <row r="776" spans="1:3">
      <c r="A776" t="s">
        <v>224</v>
      </c>
      <c r="B776" t="s">
        <v>241</v>
      </c>
      <c r="C776">
        <v>3</v>
      </c>
    </row>
    <row r="777" spans="1:3">
      <c r="A777" t="s">
        <v>224</v>
      </c>
      <c r="B777" t="s">
        <v>243</v>
      </c>
      <c r="C777">
        <v>1</v>
      </c>
    </row>
    <row r="778" spans="1:3">
      <c r="A778" t="s">
        <v>224</v>
      </c>
      <c r="B778" t="s">
        <v>238</v>
      </c>
      <c r="C778">
        <v>1</v>
      </c>
    </row>
    <row r="779" spans="1:3">
      <c r="A779" t="s">
        <v>91</v>
      </c>
      <c r="B779" t="s">
        <v>241</v>
      </c>
      <c r="C779">
        <v>26</v>
      </c>
    </row>
    <row r="780" spans="1:3">
      <c r="A780" t="s">
        <v>91</v>
      </c>
      <c r="B780" t="s">
        <v>240</v>
      </c>
      <c r="C780">
        <v>4</v>
      </c>
    </row>
    <row r="781" spans="1:3">
      <c r="A781" t="s">
        <v>91</v>
      </c>
      <c r="B781" t="s">
        <v>242</v>
      </c>
      <c r="C781">
        <v>4</v>
      </c>
    </row>
    <row r="782" spans="1:3">
      <c r="A782" t="s">
        <v>91</v>
      </c>
      <c r="B782" t="s">
        <v>238</v>
      </c>
      <c r="C782">
        <v>3</v>
      </c>
    </row>
    <row r="783" spans="1:3">
      <c r="A783" t="s">
        <v>91</v>
      </c>
      <c r="B783" t="s">
        <v>243</v>
      </c>
      <c r="C783">
        <v>3</v>
      </c>
    </row>
    <row r="784" spans="1:3">
      <c r="A784" t="s">
        <v>91</v>
      </c>
      <c r="B784" t="s">
        <v>244</v>
      </c>
      <c r="C784">
        <v>1</v>
      </c>
    </row>
    <row r="785" spans="1:3">
      <c r="A785" t="s">
        <v>91</v>
      </c>
      <c r="B785" t="s">
        <v>246</v>
      </c>
      <c r="C785">
        <v>1</v>
      </c>
    </row>
    <row r="786" spans="1:3">
      <c r="A786" t="s">
        <v>92</v>
      </c>
      <c r="B786" t="s">
        <v>241</v>
      </c>
      <c r="C786">
        <v>10</v>
      </c>
    </row>
    <row r="787" spans="1:3">
      <c r="A787" t="s">
        <v>92</v>
      </c>
      <c r="B787" t="s">
        <v>239</v>
      </c>
      <c r="C787">
        <v>3</v>
      </c>
    </row>
    <row r="788" spans="1:3">
      <c r="A788" t="s">
        <v>92</v>
      </c>
      <c r="B788" t="s">
        <v>238</v>
      </c>
      <c r="C788">
        <v>2</v>
      </c>
    </row>
    <row r="789" spans="1:3">
      <c r="A789" t="s">
        <v>92</v>
      </c>
      <c r="B789" t="s">
        <v>243</v>
      </c>
      <c r="C789">
        <v>2</v>
      </c>
    </row>
    <row r="790" spans="1:3">
      <c r="A790" t="s">
        <v>92</v>
      </c>
      <c r="B790" t="s">
        <v>242</v>
      </c>
      <c r="C790">
        <v>2</v>
      </c>
    </row>
    <row r="791" spans="1:3">
      <c r="A791" t="s">
        <v>92</v>
      </c>
      <c r="B791" t="s">
        <v>240</v>
      </c>
      <c r="C791">
        <v>1</v>
      </c>
    </row>
    <row r="792" spans="1:3">
      <c r="A792" t="s">
        <v>92</v>
      </c>
      <c r="B792" t="s">
        <v>249</v>
      </c>
      <c r="C792">
        <v>1</v>
      </c>
    </row>
    <row r="793" spans="1:3">
      <c r="A793" t="s">
        <v>93</v>
      </c>
      <c r="B793" t="s">
        <v>241</v>
      </c>
      <c r="C793">
        <v>4</v>
      </c>
    </row>
    <row r="794" spans="1:3">
      <c r="A794" t="s">
        <v>93</v>
      </c>
      <c r="B794" t="s">
        <v>238</v>
      </c>
      <c r="C794">
        <v>2</v>
      </c>
    </row>
    <row r="795" spans="1:3">
      <c r="A795" t="s">
        <v>93</v>
      </c>
      <c r="B795" t="s">
        <v>242</v>
      </c>
      <c r="C795">
        <v>2</v>
      </c>
    </row>
    <row r="796" spans="1:3">
      <c r="A796" t="s">
        <v>93</v>
      </c>
      <c r="B796" t="s">
        <v>239</v>
      </c>
      <c r="C796">
        <v>1</v>
      </c>
    </row>
    <row r="797" spans="1:3">
      <c r="A797" t="s">
        <v>93</v>
      </c>
      <c r="B797" t="s">
        <v>243</v>
      </c>
      <c r="C797">
        <v>1</v>
      </c>
    </row>
    <row r="798" spans="1:3">
      <c r="A798" t="s">
        <v>189</v>
      </c>
      <c r="B798" t="s">
        <v>240</v>
      </c>
      <c r="C798">
        <v>1</v>
      </c>
    </row>
    <row r="799" spans="1:3">
      <c r="A799" t="s">
        <v>225</v>
      </c>
      <c r="B799" t="s">
        <v>250</v>
      </c>
      <c r="C799">
        <v>3</v>
      </c>
    </row>
    <row r="800" spans="1:3">
      <c r="A800" t="s">
        <v>225</v>
      </c>
      <c r="B800" t="s">
        <v>240</v>
      </c>
      <c r="C800">
        <v>2</v>
      </c>
    </row>
    <row r="801" spans="1:3">
      <c r="A801" t="s">
        <v>225</v>
      </c>
      <c r="B801" t="s">
        <v>241</v>
      </c>
      <c r="C801">
        <v>1</v>
      </c>
    </row>
    <row r="802" spans="1:3">
      <c r="A802" t="s">
        <v>225</v>
      </c>
      <c r="B802" t="s">
        <v>243</v>
      </c>
      <c r="C802">
        <v>1</v>
      </c>
    </row>
    <row r="803" spans="1:3">
      <c r="A803" t="s">
        <v>225</v>
      </c>
      <c r="B803" t="s">
        <v>248</v>
      </c>
      <c r="C803">
        <v>1</v>
      </c>
    </row>
    <row r="804" spans="1:3">
      <c r="A804" t="s">
        <v>225</v>
      </c>
      <c r="B804" t="s">
        <v>252</v>
      </c>
      <c r="C804">
        <v>1</v>
      </c>
    </row>
    <row r="805" spans="1:3">
      <c r="A805" t="s">
        <v>39</v>
      </c>
      <c r="B805" t="s">
        <v>243</v>
      </c>
      <c r="C805">
        <v>2</v>
      </c>
    </row>
    <row r="806" spans="1:3">
      <c r="A806" t="s">
        <v>39</v>
      </c>
      <c r="B806" t="s">
        <v>239</v>
      </c>
      <c r="C806">
        <v>2</v>
      </c>
    </row>
    <row r="807" spans="1:3">
      <c r="A807" t="s">
        <v>39</v>
      </c>
      <c r="B807" t="s">
        <v>240</v>
      </c>
      <c r="C807">
        <v>1</v>
      </c>
    </row>
    <row r="808" spans="1:3">
      <c r="A808" t="s">
        <v>39</v>
      </c>
      <c r="B808" t="s">
        <v>238</v>
      </c>
      <c r="C808">
        <v>1</v>
      </c>
    </row>
    <row r="809" spans="1:3">
      <c r="A809" t="s">
        <v>39</v>
      </c>
      <c r="B809" t="s">
        <v>242</v>
      </c>
      <c r="C809">
        <v>1</v>
      </c>
    </row>
    <row r="810" spans="1:3">
      <c r="A810" t="s">
        <v>140</v>
      </c>
      <c r="B810" t="s">
        <v>241</v>
      </c>
      <c r="C810">
        <v>6</v>
      </c>
    </row>
    <row r="811" spans="1:3">
      <c r="A811" t="s">
        <v>140</v>
      </c>
      <c r="B811" t="s">
        <v>242</v>
      </c>
      <c r="C811">
        <v>4</v>
      </c>
    </row>
    <row r="812" spans="1:3">
      <c r="A812" t="s">
        <v>140</v>
      </c>
      <c r="B812" t="s">
        <v>243</v>
      </c>
      <c r="C812">
        <v>2</v>
      </c>
    </row>
    <row r="813" spans="1:3">
      <c r="A813" t="s">
        <v>140</v>
      </c>
      <c r="B813" t="s">
        <v>238</v>
      </c>
      <c r="C813">
        <v>1</v>
      </c>
    </row>
    <row r="814" spans="1:3">
      <c r="A814" t="s">
        <v>40</v>
      </c>
      <c r="B814" t="s">
        <v>242</v>
      </c>
      <c r="C814">
        <v>18</v>
      </c>
    </row>
    <row r="815" spans="1:3">
      <c r="A815" t="s">
        <v>40</v>
      </c>
      <c r="B815" t="s">
        <v>241</v>
      </c>
      <c r="C815">
        <v>8</v>
      </c>
    </row>
    <row r="816" spans="1:3">
      <c r="A816" t="s">
        <v>40</v>
      </c>
      <c r="B816" t="s">
        <v>238</v>
      </c>
      <c r="C816">
        <v>4</v>
      </c>
    </row>
    <row r="817" spans="1:3">
      <c r="A817" t="s">
        <v>40</v>
      </c>
      <c r="B817" t="s">
        <v>243</v>
      </c>
      <c r="C817">
        <v>2</v>
      </c>
    </row>
    <row r="818" spans="1:3">
      <c r="A818" t="s">
        <v>40</v>
      </c>
      <c r="B818" t="s">
        <v>239</v>
      </c>
      <c r="C818">
        <v>1</v>
      </c>
    </row>
    <row r="819" spans="1:3">
      <c r="A819" t="s">
        <v>41</v>
      </c>
      <c r="B819" t="s">
        <v>250</v>
      </c>
      <c r="C819">
        <v>57</v>
      </c>
    </row>
    <row r="820" spans="1:3">
      <c r="A820" t="s">
        <v>41</v>
      </c>
      <c r="B820" t="s">
        <v>240</v>
      </c>
      <c r="C820">
        <v>54</v>
      </c>
    </row>
    <row r="821" spans="1:3">
      <c r="A821" t="s">
        <v>41</v>
      </c>
      <c r="B821" t="s">
        <v>241</v>
      </c>
      <c r="C821">
        <v>52</v>
      </c>
    </row>
    <row r="822" spans="1:3">
      <c r="A822" t="s">
        <v>41</v>
      </c>
      <c r="B822" t="s">
        <v>239</v>
      </c>
      <c r="C822">
        <v>37</v>
      </c>
    </row>
    <row r="823" spans="1:3">
      <c r="A823" t="s">
        <v>41</v>
      </c>
      <c r="B823" t="s">
        <v>242</v>
      </c>
      <c r="C823">
        <v>12</v>
      </c>
    </row>
    <row r="824" spans="1:3">
      <c r="A824" t="s">
        <v>41</v>
      </c>
      <c r="B824" t="s">
        <v>243</v>
      </c>
      <c r="C824">
        <v>9</v>
      </c>
    </row>
    <row r="825" spans="1:3">
      <c r="A825" t="s">
        <v>41</v>
      </c>
      <c r="B825" t="s">
        <v>249</v>
      </c>
      <c r="C825">
        <v>4</v>
      </c>
    </row>
    <row r="826" spans="1:3">
      <c r="A826" t="s">
        <v>41</v>
      </c>
      <c r="B826" t="s">
        <v>238</v>
      </c>
      <c r="C826">
        <v>3</v>
      </c>
    </row>
    <row r="827" spans="1:3">
      <c r="A827" t="s">
        <v>41</v>
      </c>
      <c r="B827" t="s">
        <v>246</v>
      </c>
      <c r="C827">
        <v>2</v>
      </c>
    </row>
    <row r="828" spans="1:3">
      <c r="A828" t="s">
        <v>42</v>
      </c>
      <c r="B828" t="s">
        <v>242</v>
      </c>
      <c r="C828">
        <v>1</v>
      </c>
    </row>
    <row r="829" spans="1:3">
      <c r="A829" t="s">
        <v>42</v>
      </c>
      <c r="B829" t="s">
        <v>240</v>
      </c>
      <c r="C829">
        <v>1</v>
      </c>
    </row>
    <row r="830" spans="1:3">
      <c r="A830" t="s">
        <v>42</v>
      </c>
      <c r="B830" t="s">
        <v>241</v>
      </c>
      <c r="C830">
        <v>1</v>
      </c>
    </row>
    <row r="831" spans="1:3">
      <c r="A831" t="s">
        <v>141</v>
      </c>
      <c r="B831" t="s">
        <v>241</v>
      </c>
      <c r="C831">
        <v>2</v>
      </c>
    </row>
    <row r="832" spans="1:3">
      <c r="A832" t="s">
        <v>141</v>
      </c>
      <c r="B832" t="s">
        <v>242</v>
      </c>
      <c r="C832">
        <v>2</v>
      </c>
    </row>
    <row r="833" spans="1:3">
      <c r="A833" t="s">
        <v>141</v>
      </c>
      <c r="B833" t="s">
        <v>239</v>
      </c>
      <c r="C833">
        <v>1</v>
      </c>
    </row>
    <row r="834" spans="1:3">
      <c r="A834" t="s">
        <v>226</v>
      </c>
      <c r="B834" t="s">
        <v>241</v>
      </c>
      <c r="C834">
        <v>10</v>
      </c>
    </row>
    <row r="835" spans="1:3">
      <c r="A835" t="s">
        <v>226</v>
      </c>
      <c r="B835" t="s">
        <v>242</v>
      </c>
      <c r="C835">
        <v>4</v>
      </c>
    </row>
    <row r="836" spans="1:3">
      <c r="A836" t="s">
        <v>226</v>
      </c>
      <c r="B836" t="s">
        <v>240</v>
      </c>
      <c r="C836">
        <v>2</v>
      </c>
    </row>
    <row r="837" spans="1:3">
      <c r="A837" t="s">
        <v>226</v>
      </c>
      <c r="B837" t="s">
        <v>239</v>
      </c>
      <c r="C837">
        <v>1</v>
      </c>
    </row>
    <row r="838" spans="1:3">
      <c r="A838" t="s">
        <v>226</v>
      </c>
      <c r="B838" t="s">
        <v>243</v>
      </c>
      <c r="C838">
        <v>1</v>
      </c>
    </row>
    <row r="839" spans="1:3">
      <c r="A839" t="s">
        <v>43</v>
      </c>
      <c r="B839" t="s">
        <v>242</v>
      </c>
      <c r="C839">
        <v>1</v>
      </c>
    </row>
    <row r="840" spans="1:3">
      <c r="A840" t="s">
        <v>43</v>
      </c>
      <c r="B840" t="s">
        <v>241</v>
      </c>
      <c r="C840">
        <v>1</v>
      </c>
    </row>
    <row r="841" spans="1:3">
      <c r="A841" t="s">
        <v>44</v>
      </c>
      <c r="B841" t="s">
        <v>242</v>
      </c>
      <c r="C841">
        <v>3</v>
      </c>
    </row>
    <row r="842" spans="1:3">
      <c r="A842" t="s">
        <v>44</v>
      </c>
      <c r="B842" t="s">
        <v>241</v>
      </c>
      <c r="C842">
        <v>1</v>
      </c>
    </row>
    <row r="843" spans="1:3">
      <c r="A843" t="s">
        <v>44</v>
      </c>
      <c r="B843" t="s">
        <v>240</v>
      </c>
      <c r="C843">
        <v>1</v>
      </c>
    </row>
    <row r="844" spans="1:3">
      <c r="A844" t="s">
        <v>44</v>
      </c>
      <c r="B844" t="s">
        <v>243</v>
      </c>
      <c r="C844">
        <v>1</v>
      </c>
    </row>
    <row r="845" spans="1:3">
      <c r="A845" t="s">
        <v>45</v>
      </c>
      <c r="B845" t="s">
        <v>241</v>
      </c>
      <c r="C845">
        <v>4</v>
      </c>
    </row>
    <row r="846" spans="1:3">
      <c r="A846" t="s">
        <v>45</v>
      </c>
      <c r="B846" t="s">
        <v>243</v>
      </c>
      <c r="C846">
        <v>2</v>
      </c>
    </row>
    <row r="847" spans="1:3">
      <c r="A847" t="s">
        <v>45</v>
      </c>
      <c r="B847" t="s">
        <v>244</v>
      </c>
      <c r="C847">
        <v>1</v>
      </c>
    </row>
    <row r="848" spans="1:3">
      <c r="A848" t="s">
        <v>45</v>
      </c>
      <c r="B848" t="s">
        <v>238</v>
      </c>
      <c r="C848">
        <v>1</v>
      </c>
    </row>
    <row r="849" spans="1:3">
      <c r="A849" t="s">
        <v>143</v>
      </c>
      <c r="B849" t="s">
        <v>241</v>
      </c>
      <c r="C849">
        <v>3</v>
      </c>
    </row>
    <row r="850" spans="1:3">
      <c r="A850" t="s">
        <v>143</v>
      </c>
      <c r="B850" t="s">
        <v>242</v>
      </c>
      <c r="C850">
        <v>3</v>
      </c>
    </row>
    <row r="851" spans="1:3">
      <c r="A851" t="s">
        <v>142</v>
      </c>
      <c r="B851" t="s">
        <v>242</v>
      </c>
      <c r="C851">
        <v>4</v>
      </c>
    </row>
    <row r="852" spans="1:3">
      <c r="A852" t="s">
        <v>142</v>
      </c>
      <c r="B852" t="s">
        <v>238</v>
      </c>
      <c r="C852">
        <v>3</v>
      </c>
    </row>
    <row r="853" spans="1:3">
      <c r="A853" t="s">
        <v>142</v>
      </c>
      <c r="B853" t="s">
        <v>241</v>
      </c>
      <c r="C853">
        <v>2</v>
      </c>
    </row>
    <row r="854" spans="1:3">
      <c r="A854" t="s">
        <v>142</v>
      </c>
      <c r="B854" t="s">
        <v>244</v>
      </c>
      <c r="C854">
        <v>1</v>
      </c>
    </row>
    <row r="855" spans="1:3">
      <c r="A855" t="s">
        <v>142</v>
      </c>
      <c r="B855" t="s">
        <v>243</v>
      </c>
      <c r="C855">
        <v>1</v>
      </c>
    </row>
    <row r="856" spans="1:3">
      <c r="A856" t="s">
        <v>46</v>
      </c>
      <c r="B856" t="s">
        <v>242</v>
      </c>
      <c r="C856">
        <v>7</v>
      </c>
    </row>
    <row r="857" spans="1:3">
      <c r="A857" t="s">
        <v>46</v>
      </c>
      <c r="B857" t="s">
        <v>238</v>
      </c>
      <c r="C857">
        <v>4</v>
      </c>
    </row>
    <row r="858" spans="1:3">
      <c r="A858" t="s">
        <v>46</v>
      </c>
      <c r="B858" t="s">
        <v>247</v>
      </c>
      <c r="C858">
        <v>2</v>
      </c>
    </row>
    <row r="859" spans="1:3">
      <c r="A859" t="s">
        <v>46</v>
      </c>
      <c r="B859" t="s">
        <v>243</v>
      </c>
      <c r="C859">
        <v>2</v>
      </c>
    </row>
    <row r="860" spans="1:3">
      <c r="A860" t="s">
        <v>46</v>
      </c>
      <c r="B860" t="s">
        <v>244</v>
      </c>
      <c r="C860">
        <v>1</v>
      </c>
    </row>
    <row r="861" spans="1:3">
      <c r="A861" t="s">
        <v>46</v>
      </c>
      <c r="B861" t="s">
        <v>241</v>
      </c>
      <c r="C861">
        <v>1</v>
      </c>
    </row>
    <row r="862" spans="1:3">
      <c r="A862" t="s">
        <v>46</v>
      </c>
      <c r="B862" t="s">
        <v>240</v>
      </c>
      <c r="C862">
        <v>1</v>
      </c>
    </row>
    <row r="863" spans="1:3">
      <c r="A863" t="s">
        <v>46</v>
      </c>
      <c r="B863" t="s">
        <v>246</v>
      </c>
      <c r="C863">
        <v>1</v>
      </c>
    </row>
    <row r="864" spans="1:3">
      <c r="A864" t="s">
        <v>144</v>
      </c>
      <c r="B864" t="s">
        <v>240</v>
      </c>
      <c r="C864">
        <v>2</v>
      </c>
    </row>
    <row r="865" spans="1:3">
      <c r="A865" t="s">
        <v>144</v>
      </c>
      <c r="B865" t="s">
        <v>243</v>
      </c>
      <c r="C865">
        <v>2</v>
      </c>
    </row>
    <row r="866" spans="1:3">
      <c r="A866" t="s">
        <v>144</v>
      </c>
      <c r="B866" t="s">
        <v>244</v>
      </c>
      <c r="C866">
        <v>1</v>
      </c>
    </row>
    <row r="867" spans="1:3">
      <c r="A867" t="s">
        <v>94</v>
      </c>
      <c r="B867" t="s">
        <v>241</v>
      </c>
      <c r="C867">
        <v>2</v>
      </c>
    </row>
    <row r="868" spans="1:3">
      <c r="A868" t="s">
        <v>94</v>
      </c>
      <c r="B868" t="s">
        <v>238</v>
      </c>
      <c r="C868">
        <v>1</v>
      </c>
    </row>
    <row r="869" spans="1:3">
      <c r="A869" t="s">
        <v>145</v>
      </c>
      <c r="B869" t="s">
        <v>241</v>
      </c>
      <c r="C869">
        <v>1</v>
      </c>
    </row>
    <row r="870" spans="1:3">
      <c r="A870" t="s">
        <v>146</v>
      </c>
      <c r="B870" t="s">
        <v>241</v>
      </c>
      <c r="C870">
        <v>4</v>
      </c>
    </row>
    <row r="871" spans="1:3">
      <c r="A871" t="s">
        <v>146</v>
      </c>
      <c r="B871" t="s">
        <v>242</v>
      </c>
      <c r="C871">
        <v>2</v>
      </c>
    </row>
    <row r="872" spans="1:3">
      <c r="A872" t="s">
        <v>146</v>
      </c>
      <c r="B872" t="s">
        <v>243</v>
      </c>
      <c r="C872">
        <v>1</v>
      </c>
    </row>
    <row r="873" spans="1:3">
      <c r="A873" t="s">
        <v>146</v>
      </c>
      <c r="B873" t="s">
        <v>244</v>
      </c>
      <c r="C873">
        <v>1</v>
      </c>
    </row>
    <row r="874" spans="1:3">
      <c r="A874" t="s">
        <v>146</v>
      </c>
      <c r="B874" t="s">
        <v>240</v>
      </c>
      <c r="C874">
        <v>1</v>
      </c>
    </row>
    <row r="875" spans="1:3">
      <c r="A875" t="s">
        <v>95</v>
      </c>
      <c r="B875" t="s">
        <v>241</v>
      </c>
      <c r="C875">
        <v>5</v>
      </c>
    </row>
    <row r="876" spans="1:3">
      <c r="A876" t="s">
        <v>95</v>
      </c>
      <c r="B876" t="s">
        <v>242</v>
      </c>
      <c r="C876">
        <v>2</v>
      </c>
    </row>
    <row r="877" spans="1:3">
      <c r="A877" t="s">
        <v>95</v>
      </c>
      <c r="B877" t="s">
        <v>240</v>
      </c>
      <c r="C877">
        <v>1</v>
      </c>
    </row>
    <row r="878" spans="1:3">
      <c r="A878" t="s">
        <v>227</v>
      </c>
      <c r="B878" t="s">
        <v>242</v>
      </c>
      <c r="C878">
        <v>4</v>
      </c>
    </row>
    <row r="879" spans="1:3">
      <c r="A879" t="s">
        <v>147</v>
      </c>
      <c r="B879" t="s">
        <v>250</v>
      </c>
      <c r="C879">
        <v>42</v>
      </c>
    </row>
    <row r="880" spans="1:3">
      <c r="A880" t="s">
        <v>147</v>
      </c>
      <c r="B880" t="s">
        <v>241</v>
      </c>
      <c r="C880">
        <v>17</v>
      </c>
    </row>
    <row r="881" spans="1:3">
      <c r="A881" t="s">
        <v>147</v>
      </c>
      <c r="B881" t="s">
        <v>243</v>
      </c>
      <c r="C881">
        <v>13</v>
      </c>
    </row>
    <row r="882" spans="1:3">
      <c r="A882" t="s">
        <v>147</v>
      </c>
      <c r="B882" t="s">
        <v>240</v>
      </c>
      <c r="C882">
        <v>8</v>
      </c>
    </row>
    <row r="883" spans="1:3">
      <c r="A883" t="s">
        <v>147</v>
      </c>
      <c r="B883" t="s">
        <v>249</v>
      </c>
      <c r="C883">
        <v>8</v>
      </c>
    </row>
    <row r="884" spans="1:3">
      <c r="A884" t="s">
        <v>147</v>
      </c>
      <c r="B884" t="s">
        <v>242</v>
      </c>
      <c r="C884">
        <v>2</v>
      </c>
    </row>
    <row r="885" spans="1:3">
      <c r="A885" t="s">
        <v>147</v>
      </c>
      <c r="B885" t="s">
        <v>239</v>
      </c>
      <c r="C885">
        <v>2</v>
      </c>
    </row>
    <row r="886" spans="1:3">
      <c r="A886" t="s">
        <v>147</v>
      </c>
      <c r="B886" t="s">
        <v>244</v>
      </c>
      <c r="C886">
        <v>2</v>
      </c>
    </row>
    <row r="887" spans="1:3">
      <c r="A887" t="s">
        <v>228</v>
      </c>
      <c r="B887" t="s">
        <v>250</v>
      </c>
      <c r="C887">
        <v>61</v>
      </c>
    </row>
    <row r="888" spans="1:3">
      <c r="A888" t="s">
        <v>228</v>
      </c>
      <c r="B888" t="s">
        <v>241</v>
      </c>
      <c r="C888">
        <v>19</v>
      </c>
    </row>
    <row r="889" spans="1:3">
      <c r="A889" t="s">
        <v>228</v>
      </c>
      <c r="B889" t="s">
        <v>240</v>
      </c>
      <c r="C889">
        <v>17</v>
      </c>
    </row>
    <row r="890" spans="1:3">
      <c r="A890" t="s">
        <v>228</v>
      </c>
      <c r="B890" t="s">
        <v>243</v>
      </c>
      <c r="C890">
        <v>3</v>
      </c>
    </row>
    <row r="891" spans="1:3">
      <c r="A891" t="s">
        <v>228</v>
      </c>
      <c r="B891" t="s">
        <v>252</v>
      </c>
      <c r="C891">
        <v>1</v>
      </c>
    </row>
    <row r="892" spans="1:3">
      <c r="A892" t="s">
        <v>228</v>
      </c>
      <c r="B892" t="s">
        <v>246</v>
      </c>
      <c r="C892">
        <v>1</v>
      </c>
    </row>
    <row r="893" spans="1:3">
      <c r="A893" t="s">
        <v>228</v>
      </c>
      <c r="B893" t="s">
        <v>242</v>
      </c>
      <c r="C893">
        <v>1</v>
      </c>
    </row>
    <row r="894" spans="1:3">
      <c r="A894" t="s">
        <v>228</v>
      </c>
      <c r="B894" t="s">
        <v>244</v>
      </c>
      <c r="C894">
        <v>1</v>
      </c>
    </row>
    <row r="895" spans="1:3">
      <c r="A895" t="s">
        <v>229</v>
      </c>
      <c r="B895" t="s">
        <v>250</v>
      </c>
      <c r="C895">
        <v>37</v>
      </c>
    </row>
    <row r="896" spans="1:3">
      <c r="A896" t="s">
        <v>229</v>
      </c>
      <c r="B896" t="s">
        <v>241</v>
      </c>
      <c r="C896">
        <v>30</v>
      </c>
    </row>
    <row r="897" spans="1:3">
      <c r="A897" t="s">
        <v>229</v>
      </c>
      <c r="B897" t="s">
        <v>240</v>
      </c>
      <c r="C897">
        <v>5</v>
      </c>
    </row>
    <row r="898" spans="1:3">
      <c r="A898" t="s">
        <v>229</v>
      </c>
      <c r="B898" t="s">
        <v>243</v>
      </c>
      <c r="C898">
        <v>2</v>
      </c>
    </row>
    <row r="899" spans="1:3">
      <c r="A899" t="s">
        <v>229</v>
      </c>
      <c r="B899" t="s">
        <v>248</v>
      </c>
      <c r="C899">
        <v>2</v>
      </c>
    </row>
    <row r="900" spans="1:3">
      <c r="A900" t="s">
        <v>229</v>
      </c>
      <c r="B900" t="s">
        <v>249</v>
      </c>
      <c r="C900">
        <v>2</v>
      </c>
    </row>
    <row r="901" spans="1:3">
      <c r="A901" t="s">
        <v>229</v>
      </c>
      <c r="B901" t="s">
        <v>239</v>
      </c>
      <c r="C901">
        <v>1</v>
      </c>
    </row>
    <row r="902" spans="1:3">
      <c r="A902" t="s">
        <v>229</v>
      </c>
      <c r="B902" t="s">
        <v>244</v>
      </c>
      <c r="C902">
        <v>1</v>
      </c>
    </row>
    <row r="903" spans="1:3">
      <c r="A903" t="s">
        <v>229</v>
      </c>
      <c r="B903" t="s">
        <v>252</v>
      </c>
      <c r="C903">
        <v>1</v>
      </c>
    </row>
    <row r="904" spans="1:3">
      <c r="A904" t="s">
        <v>148</v>
      </c>
      <c r="B904" t="s">
        <v>239</v>
      </c>
      <c r="C904">
        <v>38</v>
      </c>
    </row>
    <row r="905" spans="1:3">
      <c r="A905" t="s">
        <v>148</v>
      </c>
      <c r="B905" t="s">
        <v>241</v>
      </c>
      <c r="C905">
        <v>19</v>
      </c>
    </row>
    <row r="906" spans="1:3">
      <c r="A906" t="s">
        <v>148</v>
      </c>
      <c r="B906" t="s">
        <v>250</v>
      </c>
      <c r="C906">
        <v>15</v>
      </c>
    </row>
    <row r="907" spans="1:3">
      <c r="A907" t="s">
        <v>148</v>
      </c>
      <c r="B907" t="s">
        <v>242</v>
      </c>
      <c r="C907">
        <v>8</v>
      </c>
    </row>
    <row r="908" spans="1:3">
      <c r="A908" t="s">
        <v>148</v>
      </c>
      <c r="B908" t="s">
        <v>243</v>
      </c>
      <c r="C908">
        <v>6</v>
      </c>
    </row>
    <row r="909" spans="1:3">
      <c r="A909" t="s">
        <v>148</v>
      </c>
      <c r="B909" t="s">
        <v>240</v>
      </c>
      <c r="C909">
        <v>5</v>
      </c>
    </row>
    <row r="910" spans="1:3">
      <c r="A910" t="s">
        <v>148</v>
      </c>
      <c r="B910" t="s">
        <v>238</v>
      </c>
      <c r="C910">
        <v>4</v>
      </c>
    </row>
    <row r="911" spans="1:3">
      <c r="A911" t="s">
        <v>148</v>
      </c>
      <c r="B911" t="s">
        <v>249</v>
      </c>
      <c r="C911">
        <v>4</v>
      </c>
    </row>
    <row r="912" spans="1:3">
      <c r="A912" t="s">
        <v>148</v>
      </c>
      <c r="B912" t="s">
        <v>244</v>
      </c>
      <c r="C912">
        <v>1</v>
      </c>
    </row>
    <row r="913" spans="1:3">
      <c r="A913" t="s">
        <v>148</v>
      </c>
      <c r="B913" t="s">
        <v>246</v>
      </c>
      <c r="C913">
        <v>1</v>
      </c>
    </row>
    <row r="914" spans="1:3">
      <c r="A914" t="s">
        <v>230</v>
      </c>
      <c r="B914" t="s">
        <v>243</v>
      </c>
      <c r="C914">
        <v>1</v>
      </c>
    </row>
    <row r="915" spans="1:3">
      <c r="A915" t="s">
        <v>230</v>
      </c>
      <c r="B915" t="s">
        <v>241</v>
      </c>
      <c r="C915">
        <v>1</v>
      </c>
    </row>
    <row r="916" spans="1:3">
      <c r="A916" t="s">
        <v>230</v>
      </c>
      <c r="B916" t="s">
        <v>242</v>
      </c>
      <c r="C916">
        <v>1</v>
      </c>
    </row>
    <row r="917" spans="1:3">
      <c r="A917" t="s">
        <v>149</v>
      </c>
      <c r="B917" t="s">
        <v>241</v>
      </c>
      <c r="C917">
        <v>13</v>
      </c>
    </row>
    <row r="918" spans="1:3">
      <c r="A918" t="s">
        <v>149</v>
      </c>
      <c r="B918" t="s">
        <v>242</v>
      </c>
      <c r="C918">
        <v>8</v>
      </c>
    </row>
    <row r="919" spans="1:3">
      <c r="A919" t="s">
        <v>149</v>
      </c>
      <c r="B919" t="s">
        <v>240</v>
      </c>
      <c r="C919">
        <v>6</v>
      </c>
    </row>
    <row r="920" spans="1:3">
      <c r="A920" t="s">
        <v>149</v>
      </c>
      <c r="B920" t="s">
        <v>243</v>
      </c>
      <c r="C920">
        <v>3</v>
      </c>
    </row>
    <row r="921" spans="1:3">
      <c r="A921" t="s">
        <v>149</v>
      </c>
      <c r="B921" t="s">
        <v>239</v>
      </c>
      <c r="C921">
        <v>3</v>
      </c>
    </row>
    <row r="922" spans="1:3">
      <c r="A922" t="s">
        <v>149</v>
      </c>
      <c r="B922" t="s">
        <v>238</v>
      </c>
      <c r="C922">
        <v>2</v>
      </c>
    </row>
    <row r="923" spans="1:3">
      <c r="A923" t="s">
        <v>149</v>
      </c>
      <c r="B923" t="s">
        <v>245</v>
      </c>
      <c r="C923">
        <v>1</v>
      </c>
    </row>
    <row r="924" spans="1:3">
      <c r="A924" t="s">
        <v>149</v>
      </c>
      <c r="B924" t="s">
        <v>244</v>
      </c>
      <c r="C924">
        <v>1</v>
      </c>
    </row>
    <row r="925" spans="1:3">
      <c r="A925" t="s">
        <v>190</v>
      </c>
      <c r="B925" t="s">
        <v>241</v>
      </c>
      <c r="C925">
        <v>19</v>
      </c>
    </row>
    <row r="926" spans="1:3">
      <c r="A926" t="s">
        <v>190</v>
      </c>
      <c r="B926" t="s">
        <v>242</v>
      </c>
      <c r="C926">
        <v>6</v>
      </c>
    </row>
    <row r="927" spans="1:3">
      <c r="A927" t="s">
        <v>190</v>
      </c>
      <c r="B927" t="s">
        <v>240</v>
      </c>
      <c r="C927">
        <v>5</v>
      </c>
    </row>
    <row r="928" spans="1:3">
      <c r="A928" t="s">
        <v>190</v>
      </c>
      <c r="B928" t="s">
        <v>238</v>
      </c>
      <c r="C928">
        <v>3</v>
      </c>
    </row>
    <row r="929" spans="1:3">
      <c r="A929" t="s">
        <v>190</v>
      </c>
      <c r="B929" t="s">
        <v>246</v>
      </c>
      <c r="C929">
        <v>1</v>
      </c>
    </row>
    <row r="930" spans="1:3">
      <c r="A930" t="s">
        <v>190</v>
      </c>
      <c r="B930" t="s">
        <v>244</v>
      </c>
      <c r="C930">
        <v>1</v>
      </c>
    </row>
    <row r="931" spans="1:3">
      <c r="A931" t="s">
        <v>190</v>
      </c>
      <c r="B931" t="s">
        <v>239</v>
      </c>
      <c r="C931">
        <v>1</v>
      </c>
    </row>
    <row r="932" spans="1:3">
      <c r="A932" t="s">
        <v>150</v>
      </c>
      <c r="B932" t="s">
        <v>243</v>
      </c>
      <c r="C932">
        <v>2</v>
      </c>
    </row>
    <row r="933" spans="1:3">
      <c r="A933" t="s">
        <v>150</v>
      </c>
      <c r="B933" t="s">
        <v>239</v>
      </c>
      <c r="C933">
        <v>1</v>
      </c>
    </row>
    <row r="934" spans="1:3">
      <c r="A934" t="s">
        <v>150</v>
      </c>
      <c r="B934" t="s">
        <v>238</v>
      </c>
      <c r="C934">
        <v>1</v>
      </c>
    </row>
    <row r="935" spans="1:3">
      <c r="A935" t="s">
        <v>191</v>
      </c>
      <c r="B935" t="s">
        <v>241</v>
      </c>
      <c r="C935">
        <v>11</v>
      </c>
    </row>
    <row r="936" spans="1:3">
      <c r="A936" t="s">
        <v>191</v>
      </c>
      <c r="B936" t="s">
        <v>242</v>
      </c>
      <c r="C936">
        <v>3</v>
      </c>
    </row>
    <row r="937" spans="1:3">
      <c r="A937" t="s">
        <v>191</v>
      </c>
      <c r="B937" t="s">
        <v>240</v>
      </c>
      <c r="C937">
        <v>2</v>
      </c>
    </row>
    <row r="938" spans="1:3">
      <c r="A938" t="s">
        <v>191</v>
      </c>
      <c r="B938" t="s">
        <v>246</v>
      </c>
      <c r="C938">
        <v>1</v>
      </c>
    </row>
    <row r="939" spans="1:3">
      <c r="A939" t="s">
        <v>96</v>
      </c>
      <c r="B939" t="s">
        <v>242</v>
      </c>
      <c r="C939">
        <v>4</v>
      </c>
    </row>
    <row r="940" spans="1:3">
      <c r="A940" t="s">
        <v>96</v>
      </c>
      <c r="B940" t="s">
        <v>238</v>
      </c>
      <c r="C940">
        <v>3</v>
      </c>
    </row>
    <row r="941" spans="1:3">
      <c r="A941" t="s">
        <v>96</v>
      </c>
      <c r="B941" t="s">
        <v>241</v>
      </c>
      <c r="C941">
        <v>3</v>
      </c>
    </row>
    <row r="942" spans="1:3">
      <c r="A942" t="s">
        <v>96</v>
      </c>
      <c r="B942" t="s">
        <v>244</v>
      </c>
      <c r="C942">
        <v>1</v>
      </c>
    </row>
    <row r="943" spans="1:3">
      <c r="A943" t="s">
        <v>192</v>
      </c>
      <c r="B943" t="s">
        <v>241</v>
      </c>
      <c r="C943">
        <v>3</v>
      </c>
    </row>
    <row r="944" spans="1:3">
      <c r="A944" t="s">
        <v>192</v>
      </c>
      <c r="B944" t="s">
        <v>245</v>
      </c>
      <c r="C944">
        <v>1</v>
      </c>
    </row>
    <row r="945" spans="1:3">
      <c r="A945" t="s">
        <v>192</v>
      </c>
      <c r="B945" t="s">
        <v>239</v>
      </c>
      <c r="C945">
        <v>1</v>
      </c>
    </row>
    <row r="946" spans="1:3">
      <c r="A946" t="s">
        <v>192</v>
      </c>
      <c r="B946" t="s">
        <v>242</v>
      </c>
      <c r="C946">
        <v>1</v>
      </c>
    </row>
    <row r="947" spans="1:3">
      <c r="A947" t="s">
        <v>47</v>
      </c>
      <c r="B947" t="s">
        <v>239</v>
      </c>
      <c r="C947">
        <v>3</v>
      </c>
    </row>
    <row r="948" spans="1:3">
      <c r="A948" t="s">
        <v>47</v>
      </c>
      <c r="B948" t="s">
        <v>240</v>
      </c>
      <c r="C948">
        <v>1</v>
      </c>
    </row>
    <row r="949" spans="1:3">
      <c r="A949" t="s">
        <v>47</v>
      </c>
      <c r="B949" t="s">
        <v>246</v>
      </c>
      <c r="C949">
        <v>1</v>
      </c>
    </row>
    <row r="950" spans="1:3">
      <c r="A950" t="s">
        <v>47</v>
      </c>
      <c r="B950" t="s">
        <v>242</v>
      </c>
      <c r="C950">
        <v>1</v>
      </c>
    </row>
    <row r="951" spans="1:3">
      <c r="A951" t="s">
        <v>47</v>
      </c>
      <c r="B951" t="s">
        <v>241</v>
      </c>
      <c r="C951">
        <v>1</v>
      </c>
    </row>
    <row r="952" spans="1:3">
      <c r="A952" t="s">
        <v>47</v>
      </c>
      <c r="B952" t="s">
        <v>238</v>
      </c>
      <c r="C952">
        <v>1</v>
      </c>
    </row>
    <row r="953" spans="1:3">
      <c r="A953" t="s">
        <v>193</v>
      </c>
      <c r="B953" t="s">
        <v>250</v>
      </c>
      <c r="C953">
        <v>109</v>
      </c>
    </row>
    <row r="954" spans="1:3">
      <c r="A954" t="s">
        <v>193</v>
      </c>
      <c r="B954" t="s">
        <v>240</v>
      </c>
      <c r="C954">
        <v>73</v>
      </c>
    </row>
    <row r="955" spans="1:3">
      <c r="A955" t="s">
        <v>193</v>
      </c>
      <c r="B955" t="s">
        <v>241</v>
      </c>
      <c r="C955">
        <v>58</v>
      </c>
    </row>
    <row r="956" spans="1:3">
      <c r="A956" t="s">
        <v>193</v>
      </c>
      <c r="B956" t="s">
        <v>243</v>
      </c>
      <c r="C956">
        <v>30</v>
      </c>
    </row>
    <row r="957" spans="1:3">
      <c r="A957" t="s">
        <v>193</v>
      </c>
      <c r="B957" t="s">
        <v>248</v>
      </c>
      <c r="C957">
        <v>15</v>
      </c>
    </row>
    <row r="958" spans="1:3">
      <c r="A958" t="s">
        <v>193</v>
      </c>
      <c r="B958" t="s">
        <v>239</v>
      </c>
      <c r="C958">
        <v>8</v>
      </c>
    </row>
    <row r="959" spans="1:3">
      <c r="A959" t="s">
        <v>193</v>
      </c>
      <c r="B959" t="s">
        <v>246</v>
      </c>
      <c r="C959">
        <v>4</v>
      </c>
    </row>
    <row r="960" spans="1:3">
      <c r="A960" t="s">
        <v>193</v>
      </c>
      <c r="B960" t="s">
        <v>245</v>
      </c>
      <c r="C960">
        <v>1</v>
      </c>
    </row>
    <row r="961" spans="1:3">
      <c r="A961" t="s">
        <v>193</v>
      </c>
      <c r="B961" t="s">
        <v>244</v>
      </c>
      <c r="C961">
        <v>1</v>
      </c>
    </row>
    <row r="962" spans="1:3">
      <c r="A962" t="s">
        <v>193</v>
      </c>
      <c r="B962" t="s">
        <v>249</v>
      </c>
      <c r="C962">
        <v>1</v>
      </c>
    </row>
    <row r="963" spans="1:3">
      <c r="A963" t="s">
        <v>193</v>
      </c>
      <c r="B963" t="s">
        <v>242</v>
      </c>
      <c r="C963">
        <v>1</v>
      </c>
    </row>
    <row r="964" spans="1:3">
      <c r="A964" t="s">
        <v>48</v>
      </c>
      <c r="B964" t="s">
        <v>241</v>
      </c>
      <c r="C964">
        <v>8</v>
      </c>
    </row>
    <row r="965" spans="1:3">
      <c r="A965" t="s">
        <v>48</v>
      </c>
      <c r="B965" t="s">
        <v>239</v>
      </c>
      <c r="C965">
        <v>6</v>
      </c>
    </row>
    <row r="966" spans="1:3">
      <c r="A966" t="s">
        <v>48</v>
      </c>
      <c r="B966" t="s">
        <v>242</v>
      </c>
      <c r="C966">
        <v>4</v>
      </c>
    </row>
    <row r="967" spans="1:3">
      <c r="A967" t="s">
        <v>48</v>
      </c>
      <c r="B967" t="s">
        <v>238</v>
      </c>
      <c r="C967">
        <v>1</v>
      </c>
    </row>
    <row r="968" spans="1:3">
      <c r="A968" t="s">
        <v>151</v>
      </c>
      <c r="B968" t="s">
        <v>242</v>
      </c>
      <c r="C968">
        <v>10</v>
      </c>
    </row>
    <row r="969" spans="1:3">
      <c r="A969" t="s">
        <v>151</v>
      </c>
      <c r="B969" t="s">
        <v>241</v>
      </c>
      <c r="C969">
        <v>7</v>
      </c>
    </row>
    <row r="970" spans="1:3">
      <c r="A970" t="s">
        <v>151</v>
      </c>
      <c r="B970" t="s">
        <v>243</v>
      </c>
      <c r="C970">
        <v>6</v>
      </c>
    </row>
    <row r="971" spans="1:3">
      <c r="A971" t="s">
        <v>151</v>
      </c>
      <c r="B971" t="s">
        <v>238</v>
      </c>
      <c r="C971">
        <v>5</v>
      </c>
    </row>
    <row r="972" spans="1:3">
      <c r="A972" t="s">
        <v>151</v>
      </c>
      <c r="B972" t="s">
        <v>245</v>
      </c>
      <c r="C972">
        <v>2</v>
      </c>
    </row>
    <row r="973" spans="1:3">
      <c r="A973" t="s">
        <v>151</v>
      </c>
      <c r="B973" t="s">
        <v>240</v>
      </c>
      <c r="C973">
        <v>2</v>
      </c>
    </row>
    <row r="974" spans="1:3">
      <c r="A974" t="s">
        <v>151</v>
      </c>
      <c r="B974" t="s">
        <v>246</v>
      </c>
      <c r="C974">
        <v>1</v>
      </c>
    </row>
    <row r="975" spans="1:3">
      <c r="A975" t="s">
        <v>151</v>
      </c>
      <c r="B975" t="s">
        <v>244</v>
      </c>
      <c r="C975">
        <v>1</v>
      </c>
    </row>
    <row r="976" spans="1:3">
      <c r="A976" t="s">
        <v>49</v>
      </c>
      <c r="B976" t="s">
        <v>241</v>
      </c>
      <c r="C976">
        <v>3</v>
      </c>
    </row>
    <row r="977" spans="1:3">
      <c r="A977" t="s">
        <v>49</v>
      </c>
      <c r="B977" t="s">
        <v>246</v>
      </c>
      <c r="C977">
        <v>1</v>
      </c>
    </row>
    <row r="978" spans="1:3">
      <c r="A978" t="s">
        <v>49</v>
      </c>
      <c r="B978" t="s">
        <v>239</v>
      </c>
      <c r="C978">
        <v>1</v>
      </c>
    </row>
    <row r="979" spans="1:3">
      <c r="A979" t="s">
        <v>50</v>
      </c>
      <c r="B979" t="s">
        <v>242</v>
      </c>
      <c r="C979">
        <v>5</v>
      </c>
    </row>
    <row r="980" spans="1:3">
      <c r="A980" t="s">
        <v>50</v>
      </c>
      <c r="B980" t="s">
        <v>241</v>
      </c>
      <c r="C980">
        <v>4</v>
      </c>
    </row>
    <row r="981" spans="1:3">
      <c r="A981" t="s">
        <v>50</v>
      </c>
      <c r="B981" t="s">
        <v>238</v>
      </c>
      <c r="C981">
        <v>1</v>
      </c>
    </row>
    <row r="982" spans="1:3">
      <c r="A982" t="s">
        <v>50</v>
      </c>
      <c r="B982" t="s">
        <v>244</v>
      </c>
      <c r="C982">
        <v>1</v>
      </c>
    </row>
    <row r="983" spans="1:3">
      <c r="A983" t="s">
        <v>50</v>
      </c>
      <c r="B983" t="s">
        <v>240</v>
      </c>
      <c r="C983">
        <v>1</v>
      </c>
    </row>
    <row r="984" spans="1:3">
      <c r="A984" t="s">
        <v>97</v>
      </c>
      <c r="B984" t="s">
        <v>241</v>
      </c>
      <c r="C984">
        <v>3</v>
      </c>
    </row>
    <row r="985" spans="1:3">
      <c r="A985" t="s">
        <v>97</v>
      </c>
      <c r="B985" t="s">
        <v>242</v>
      </c>
      <c r="C985">
        <v>3</v>
      </c>
    </row>
    <row r="986" spans="1:3">
      <c r="A986" t="s">
        <v>97</v>
      </c>
      <c r="B986" t="s">
        <v>240</v>
      </c>
      <c r="C986">
        <v>1</v>
      </c>
    </row>
    <row r="987" spans="1:3">
      <c r="A987" t="s">
        <v>97</v>
      </c>
      <c r="B987" t="s">
        <v>239</v>
      </c>
      <c r="C987">
        <v>1</v>
      </c>
    </row>
    <row r="988" spans="1:3">
      <c r="A988" t="s">
        <v>98</v>
      </c>
      <c r="B988" t="s">
        <v>243</v>
      </c>
      <c r="C988">
        <v>1</v>
      </c>
    </row>
    <row r="989" spans="1:3">
      <c r="A989" t="s">
        <v>152</v>
      </c>
      <c r="B989" t="s">
        <v>241</v>
      </c>
      <c r="C989">
        <v>16</v>
      </c>
    </row>
    <row r="990" spans="1:3">
      <c r="A990" t="s">
        <v>152</v>
      </c>
      <c r="B990" t="s">
        <v>243</v>
      </c>
      <c r="C990">
        <v>9</v>
      </c>
    </row>
    <row r="991" spans="1:3">
      <c r="A991" t="s">
        <v>152</v>
      </c>
      <c r="B991" t="s">
        <v>239</v>
      </c>
      <c r="C991">
        <v>8</v>
      </c>
    </row>
    <row r="992" spans="1:3">
      <c r="A992" t="s">
        <v>152</v>
      </c>
      <c r="B992" t="s">
        <v>242</v>
      </c>
      <c r="C992">
        <v>8</v>
      </c>
    </row>
    <row r="993" spans="1:3">
      <c r="A993" t="s">
        <v>152</v>
      </c>
      <c r="B993" t="s">
        <v>238</v>
      </c>
      <c r="C993">
        <v>6</v>
      </c>
    </row>
    <row r="994" spans="1:3">
      <c r="A994" t="s">
        <v>152</v>
      </c>
      <c r="B994" t="s">
        <v>240</v>
      </c>
      <c r="C994">
        <v>5</v>
      </c>
    </row>
    <row r="995" spans="1:3">
      <c r="A995" t="s">
        <v>152</v>
      </c>
      <c r="B995" t="s">
        <v>246</v>
      </c>
      <c r="C995">
        <v>2</v>
      </c>
    </row>
    <row r="996" spans="1:3">
      <c r="A996" t="s">
        <v>152</v>
      </c>
      <c r="B996" t="s">
        <v>249</v>
      </c>
      <c r="C996">
        <v>1</v>
      </c>
    </row>
    <row r="997" spans="1:3">
      <c r="A997" t="s">
        <v>152</v>
      </c>
      <c r="B997" t="s">
        <v>244</v>
      </c>
      <c r="C997">
        <v>1</v>
      </c>
    </row>
    <row r="998" spans="1:3">
      <c r="A998" t="s">
        <v>99</v>
      </c>
      <c r="B998" t="s">
        <v>241</v>
      </c>
      <c r="C998">
        <v>3</v>
      </c>
    </row>
    <row r="999" spans="1:3">
      <c r="A999" t="s">
        <v>99</v>
      </c>
      <c r="B999" t="s">
        <v>243</v>
      </c>
      <c r="C999">
        <v>1</v>
      </c>
    </row>
    <row r="1000" spans="1:3">
      <c r="A1000" t="s">
        <v>99</v>
      </c>
      <c r="B1000" t="s">
        <v>242</v>
      </c>
      <c r="C1000">
        <v>1</v>
      </c>
    </row>
    <row r="1001" spans="1:3">
      <c r="A1001" t="s">
        <v>231</v>
      </c>
      <c r="B1001" t="s">
        <v>241</v>
      </c>
      <c r="C1001">
        <v>5</v>
      </c>
    </row>
    <row r="1002" spans="1:3">
      <c r="A1002" t="s">
        <v>231</v>
      </c>
      <c r="B1002" t="s">
        <v>242</v>
      </c>
      <c r="C1002">
        <v>4</v>
      </c>
    </row>
    <row r="1003" spans="1:3">
      <c r="A1003" t="s">
        <v>231</v>
      </c>
      <c r="B1003" t="s">
        <v>238</v>
      </c>
      <c r="C1003">
        <v>1</v>
      </c>
    </row>
    <row r="1004" spans="1:3">
      <c r="A1004" t="s">
        <v>231</v>
      </c>
      <c r="B1004" t="s">
        <v>243</v>
      </c>
      <c r="C1004">
        <v>1</v>
      </c>
    </row>
    <row r="1005" spans="1:3">
      <c r="A1005" t="s">
        <v>231</v>
      </c>
      <c r="B1005" t="s">
        <v>240</v>
      </c>
      <c r="C1005">
        <v>1</v>
      </c>
    </row>
    <row r="1006" spans="1:3">
      <c r="A1006" t="s">
        <v>153</v>
      </c>
      <c r="B1006" t="s">
        <v>239</v>
      </c>
      <c r="C1006">
        <v>2</v>
      </c>
    </row>
    <row r="1007" spans="1:3">
      <c r="A1007" t="s">
        <v>153</v>
      </c>
      <c r="B1007" t="s">
        <v>241</v>
      </c>
      <c r="C1007">
        <v>1</v>
      </c>
    </row>
    <row r="1008" spans="1:3">
      <c r="A1008" t="s">
        <v>153</v>
      </c>
      <c r="B1008" t="s">
        <v>242</v>
      </c>
      <c r="C1008">
        <v>1</v>
      </c>
    </row>
    <row r="1009" spans="1:3">
      <c r="A1009" t="s">
        <v>153</v>
      </c>
      <c r="B1009" t="s">
        <v>238</v>
      </c>
      <c r="C1009">
        <v>1</v>
      </c>
    </row>
    <row r="1010" spans="1:3">
      <c r="A1010" t="s">
        <v>51</v>
      </c>
      <c r="B1010" t="s">
        <v>241</v>
      </c>
      <c r="C1010">
        <v>9</v>
      </c>
    </row>
    <row r="1011" spans="1:3">
      <c r="A1011" t="s">
        <v>51</v>
      </c>
      <c r="B1011" t="s">
        <v>242</v>
      </c>
      <c r="C1011">
        <v>4</v>
      </c>
    </row>
    <row r="1012" spans="1:3">
      <c r="A1012" t="s">
        <v>51</v>
      </c>
      <c r="B1012" t="s">
        <v>240</v>
      </c>
      <c r="C1012">
        <v>2</v>
      </c>
    </row>
    <row r="1013" spans="1:3">
      <c r="A1013" t="s">
        <v>51</v>
      </c>
      <c r="B1013" t="s">
        <v>246</v>
      </c>
      <c r="C1013">
        <v>1</v>
      </c>
    </row>
    <row r="1014" spans="1:3">
      <c r="A1014" t="s">
        <v>51</v>
      </c>
      <c r="B1014" t="s">
        <v>243</v>
      </c>
      <c r="C1014">
        <v>1</v>
      </c>
    </row>
    <row r="1015" spans="1:3">
      <c r="A1015" t="s">
        <v>51</v>
      </c>
      <c r="B1015" t="s">
        <v>239</v>
      </c>
      <c r="C1015">
        <v>1</v>
      </c>
    </row>
    <row r="1016" spans="1:3">
      <c r="A1016" t="s">
        <v>232</v>
      </c>
      <c r="B1016" t="s">
        <v>241</v>
      </c>
      <c r="C1016">
        <v>11</v>
      </c>
    </row>
    <row r="1017" spans="1:3">
      <c r="A1017" t="s">
        <v>232</v>
      </c>
      <c r="B1017" t="s">
        <v>242</v>
      </c>
      <c r="C1017">
        <v>8</v>
      </c>
    </row>
    <row r="1018" spans="1:3">
      <c r="A1018" t="s">
        <v>232</v>
      </c>
      <c r="B1018" t="s">
        <v>243</v>
      </c>
      <c r="C1018">
        <v>3</v>
      </c>
    </row>
    <row r="1019" spans="1:3">
      <c r="A1019" t="s">
        <v>232</v>
      </c>
      <c r="B1019" t="s">
        <v>238</v>
      </c>
      <c r="C1019">
        <v>1</v>
      </c>
    </row>
    <row r="1020" spans="1:3">
      <c r="A1020" t="s">
        <v>52</v>
      </c>
      <c r="B1020" t="s">
        <v>238</v>
      </c>
      <c r="C1020">
        <v>4</v>
      </c>
    </row>
    <row r="1021" spans="1:3">
      <c r="A1021" t="s">
        <v>52</v>
      </c>
      <c r="B1021" t="s">
        <v>242</v>
      </c>
      <c r="C1021">
        <v>2</v>
      </c>
    </row>
    <row r="1022" spans="1:3">
      <c r="A1022" t="s">
        <v>52</v>
      </c>
      <c r="B1022" t="s">
        <v>241</v>
      </c>
      <c r="C1022">
        <v>1</v>
      </c>
    </row>
    <row r="1023" spans="1:3">
      <c r="A1023" t="s">
        <v>52</v>
      </c>
      <c r="B1023" t="s">
        <v>245</v>
      </c>
      <c r="C1023">
        <v>1</v>
      </c>
    </row>
    <row r="1024" spans="1:3">
      <c r="A1024" t="s">
        <v>154</v>
      </c>
      <c r="B1024" t="s">
        <v>240</v>
      </c>
      <c r="C1024">
        <v>10</v>
      </c>
    </row>
    <row r="1025" spans="1:3">
      <c r="A1025" t="s">
        <v>154</v>
      </c>
      <c r="B1025" t="s">
        <v>243</v>
      </c>
      <c r="C1025">
        <v>7</v>
      </c>
    </row>
    <row r="1026" spans="1:3">
      <c r="A1026" t="s">
        <v>154</v>
      </c>
      <c r="B1026" t="s">
        <v>239</v>
      </c>
      <c r="C1026">
        <v>7</v>
      </c>
    </row>
    <row r="1027" spans="1:3">
      <c r="A1027" t="s">
        <v>154</v>
      </c>
      <c r="B1027" t="s">
        <v>242</v>
      </c>
      <c r="C1027">
        <v>6</v>
      </c>
    </row>
    <row r="1028" spans="1:3">
      <c r="A1028" t="s">
        <v>154</v>
      </c>
      <c r="B1028" t="s">
        <v>241</v>
      </c>
      <c r="C1028">
        <v>6</v>
      </c>
    </row>
    <row r="1029" spans="1:3">
      <c r="A1029" t="s">
        <v>154</v>
      </c>
      <c r="B1029" t="s">
        <v>238</v>
      </c>
      <c r="C1029">
        <v>2</v>
      </c>
    </row>
    <row r="1030" spans="1:3">
      <c r="A1030" t="s">
        <v>154</v>
      </c>
      <c r="B1030" t="s">
        <v>244</v>
      </c>
      <c r="C1030">
        <v>1</v>
      </c>
    </row>
    <row r="1031" spans="1:3">
      <c r="A1031" t="s">
        <v>154</v>
      </c>
      <c r="B1031" t="s">
        <v>249</v>
      </c>
      <c r="C1031">
        <v>1</v>
      </c>
    </row>
    <row r="1032" spans="1:3">
      <c r="A1032" t="s">
        <v>53</v>
      </c>
      <c r="B1032" t="s">
        <v>241</v>
      </c>
      <c r="C1032">
        <v>5</v>
      </c>
    </row>
    <row r="1033" spans="1:3">
      <c r="A1033" t="s">
        <v>53</v>
      </c>
      <c r="B1033" t="s">
        <v>242</v>
      </c>
      <c r="C1033">
        <v>2</v>
      </c>
    </row>
    <row r="1034" spans="1:3">
      <c r="A1034" t="s">
        <v>53</v>
      </c>
      <c r="B1034" t="s">
        <v>243</v>
      </c>
      <c r="C1034">
        <v>1</v>
      </c>
    </row>
    <row r="1035" spans="1:3">
      <c r="A1035" t="s">
        <v>53</v>
      </c>
      <c r="B1035" t="s">
        <v>239</v>
      </c>
      <c r="C1035">
        <v>1</v>
      </c>
    </row>
    <row r="1036" spans="1:3">
      <c r="A1036" t="s">
        <v>53</v>
      </c>
      <c r="B1036" t="s">
        <v>240</v>
      </c>
      <c r="C1036">
        <v>1</v>
      </c>
    </row>
    <row r="1037" spans="1:3">
      <c r="A1037" t="s">
        <v>54</v>
      </c>
      <c r="B1037" t="s">
        <v>241</v>
      </c>
      <c r="C1037">
        <v>4</v>
      </c>
    </row>
    <row r="1038" spans="1:3">
      <c r="A1038" t="s">
        <v>54</v>
      </c>
      <c r="B1038" t="s">
        <v>242</v>
      </c>
      <c r="C1038">
        <v>2</v>
      </c>
    </row>
    <row r="1039" spans="1:3">
      <c r="A1039" t="s">
        <v>100</v>
      </c>
      <c r="B1039" t="s">
        <v>242</v>
      </c>
      <c r="C1039">
        <v>8</v>
      </c>
    </row>
    <row r="1040" spans="1:3">
      <c r="A1040" t="s">
        <v>100</v>
      </c>
      <c r="B1040" t="s">
        <v>243</v>
      </c>
      <c r="C1040">
        <v>7</v>
      </c>
    </row>
    <row r="1041" spans="1:3">
      <c r="A1041" t="s">
        <v>100</v>
      </c>
      <c r="B1041" t="s">
        <v>240</v>
      </c>
      <c r="C1041">
        <v>3</v>
      </c>
    </row>
    <row r="1042" spans="1:3">
      <c r="A1042" t="s">
        <v>100</v>
      </c>
      <c r="B1042" t="s">
        <v>241</v>
      </c>
      <c r="C1042">
        <v>3</v>
      </c>
    </row>
    <row r="1043" spans="1:3">
      <c r="A1043" t="s">
        <v>100</v>
      </c>
      <c r="B1043" t="s">
        <v>238</v>
      </c>
      <c r="C1043">
        <v>3</v>
      </c>
    </row>
    <row r="1044" spans="1:3">
      <c r="A1044" t="s">
        <v>100</v>
      </c>
      <c r="B1044" t="s">
        <v>239</v>
      </c>
      <c r="C1044">
        <v>2</v>
      </c>
    </row>
    <row r="1045" spans="1:3">
      <c r="A1045" t="s">
        <v>100</v>
      </c>
      <c r="B1045" t="s">
        <v>245</v>
      </c>
      <c r="C1045">
        <v>1</v>
      </c>
    </row>
    <row r="1046" spans="1:3">
      <c r="A1046" t="s">
        <v>100</v>
      </c>
      <c r="B1046" t="s">
        <v>249</v>
      </c>
      <c r="C1046">
        <v>1</v>
      </c>
    </row>
    <row r="1047" spans="1:3">
      <c r="A1047" t="s">
        <v>155</v>
      </c>
      <c r="B1047" t="s">
        <v>240</v>
      </c>
      <c r="C1047">
        <v>2</v>
      </c>
    </row>
    <row r="1048" spans="1:3">
      <c r="A1048" t="s">
        <v>155</v>
      </c>
      <c r="B1048" t="s">
        <v>243</v>
      </c>
      <c r="C1048">
        <v>1</v>
      </c>
    </row>
    <row r="1049" spans="1:3">
      <c r="A1049" t="s">
        <v>155</v>
      </c>
      <c r="B1049" t="s">
        <v>241</v>
      </c>
      <c r="C1049">
        <v>1</v>
      </c>
    </row>
    <row r="1050" spans="1:3">
      <c r="A1050" t="s">
        <v>155</v>
      </c>
      <c r="B1050" t="s">
        <v>242</v>
      </c>
      <c r="C1050">
        <v>1</v>
      </c>
    </row>
    <row r="1051" spans="1:3">
      <c r="A1051" t="s">
        <v>101</v>
      </c>
      <c r="B1051" t="s">
        <v>250</v>
      </c>
      <c r="C1051">
        <v>130</v>
      </c>
    </row>
    <row r="1052" spans="1:3">
      <c r="A1052" t="s">
        <v>101</v>
      </c>
      <c r="B1052" t="s">
        <v>239</v>
      </c>
      <c r="C1052">
        <v>111</v>
      </c>
    </row>
    <row r="1053" spans="1:3">
      <c r="A1053" t="s">
        <v>101</v>
      </c>
      <c r="B1053" t="s">
        <v>240</v>
      </c>
      <c r="C1053">
        <v>81</v>
      </c>
    </row>
    <row r="1054" spans="1:3">
      <c r="A1054" t="s">
        <v>101</v>
      </c>
      <c r="B1054" t="s">
        <v>241</v>
      </c>
      <c r="C1054">
        <v>43</v>
      </c>
    </row>
    <row r="1055" spans="1:3">
      <c r="A1055" t="s">
        <v>101</v>
      </c>
      <c r="B1055" t="s">
        <v>249</v>
      </c>
      <c r="C1055">
        <v>14</v>
      </c>
    </row>
    <row r="1056" spans="1:3">
      <c r="A1056" t="s">
        <v>101</v>
      </c>
      <c r="B1056" t="s">
        <v>238</v>
      </c>
      <c r="C1056">
        <v>12</v>
      </c>
    </row>
    <row r="1057" spans="1:3">
      <c r="A1057" t="s">
        <v>101</v>
      </c>
      <c r="B1057" t="s">
        <v>242</v>
      </c>
      <c r="C1057">
        <v>10</v>
      </c>
    </row>
    <row r="1058" spans="1:3">
      <c r="A1058" t="s">
        <v>101</v>
      </c>
      <c r="B1058" t="s">
        <v>243</v>
      </c>
      <c r="C1058">
        <v>10</v>
      </c>
    </row>
    <row r="1059" spans="1:3">
      <c r="A1059" t="s">
        <v>101</v>
      </c>
      <c r="B1059" t="s">
        <v>248</v>
      </c>
      <c r="C1059">
        <v>5</v>
      </c>
    </row>
    <row r="1060" spans="1:3">
      <c r="A1060" t="s">
        <v>101</v>
      </c>
      <c r="B1060" t="s">
        <v>245</v>
      </c>
      <c r="C1060">
        <v>1</v>
      </c>
    </row>
    <row r="1061" spans="1:3">
      <c r="A1061" t="s">
        <v>101</v>
      </c>
      <c r="B1061" t="s">
        <v>244</v>
      </c>
      <c r="C1061">
        <v>1</v>
      </c>
    </row>
    <row r="1062" spans="1:3">
      <c r="A1062" t="s">
        <v>101</v>
      </c>
      <c r="B1062" t="s">
        <v>246</v>
      </c>
      <c r="C1062">
        <v>1</v>
      </c>
    </row>
    <row r="1063" spans="1:3">
      <c r="A1063" t="s">
        <v>101</v>
      </c>
      <c r="B1063" t="s">
        <v>252</v>
      </c>
      <c r="C1063">
        <v>1</v>
      </c>
    </row>
    <row r="1064" spans="1:3">
      <c r="A1064" t="s">
        <v>102</v>
      </c>
      <c r="B1064" t="s">
        <v>242</v>
      </c>
      <c r="C1064">
        <v>3</v>
      </c>
    </row>
    <row r="1065" spans="1:3">
      <c r="A1065" t="s">
        <v>102</v>
      </c>
      <c r="B1065" t="s">
        <v>241</v>
      </c>
      <c r="C1065">
        <v>3</v>
      </c>
    </row>
    <row r="1066" spans="1:3">
      <c r="A1066" t="s">
        <v>102</v>
      </c>
      <c r="B1066" t="s">
        <v>243</v>
      </c>
      <c r="C1066">
        <v>2</v>
      </c>
    </row>
    <row r="1067" spans="1:3">
      <c r="A1067" t="s">
        <v>102</v>
      </c>
      <c r="B1067" t="s">
        <v>238</v>
      </c>
      <c r="C1067">
        <v>2</v>
      </c>
    </row>
    <row r="1068" spans="1:3">
      <c r="A1068" t="s">
        <v>102</v>
      </c>
      <c r="B1068" t="s">
        <v>239</v>
      </c>
      <c r="C1068">
        <v>2</v>
      </c>
    </row>
    <row r="1069" spans="1:3">
      <c r="A1069" t="s">
        <v>102</v>
      </c>
      <c r="B1069" t="s">
        <v>244</v>
      </c>
      <c r="C1069">
        <v>1</v>
      </c>
    </row>
    <row r="1070" spans="1:3">
      <c r="A1070" t="s">
        <v>103</v>
      </c>
      <c r="B1070" t="s">
        <v>241</v>
      </c>
      <c r="C1070">
        <v>10</v>
      </c>
    </row>
    <row r="1071" spans="1:3">
      <c r="A1071" t="s">
        <v>103</v>
      </c>
      <c r="B1071" t="s">
        <v>242</v>
      </c>
      <c r="C1071">
        <v>9</v>
      </c>
    </row>
    <row r="1072" spans="1:3">
      <c r="A1072" t="s">
        <v>103</v>
      </c>
      <c r="B1072" t="s">
        <v>238</v>
      </c>
      <c r="C1072">
        <v>1</v>
      </c>
    </row>
    <row r="1073" spans="1:3">
      <c r="A1073" t="s">
        <v>103</v>
      </c>
      <c r="B1073" t="s">
        <v>239</v>
      </c>
      <c r="C1073">
        <v>1</v>
      </c>
    </row>
    <row r="1074" spans="1:3">
      <c r="A1074" t="s">
        <v>103</v>
      </c>
      <c r="B1074" t="s">
        <v>244</v>
      </c>
      <c r="C1074">
        <v>1</v>
      </c>
    </row>
    <row r="1075" spans="1:3">
      <c r="A1075" t="s">
        <v>103</v>
      </c>
      <c r="B1075" t="s">
        <v>246</v>
      </c>
      <c r="C1075">
        <v>1</v>
      </c>
    </row>
    <row r="1076" spans="1:3">
      <c r="A1076" t="s">
        <v>103</v>
      </c>
      <c r="B1076" t="s">
        <v>243</v>
      </c>
      <c r="C1076">
        <v>1</v>
      </c>
    </row>
    <row r="1077" spans="1:3">
      <c r="A1077" t="s">
        <v>103</v>
      </c>
      <c r="B1077" t="s">
        <v>245</v>
      </c>
      <c r="C1077">
        <v>1</v>
      </c>
    </row>
    <row r="1078" spans="1:3">
      <c r="A1078" t="s">
        <v>55</v>
      </c>
      <c r="B1078" t="s">
        <v>241</v>
      </c>
      <c r="C1078">
        <v>5</v>
      </c>
    </row>
    <row r="1079" spans="1:3">
      <c r="A1079" t="s">
        <v>55</v>
      </c>
      <c r="B1079" t="s">
        <v>242</v>
      </c>
      <c r="C1079">
        <v>2</v>
      </c>
    </row>
    <row r="1080" spans="1:3">
      <c r="A1080" t="s">
        <v>55</v>
      </c>
      <c r="B1080" t="s">
        <v>239</v>
      </c>
      <c r="C1080">
        <v>1</v>
      </c>
    </row>
    <row r="1081" spans="1:3">
      <c r="A1081" t="s">
        <v>55</v>
      </c>
      <c r="B1081" t="s">
        <v>244</v>
      </c>
      <c r="C1081">
        <v>1</v>
      </c>
    </row>
    <row r="1082" spans="1:3">
      <c r="A1082" t="s">
        <v>156</v>
      </c>
      <c r="B1082" t="s">
        <v>242</v>
      </c>
      <c r="C1082">
        <v>4</v>
      </c>
    </row>
    <row r="1083" spans="1:3">
      <c r="A1083" t="s">
        <v>156</v>
      </c>
      <c r="B1083" t="s">
        <v>241</v>
      </c>
      <c r="C1083">
        <v>2</v>
      </c>
    </row>
    <row r="1084" spans="1:3">
      <c r="A1084" t="s">
        <v>156</v>
      </c>
      <c r="B1084" t="s">
        <v>240</v>
      </c>
      <c r="C1084">
        <v>2</v>
      </c>
    </row>
    <row r="1085" spans="1:3">
      <c r="A1085" t="s">
        <v>156</v>
      </c>
      <c r="B1085" t="s">
        <v>238</v>
      </c>
      <c r="C1085">
        <v>1</v>
      </c>
    </row>
    <row r="1086" spans="1:3">
      <c r="A1086" t="s">
        <v>156</v>
      </c>
      <c r="B1086" t="s">
        <v>239</v>
      </c>
      <c r="C1086">
        <v>1</v>
      </c>
    </row>
    <row r="1087" spans="1:3">
      <c r="A1087" t="s">
        <v>157</v>
      </c>
      <c r="B1087" t="s">
        <v>241</v>
      </c>
      <c r="C1087">
        <v>4</v>
      </c>
    </row>
    <row r="1088" spans="1:3">
      <c r="A1088" t="s">
        <v>56</v>
      </c>
      <c r="B1088" t="s">
        <v>239</v>
      </c>
      <c r="C1088">
        <v>5</v>
      </c>
    </row>
    <row r="1089" spans="1:3">
      <c r="A1089" t="s">
        <v>56</v>
      </c>
      <c r="B1089" t="s">
        <v>242</v>
      </c>
      <c r="C1089">
        <v>4</v>
      </c>
    </row>
    <row r="1090" spans="1:3">
      <c r="A1090" t="s">
        <v>56</v>
      </c>
      <c r="B1090" t="s">
        <v>240</v>
      </c>
      <c r="C1090">
        <v>3</v>
      </c>
    </row>
    <row r="1091" spans="1:3">
      <c r="A1091" t="s">
        <v>56</v>
      </c>
      <c r="B1091" t="s">
        <v>241</v>
      </c>
      <c r="C1091">
        <v>2</v>
      </c>
    </row>
    <row r="1092" spans="1:3">
      <c r="A1092" t="s">
        <v>56</v>
      </c>
      <c r="B1092" t="s">
        <v>238</v>
      </c>
      <c r="C1092">
        <v>1</v>
      </c>
    </row>
    <row r="1093" spans="1:3">
      <c r="A1093" t="s">
        <v>233</v>
      </c>
      <c r="B1093" t="s">
        <v>243</v>
      </c>
      <c r="C1093">
        <v>1</v>
      </c>
    </row>
    <row r="1094" spans="1:3">
      <c r="A1094" t="s">
        <v>233</v>
      </c>
      <c r="B1094" t="s">
        <v>238</v>
      </c>
      <c r="C1094">
        <v>1</v>
      </c>
    </row>
    <row r="1095" spans="1:3">
      <c r="A1095" t="s">
        <v>233</v>
      </c>
      <c r="B1095" t="s">
        <v>242</v>
      </c>
      <c r="C1095">
        <v>1</v>
      </c>
    </row>
    <row r="1096" spans="1:3">
      <c r="A1096" t="s">
        <v>233</v>
      </c>
      <c r="B1096" t="s">
        <v>240</v>
      </c>
      <c r="C1096">
        <v>1</v>
      </c>
    </row>
    <row r="1097" spans="1:3">
      <c r="A1097" t="s">
        <v>233</v>
      </c>
      <c r="B1097" t="s">
        <v>241</v>
      </c>
      <c r="C1097">
        <v>1</v>
      </c>
    </row>
    <row r="1098" spans="1:3">
      <c r="A1098" t="s">
        <v>104</v>
      </c>
      <c r="B1098" t="s">
        <v>241</v>
      </c>
      <c r="C1098">
        <v>28</v>
      </c>
    </row>
    <row r="1099" spans="1:3">
      <c r="A1099" t="s">
        <v>104</v>
      </c>
      <c r="B1099" t="s">
        <v>243</v>
      </c>
      <c r="C1099">
        <v>23</v>
      </c>
    </row>
    <row r="1100" spans="1:3">
      <c r="A1100" t="s">
        <v>104</v>
      </c>
      <c r="B1100" t="s">
        <v>240</v>
      </c>
      <c r="C1100">
        <v>13</v>
      </c>
    </row>
    <row r="1101" spans="1:3">
      <c r="A1101" t="s">
        <v>104</v>
      </c>
      <c r="B1101" t="s">
        <v>250</v>
      </c>
      <c r="C1101">
        <v>6</v>
      </c>
    </row>
    <row r="1102" spans="1:3">
      <c r="A1102" t="s">
        <v>104</v>
      </c>
      <c r="B1102" t="s">
        <v>238</v>
      </c>
      <c r="C1102">
        <v>5</v>
      </c>
    </row>
    <row r="1103" spans="1:3">
      <c r="A1103" t="s">
        <v>104</v>
      </c>
      <c r="B1103" t="s">
        <v>242</v>
      </c>
      <c r="C1103">
        <v>5</v>
      </c>
    </row>
    <row r="1104" spans="1:3">
      <c r="A1104" t="s">
        <v>104</v>
      </c>
      <c r="B1104" t="s">
        <v>249</v>
      </c>
      <c r="C1104">
        <v>3</v>
      </c>
    </row>
    <row r="1105" spans="1:3">
      <c r="A1105" t="s">
        <v>104</v>
      </c>
      <c r="B1105" t="s">
        <v>252</v>
      </c>
      <c r="C1105">
        <v>1</v>
      </c>
    </row>
    <row r="1106" spans="1:3">
      <c r="A1106" t="s">
        <v>104</v>
      </c>
      <c r="B1106" t="s">
        <v>239</v>
      </c>
      <c r="C1106">
        <v>1</v>
      </c>
    </row>
    <row r="1107" spans="1:3">
      <c r="A1107" t="s">
        <v>234</v>
      </c>
      <c r="B1107" t="s">
        <v>242</v>
      </c>
      <c r="C1107">
        <v>5</v>
      </c>
    </row>
    <row r="1108" spans="1:3">
      <c r="A1108" t="s">
        <v>234</v>
      </c>
      <c r="B1108" t="s">
        <v>243</v>
      </c>
      <c r="C1108">
        <v>4</v>
      </c>
    </row>
    <row r="1109" spans="1:3">
      <c r="A1109" t="s">
        <v>234</v>
      </c>
      <c r="B1109" t="s">
        <v>241</v>
      </c>
      <c r="C1109">
        <v>2</v>
      </c>
    </row>
    <row r="1110" spans="1:3">
      <c r="A1110" t="s">
        <v>234</v>
      </c>
      <c r="B1110" t="s">
        <v>246</v>
      </c>
      <c r="C1110">
        <v>1</v>
      </c>
    </row>
    <row r="1111" spans="1:3">
      <c r="A1111" t="s">
        <v>234</v>
      </c>
      <c r="B1111" t="s">
        <v>244</v>
      </c>
      <c r="C1111">
        <v>1</v>
      </c>
    </row>
    <row r="1112" spans="1:3">
      <c r="A1112" t="s">
        <v>194</v>
      </c>
      <c r="B1112" t="s">
        <v>241</v>
      </c>
      <c r="C1112">
        <v>6</v>
      </c>
    </row>
    <row r="1113" spans="1:3">
      <c r="A1113" t="s">
        <v>194</v>
      </c>
      <c r="B1113" t="s">
        <v>240</v>
      </c>
      <c r="C1113">
        <v>2</v>
      </c>
    </row>
    <row r="1114" spans="1:3">
      <c r="A1114" t="s">
        <v>194</v>
      </c>
      <c r="B1114" t="s">
        <v>242</v>
      </c>
      <c r="C1114">
        <v>2</v>
      </c>
    </row>
    <row r="1115" spans="1:3">
      <c r="A1115" t="s">
        <v>105</v>
      </c>
      <c r="B1115" t="s">
        <v>240</v>
      </c>
      <c r="C1115">
        <v>2</v>
      </c>
    </row>
    <row r="1116" spans="1:3">
      <c r="A1116" t="s">
        <v>105</v>
      </c>
      <c r="B1116" t="s">
        <v>241</v>
      </c>
      <c r="C1116">
        <v>2</v>
      </c>
    </row>
    <row r="1117" spans="1:3">
      <c r="A1117" t="s">
        <v>105</v>
      </c>
      <c r="B1117" t="s">
        <v>242</v>
      </c>
      <c r="C1117">
        <v>2</v>
      </c>
    </row>
    <row r="1118" spans="1:3">
      <c r="A1118" t="s">
        <v>105</v>
      </c>
      <c r="B1118" t="s">
        <v>244</v>
      </c>
      <c r="C1118">
        <v>1</v>
      </c>
    </row>
    <row r="1119" spans="1:3">
      <c r="A1119" t="s">
        <v>105</v>
      </c>
      <c r="B1119" t="s">
        <v>238</v>
      </c>
      <c r="C1119">
        <v>1</v>
      </c>
    </row>
    <row r="1120" spans="1:3">
      <c r="A1120" t="s">
        <v>105</v>
      </c>
      <c r="B1120" t="s">
        <v>248</v>
      </c>
      <c r="C1120">
        <v>1</v>
      </c>
    </row>
    <row r="1121" spans="1:3">
      <c r="A1121" t="s">
        <v>57</v>
      </c>
      <c r="B1121" t="s">
        <v>241</v>
      </c>
      <c r="C1121">
        <v>3</v>
      </c>
    </row>
    <row r="1122" spans="1:3">
      <c r="A1122" t="s">
        <v>57</v>
      </c>
      <c r="B1122" t="s">
        <v>240</v>
      </c>
      <c r="C1122">
        <v>1</v>
      </c>
    </row>
    <row r="1123" spans="1:3">
      <c r="A1123" t="s">
        <v>57</v>
      </c>
      <c r="B1123" t="s">
        <v>238</v>
      </c>
      <c r="C1123">
        <v>1</v>
      </c>
    </row>
    <row r="1124" spans="1:3">
      <c r="A1124" t="s">
        <v>57</v>
      </c>
      <c r="B1124" t="s">
        <v>242</v>
      </c>
      <c r="C1124">
        <v>1</v>
      </c>
    </row>
    <row r="1125" spans="1:3">
      <c r="A1125" t="s">
        <v>57</v>
      </c>
      <c r="B1125" t="s">
        <v>243</v>
      </c>
      <c r="C1125">
        <v>1</v>
      </c>
    </row>
    <row r="1126" spans="1:3">
      <c r="A1126" t="s">
        <v>58</v>
      </c>
      <c r="B1126" t="s">
        <v>241</v>
      </c>
      <c r="C1126">
        <v>10</v>
      </c>
    </row>
    <row r="1127" spans="1:3">
      <c r="A1127" t="s">
        <v>58</v>
      </c>
      <c r="B1127" t="s">
        <v>243</v>
      </c>
      <c r="C1127">
        <v>6</v>
      </c>
    </row>
    <row r="1128" spans="1:3">
      <c r="A1128" t="s">
        <v>58</v>
      </c>
      <c r="B1128" t="s">
        <v>242</v>
      </c>
      <c r="C1128">
        <v>2</v>
      </c>
    </row>
    <row r="1129" spans="1:3">
      <c r="A1129" t="s">
        <v>58</v>
      </c>
      <c r="B1129" t="s">
        <v>240</v>
      </c>
      <c r="C1129">
        <v>1</v>
      </c>
    </row>
    <row r="1130" spans="1:3">
      <c r="A1130" t="s">
        <v>58</v>
      </c>
      <c r="B1130" t="s">
        <v>238</v>
      </c>
      <c r="C1130">
        <v>1</v>
      </c>
    </row>
    <row r="1131" spans="1:3">
      <c r="A1131" t="s">
        <v>158</v>
      </c>
      <c r="B1131" t="s">
        <v>241</v>
      </c>
      <c r="C1131">
        <v>16</v>
      </c>
    </row>
    <row r="1132" spans="1:3">
      <c r="A1132" t="s">
        <v>158</v>
      </c>
      <c r="B1132" t="s">
        <v>242</v>
      </c>
      <c r="C1132">
        <v>9</v>
      </c>
    </row>
    <row r="1133" spans="1:3">
      <c r="A1133" t="s">
        <v>158</v>
      </c>
      <c r="B1133" t="s">
        <v>240</v>
      </c>
      <c r="C1133">
        <v>6</v>
      </c>
    </row>
    <row r="1134" spans="1:3">
      <c r="A1134" t="s">
        <v>158</v>
      </c>
      <c r="B1134" t="s">
        <v>243</v>
      </c>
      <c r="C1134">
        <v>3</v>
      </c>
    </row>
    <row r="1135" spans="1:3">
      <c r="A1135" t="s">
        <v>158</v>
      </c>
      <c r="B1135" t="s">
        <v>244</v>
      </c>
      <c r="C1135">
        <v>1</v>
      </c>
    </row>
    <row r="1136" spans="1:3">
      <c r="A1136" t="s">
        <v>158</v>
      </c>
      <c r="B1136" t="s">
        <v>239</v>
      </c>
      <c r="C1136">
        <v>1</v>
      </c>
    </row>
    <row r="1137" spans="1:3">
      <c r="A1137" t="s">
        <v>158</v>
      </c>
      <c r="B1137" t="s">
        <v>238</v>
      </c>
      <c r="C1137">
        <v>1</v>
      </c>
    </row>
    <row r="1138" spans="1:3">
      <c r="A1138" t="s">
        <v>235</v>
      </c>
      <c r="B1138" t="s">
        <v>242</v>
      </c>
      <c r="C1138">
        <v>2</v>
      </c>
    </row>
    <row r="1139" spans="1:3">
      <c r="A1139" t="s">
        <v>235</v>
      </c>
      <c r="B1139" t="s">
        <v>241</v>
      </c>
      <c r="C1139">
        <v>1</v>
      </c>
    </row>
    <row r="1140" spans="1:3">
      <c r="A1140" t="s">
        <v>106</v>
      </c>
      <c r="B1140" t="s">
        <v>241</v>
      </c>
      <c r="C1140">
        <v>10</v>
      </c>
    </row>
    <row r="1141" spans="1:3">
      <c r="A1141" t="s">
        <v>106</v>
      </c>
      <c r="B1141" t="s">
        <v>242</v>
      </c>
      <c r="C1141">
        <v>3</v>
      </c>
    </row>
    <row r="1142" spans="1:3">
      <c r="A1142" t="s">
        <v>106</v>
      </c>
      <c r="B1142" t="s">
        <v>239</v>
      </c>
      <c r="C1142">
        <v>2</v>
      </c>
    </row>
    <row r="1143" spans="1:3">
      <c r="A1143" t="s">
        <v>106</v>
      </c>
      <c r="B1143" t="s">
        <v>240</v>
      </c>
      <c r="C1143">
        <v>1</v>
      </c>
    </row>
    <row r="1144" spans="1:3">
      <c r="A1144" t="s">
        <v>106</v>
      </c>
      <c r="B1144" t="s">
        <v>238</v>
      </c>
      <c r="C1144">
        <v>1</v>
      </c>
    </row>
    <row r="1145" spans="1:3">
      <c r="A1145" t="s">
        <v>159</v>
      </c>
      <c r="B1145" t="s">
        <v>242</v>
      </c>
      <c r="C1145">
        <v>19</v>
      </c>
    </row>
    <row r="1146" spans="1:3">
      <c r="A1146" t="s">
        <v>159</v>
      </c>
      <c r="B1146" t="s">
        <v>241</v>
      </c>
      <c r="C1146">
        <v>9</v>
      </c>
    </row>
    <row r="1147" spans="1:3">
      <c r="A1147" t="s">
        <v>159</v>
      </c>
      <c r="B1147" t="s">
        <v>238</v>
      </c>
      <c r="C1147">
        <v>4</v>
      </c>
    </row>
    <row r="1148" spans="1:3">
      <c r="A1148" t="s">
        <v>159</v>
      </c>
      <c r="B1148" t="s">
        <v>239</v>
      </c>
      <c r="C1148">
        <v>4</v>
      </c>
    </row>
    <row r="1149" spans="1:3">
      <c r="A1149" t="s">
        <v>159</v>
      </c>
      <c r="B1149" t="s">
        <v>240</v>
      </c>
      <c r="C1149">
        <v>2</v>
      </c>
    </row>
    <row r="1150" spans="1:3">
      <c r="A1150" t="s">
        <v>159</v>
      </c>
      <c r="B1150" t="s">
        <v>243</v>
      </c>
      <c r="C1150">
        <v>2</v>
      </c>
    </row>
    <row r="1151" spans="1:3">
      <c r="A1151" t="s">
        <v>159</v>
      </c>
      <c r="B1151" t="s">
        <v>245</v>
      </c>
      <c r="C1151">
        <v>1</v>
      </c>
    </row>
    <row r="1152" spans="1:3">
      <c r="A1152" t="s">
        <v>159</v>
      </c>
      <c r="B1152" t="s">
        <v>244</v>
      </c>
      <c r="C1152">
        <v>1</v>
      </c>
    </row>
    <row r="1153" spans="1:3">
      <c r="A1153" t="s">
        <v>59</v>
      </c>
      <c r="B1153" t="s">
        <v>242</v>
      </c>
      <c r="C1153">
        <v>15</v>
      </c>
    </row>
    <row r="1154" spans="1:3">
      <c r="A1154" t="s">
        <v>59</v>
      </c>
      <c r="B1154" t="s">
        <v>241</v>
      </c>
      <c r="C1154">
        <v>15</v>
      </c>
    </row>
    <row r="1155" spans="1:3">
      <c r="A1155" t="s">
        <v>59</v>
      </c>
      <c r="B1155" t="s">
        <v>238</v>
      </c>
      <c r="C1155">
        <v>5</v>
      </c>
    </row>
    <row r="1156" spans="1:3">
      <c r="A1156" t="s">
        <v>59</v>
      </c>
      <c r="B1156" t="s">
        <v>240</v>
      </c>
      <c r="C1156">
        <v>2</v>
      </c>
    </row>
    <row r="1157" spans="1:3">
      <c r="A1157" t="s">
        <v>59</v>
      </c>
      <c r="B1157" t="s">
        <v>244</v>
      </c>
      <c r="C1157">
        <v>2</v>
      </c>
    </row>
    <row r="1158" spans="1:3">
      <c r="A1158" t="s">
        <v>59</v>
      </c>
      <c r="B1158" t="s">
        <v>239</v>
      </c>
      <c r="C1158">
        <v>1</v>
      </c>
    </row>
    <row r="1159" spans="1:3">
      <c r="A1159" t="s">
        <v>59</v>
      </c>
      <c r="B1159" t="s">
        <v>245</v>
      </c>
      <c r="C1159">
        <v>1</v>
      </c>
    </row>
    <row r="1160" spans="1:3">
      <c r="A1160" t="s">
        <v>2</v>
      </c>
      <c r="B1160" t="s">
        <v>241</v>
      </c>
      <c r="C1160">
        <v>72</v>
      </c>
    </row>
    <row r="1161" spans="1:3">
      <c r="A1161" t="s">
        <v>2</v>
      </c>
      <c r="B1161" t="s">
        <v>242</v>
      </c>
      <c r="C1161">
        <v>24</v>
      </c>
    </row>
    <row r="1162" spans="1:3">
      <c r="A1162" t="s">
        <v>2</v>
      </c>
      <c r="B1162" t="s">
        <v>238</v>
      </c>
      <c r="C1162">
        <v>16</v>
      </c>
    </row>
    <row r="1163" spans="1:3">
      <c r="A1163" t="s">
        <v>2</v>
      </c>
      <c r="B1163" t="s">
        <v>240</v>
      </c>
      <c r="C1163">
        <v>11</v>
      </c>
    </row>
    <row r="1164" spans="1:3">
      <c r="A1164" t="s">
        <v>2</v>
      </c>
      <c r="B1164" t="s">
        <v>243</v>
      </c>
      <c r="C1164">
        <v>9</v>
      </c>
    </row>
    <row r="1165" spans="1:3">
      <c r="A1165" t="s">
        <v>2</v>
      </c>
      <c r="B1165" t="s">
        <v>239</v>
      </c>
      <c r="C1165">
        <v>6</v>
      </c>
    </row>
    <row r="1166" spans="1:3">
      <c r="A1166" t="s">
        <v>2</v>
      </c>
      <c r="B1166" t="s">
        <v>251</v>
      </c>
      <c r="C1166">
        <v>2</v>
      </c>
    </row>
    <row r="1167" spans="1:3">
      <c r="A1167" t="s">
        <v>2</v>
      </c>
      <c r="B1167" t="s">
        <v>246</v>
      </c>
      <c r="C1167">
        <v>2</v>
      </c>
    </row>
    <row r="1168" spans="1:3">
      <c r="A1168" t="s">
        <v>2</v>
      </c>
      <c r="B1168" t="s">
        <v>249</v>
      </c>
      <c r="C1168">
        <v>1</v>
      </c>
    </row>
    <row r="1169" spans="1:3">
      <c r="A1169" t="s">
        <v>2</v>
      </c>
      <c r="B1169" t="s">
        <v>248</v>
      </c>
      <c r="C1169">
        <v>1</v>
      </c>
    </row>
    <row r="1170" spans="1:3">
      <c r="A1170" t="s">
        <v>160</v>
      </c>
      <c r="B1170" t="s">
        <v>245</v>
      </c>
      <c r="C1170">
        <v>1</v>
      </c>
    </row>
    <row r="1171" spans="1:3">
      <c r="A1171" t="s">
        <v>160</v>
      </c>
      <c r="B1171" t="s">
        <v>239</v>
      </c>
      <c r="C1171">
        <v>1</v>
      </c>
    </row>
    <row r="1172" spans="1:3">
      <c r="A1172" t="s">
        <v>160</v>
      </c>
      <c r="B1172" t="s">
        <v>240</v>
      </c>
      <c r="C1172">
        <v>1</v>
      </c>
    </row>
    <row r="1173" spans="1:3">
      <c r="A1173" t="s">
        <v>160</v>
      </c>
      <c r="B1173" t="s">
        <v>243</v>
      </c>
      <c r="C1173">
        <v>1</v>
      </c>
    </row>
    <row r="1174" spans="1:3">
      <c r="A1174" t="s">
        <v>160</v>
      </c>
      <c r="B1174" t="s">
        <v>241</v>
      </c>
      <c r="C1174">
        <v>1</v>
      </c>
    </row>
    <row r="1175" spans="1:3">
      <c r="A1175" t="s">
        <v>161</v>
      </c>
      <c r="B1175" t="s">
        <v>241</v>
      </c>
      <c r="C1175">
        <v>7</v>
      </c>
    </row>
    <row r="1176" spans="1:3">
      <c r="A1176" t="s">
        <v>161</v>
      </c>
      <c r="B1176" t="s">
        <v>240</v>
      </c>
      <c r="C1176">
        <v>4</v>
      </c>
    </row>
    <row r="1177" spans="1:3">
      <c r="A1177" t="s">
        <v>161</v>
      </c>
      <c r="B1177" t="s">
        <v>247</v>
      </c>
      <c r="C1177">
        <v>2</v>
      </c>
    </row>
    <row r="1178" spans="1:3">
      <c r="A1178" t="s">
        <v>161</v>
      </c>
      <c r="B1178" t="s">
        <v>246</v>
      </c>
      <c r="C1178">
        <v>2</v>
      </c>
    </row>
    <row r="1179" spans="1:3">
      <c r="A1179" t="s">
        <v>161</v>
      </c>
      <c r="B1179" t="s">
        <v>245</v>
      </c>
      <c r="C1179">
        <v>1</v>
      </c>
    </row>
    <row r="1180" spans="1:3">
      <c r="A1180" t="s">
        <v>161</v>
      </c>
      <c r="B1180" t="s">
        <v>249</v>
      </c>
      <c r="C1180">
        <v>1</v>
      </c>
    </row>
    <row r="1181" spans="1:3">
      <c r="A1181" t="s">
        <v>161</v>
      </c>
      <c r="B1181" t="s">
        <v>243</v>
      </c>
      <c r="C1181">
        <v>1</v>
      </c>
    </row>
    <row r="1182" spans="1:3">
      <c r="A1182" t="s">
        <v>161</v>
      </c>
      <c r="B1182" t="s">
        <v>239</v>
      </c>
      <c r="C1182">
        <v>1</v>
      </c>
    </row>
    <row r="1183" spans="1:3">
      <c r="A1183" t="s">
        <v>60</v>
      </c>
      <c r="B1183" t="s">
        <v>241</v>
      </c>
      <c r="C1183">
        <v>7</v>
      </c>
    </row>
    <row r="1184" spans="1:3">
      <c r="A1184" t="s">
        <v>60</v>
      </c>
      <c r="B1184" t="s">
        <v>239</v>
      </c>
      <c r="C1184">
        <v>5</v>
      </c>
    </row>
    <row r="1185" spans="1:3">
      <c r="A1185" t="s">
        <v>60</v>
      </c>
      <c r="B1185" t="s">
        <v>240</v>
      </c>
      <c r="C1185">
        <v>2</v>
      </c>
    </row>
    <row r="1186" spans="1:3">
      <c r="A1186" t="s">
        <v>60</v>
      </c>
      <c r="B1186" t="s">
        <v>242</v>
      </c>
      <c r="C1186">
        <v>1</v>
      </c>
    </row>
    <row r="1187" spans="1:3">
      <c r="A1187" t="s">
        <v>60</v>
      </c>
      <c r="B1187" t="s">
        <v>243</v>
      </c>
      <c r="C1187">
        <v>1</v>
      </c>
    </row>
    <row r="1188" spans="1:3">
      <c r="A1188" t="s">
        <v>195</v>
      </c>
      <c r="B1188" t="s">
        <v>242</v>
      </c>
      <c r="C1188">
        <v>2</v>
      </c>
    </row>
    <row r="1189" spans="1:3">
      <c r="A1189" t="s">
        <v>195</v>
      </c>
      <c r="B1189" t="s">
        <v>240</v>
      </c>
      <c r="C1189">
        <v>1</v>
      </c>
    </row>
    <row r="1190" spans="1:3">
      <c r="A1190" t="s">
        <v>162</v>
      </c>
      <c r="B1190" t="s">
        <v>241</v>
      </c>
      <c r="C1190">
        <v>10</v>
      </c>
    </row>
    <row r="1191" spans="1:3">
      <c r="A1191" t="s">
        <v>162</v>
      </c>
      <c r="B1191" t="s">
        <v>243</v>
      </c>
      <c r="C1191">
        <v>3</v>
      </c>
    </row>
    <row r="1192" spans="1:3">
      <c r="A1192" t="s">
        <v>162</v>
      </c>
      <c r="B1192" t="s">
        <v>246</v>
      </c>
      <c r="C1192">
        <v>2</v>
      </c>
    </row>
    <row r="1193" spans="1:3">
      <c r="A1193" t="s">
        <v>162</v>
      </c>
      <c r="B1193" t="s">
        <v>244</v>
      </c>
      <c r="C1193">
        <v>1</v>
      </c>
    </row>
    <row r="1194" spans="1:3">
      <c r="A1194" t="s">
        <v>162</v>
      </c>
      <c r="B1194" t="s">
        <v>240</v>
      </c>
      <c r="C1194">
        <v>1</v>
      </c>
    </row>
    <row r="1195" spans="1:3">
      <c r="A1195" t="s">
        <v>162</v>
      </c>
      <c r="B1195" t="s">
        <v>247</v>
      </c>
      <c r="C1195">
        <v>1</v>
      </c>
    </row>
    <row r="1196" spans="1:3">
      <c r="A1196" t="s">
        <v>162</v>
      </c>
      <c r="B1196" t="s">
        <v>239</v>
      </c>
      <c r="C1196">
        <v>1</v>
      </c>
    </row>
    <row r="1197" spans="1:3">
      <c r="A1197" t="s">
        <v>162</v>
      </c>
      <c r="B1197" t="s">
        <v>242</v>
      </c>
      <c r="C1197">
        <v>1</v>
      </c>
    </row>
  </sheetData>
  <mergeCells count="1">
    <mergeCell ref="E2:J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25"/>
  <sheetViews>
    <sheetView topLeftCell="B1" workbookViewId="0">
      <selection activeCell="F27" sqref="F27"/>
    </sheetView>
  </sheetViews>
  <sheetFormatPr defaultRowHeight="15"/>
  <cols>
    <col min="3" max="3" width="40.28515625" bestFit="1" customWidth="1"/>
    <col min="4" max="4" width="61.5703125" customWidth="1"/>
    <col min="5" max="5" width="20.28515625" customWidth="1"/>
    <col min="6" max="6" width="22" bestFit="1" customWidth="1"/>
    <col min="7" max="7" width="44.5703125" customWidth="1"/>
    <col min="10" max="10" width="10.7109375" customWidth="1"/>
  </cols>
  <sheetData>
    <row r="1" spans="3:7" ht="15.75" thickBot="1"/>
    <row r="2" spans="3:7">
      <c r="C2" s="69" t="s">
        <v>19570</v>
      </c>
      <c r="D2" s="70"/>
    </row>
    <row r="3" spans="3:7" ht="15.75" thickBot="1">
      <c r="C3" s="71"/>
      <c r="D3" s="72"/>
    </row>
    <row r="4" spans="3:7" ht="15.75" thickBot="1"/>
    <row r="5" spans="3:7" ht="15.75" thickBot="1">
      <c r="C5" s="65" t="s">
        <v>19498</v>
      </c>
      <c r="D5" s="66"/>
      <c r="F5" s="7" t="s">
        <v>19504</v>
      </c>
      <c r="G5" s="135" t="str">
        <f>D7</f>
        <v>Eden</v>
      </c>
    </row>
    <row r="6" spans="3:7" ht="15.75" thickBot="1">
      <c r="C6" s="67"/>
      <c r="D6" s="68"/>
      <c r="F6" s="133" t="s">
        <v>19505</v>
      </c>
      <c r="G6" s="134"/>
    </row>
    <row r="7" spans="3:7" ht="19.5" thickBot="1">
      <c r="C7" s="129" t="s">
        <v>19499</v>
      </c>
      <c r="D7" s="131" t="s">
        <v>6265</v>
      </c>
      <c r="F7" t="str" cm="1">
        <f t="array" ref="F7:F10">_xlfn._xlws.FILTER(Strutture_ricettive[Città],Strutture_ricettive[Denominazione]=$G$5)</f>
        <v>Fermo</v>
      </c>
    </row>
    <row r="8" spans="3:7" ht="15.75" thickBot="1">
      <c r="C8" s="130" t="s">
        <v>19500</v>
      </c>
      <c r="D8" s="132" t="s">
        <v>154</v>
      </c>
      <c r="F8" t="str">
        <v>Sarnano</v>
      </c>
    </row>
    <row r="9" spans="3:7">
      <c r="C9" s="6" t="s">
        <v>19501</v>
      </c>
      <c r="D9" s="5" t="str" cm="1">
        <f t="array" ref="D9">_xlfn.XLOOKUP(1,(Strutture_ricettive[Denominazione]=$D$7)*(Strutture_ricettive[Città]=$D$8),IF(Strutture_ricettive[Indirizzo]=0," ",Strutture_ricettive[Indirizzo]),"Non trovato")</f>
        <v>Via Alcide De Gasperi 26</v>
      </c>
      <c r="F9" t="str">
        <v>Grottammare</v>
      </c>
    </row>
    <row r="10" spans="3:7">
      <c r="C10" s="6" t="s">
        <v>19502</v>
      </c>
      <c r="D10" s="5" t="str" cm="1">
        <f t="array" ref="D10">_xlfn.XLOOKUP(1,(Strutture_ricettive[Denominazione]=$D$7)*(Strutture_ricettive[Città]=$D$8),IF(Strutture_ricettive[Indirizzo di posta elettronica]=0," ",Strutture_ricettive[Indirizzo di posta elettronica]),"Non trovato")</f>
        <v>hotel@novidra.com</v>
      </c>
      <c r="F10" t="str">
        <v>Gabicce Mare</v>
      </c>
    </row>
    <row r="11" spans="3:7" ht="15.75" thickBot="1">
      <c r="C11" s="2" t="s">
        <v>19503</v>
      </c>
      <c r="D11" s="5" t="str" cm="1">
        <f t="array" ref="D11">_xlfn.XLOOKUP(1,(Strutture_ricettive[Denominazione]=$D$7)*(Strutture_ricettive[Città]=$D$8),IF(Strutture_ricettive[Indirizzo internet]=0," ",Strutture_ricettive[Indirizzo internet]),"Non trovato")</f>
        <v>www.novidra.com</v>
      </c>
    </row>
    <row r="12" spans="3:7">
      <c r="C12" s="4" t="s">
        <v>19507</v>
      </c>
      <c r="D12" s="3">
        <f>COUNTA(Strutture_ricettive[Denominazione])</f>
        <v>6258</v>
      </c>
    </row>
    <row r="13" spans="3:7" ht="15.75" thickBot="1">
      <c r="C13" s="2" t="s">
        <v>19506</v>
      </c>
      <c r="D13" s="1">
        <f>COUNTIFS(Strutture_ricettive[Città],Ricerca!D8)</f>
        <v>40</v>
      </c>
    </row>
    <row r="14" spans="3:7" ht="15.75" thickBot="1"/>
    <row r="15" spans="3:7">
      <c r="C15" s="217" t="s">
        <v>19662</v>
      </c>
      <c r="D15" s="218"/>
      <c r="E15" s="219"/>
    </row>
    <row r="16" spans="3:7">
      <c r="C16" s="235" t="s">
        <v>19663</v>
      </c>
      <c r="D16" s="236"/>
      <c r="E16" s="237"/>
    </row>
    <row r="17" spans="3:5" ht="15.75" thickBot="1">
      <c r="C17" s="220" t="s">
        <v>19664</v>
      </c>
      <c r="D17" s="221"/>
      <c r="E17" s="222"/>
    </row>
    <row r="18" spans="3:5" ht="15.75" thickBot="1"/>
    <row r="19" spans="3:5">
      <c r="C19" s="223" t="s">
        <v>19508</v>
      </c>
      <c r="D19" s="224"/>
      <c r="E19" s="225"/>
    </row>
    <row r="20" spans="3:5">
      <c r="C20" s="238" t="s">
        <v>19665</v>
      </c>
      <c r="D20" s="239"/>
      <c r="E20" s="240"/>
    </row>
    <row r="21" spans="3:5">
      <c r="C21" s="238" t="s">
        <v>19509</v>
      </c>
      <c r="D21" s="239"/>
      <c r="E21" s="240"/>
    </row>
    <row r="22" spans="3:5">
      <c r="C22" s="238"/>
      <c r="D22" s="239"/>
      <c r="E22" s="240"/>
    </row>
    <row r="23" spans="3:5">
      <c r="C23" s="238" t="s">
        <v>19510</v>
      </c>
      <c r="D23" s="239"/>
      <c r="E23" s="240"/>
    </row>
    <row r="24" spans="3:5">
      <c r="C24" s="238"/>
      <c r="D24" s="239"/>
      <c r="E24" s="240"/>
    </row>
    <row r="25" spans="3:5" ht="15.75" thickBot="1">
      <c r="C25" s="226" t="s">
        <v>19511</v>
      </c>
      <c r="D25" s="227"/>
      <c r="E25" s="228"/>
    </row>
  </sheetData>
  <mergeCells count="2">
    <mergeCell ref="C5:D6"/>
    <mergeCell ref="C2:D3"/>
  </mergeCells>
  <dataValidations count="1">
    <dataValidation type="list" allowBlank="1" showInputMessage="1" showErrorMessage="1" sqref="D8" xr:uid="{AFAFE0C7-EE1D-4E1F-A0C0-9421DEC7CBCD}">
      <formula1>_xlfn.ANCHORARRAY($F$7)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D7977C-851B-4CCD-B3B4-2B9FEC51A809}">
          <x14:formula1>
            <xm:f>'Conteggio denominazione'!$A$2:$A$5850</xm:f>
          </x14:formula1>
          <xm:sqref>D7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EFAB-5C4B-4557-BEDA-1887BBF27A0D}">
  <dimension ref="B1:I19"/>
  <sheetViews>
    <sheetView zoomScale="85" zoomScaleNormal="85" workbookViewId="0">
      <selection activeCell="F29" sqref="F29"/>
    </sheetView>
  </sheetViews>
  <sheetFormatPr defaultRowHeight="15"/>
  <cols>
    <col min="2" max="2" width="22.5703125" bestFit="1" customWidth="1"/>
    <col min="3" max="3" width="19.42578125" customWidth="1"/>
    <col min="4" max="4" width="19.140625" bestFit="1" customWidth="1"/>
    <col min="5" max="5" width="32.85546875" bestFit="1" customWidth="1"/>
    <col min="6" max="6" width="33.7109375" customWidth="1"/>
    <col min="7" max="7" width="35.85546875" bestFit="1" customWidth="1"/>
    <col min="8" max="8" width="43.28515625" bestFit="1" customWidth="1"/>
    <col min="9" max="9" width="50.85546875" bestFit="1" customWidth="1"/>
  </cols>
  <sheetData>
    <row r="1" spans="2:9" ht="15.75" thickBot="1"/>
    <row r="2" spans="2:9">
      <c r="B2" s="142" t="s">
        <v>19666</v>
      </c>
      <c r="C2" s="143"/>
      <c r="D2" s="143"/>
      <c r="E2" s="143"/>
      <c r="F2" s="143"/>
      <c r="G2" s="143"/>
      <c r="H2" s="143"/>
      <c r="I2" s="144"/>
    </row>
    <row r="3" spans="2:9" ht="15.75" thickBot="1">
      <c r="B3" s="145"/>
      <c r="C3" s="146"/>
      <c r="D3" s="146"/>
      <c r="E3" s="146"/>
      <c r="F3" s="146"/>
      <c r="G3" s="146"/>
      <c r="H3" s="146"/>
      <c r="I3" s="147"/>
    </row>
    <row r="4" spans="2:9" ht="15.75" thickBot="1"/>
    <row r="5" spans="2:9" ht="15.75" thickBot="1">
      <c r="B5" s="82" t="s">
        <v>19513</v>
      </c>
      <c r="C5" s="83"/>
      <c r="D5" s="83"/>
      <c r="E5" s="83"/>
      <c r="F5" s="83"/>
      <c r="G5" s="83"/>
      <c r="H5" s="83"/>
      <c r="I5" s="84"/>
    </row>
    <row r="6" spans="2:9">
      <c r="B6" s="85" t="s">
        <v>19571</v>
      </c>
      <c r="C6" s="86"/>
      <c r="D6" s="86"/>
      <c r="E6" s="86"/>
      <c r="F6" s="86"/>
      <c r="G6" s="86"/>
      <c r="H6" s="86"/>
      <c r="I6" s="87"/>
    </row>
    <row r="7" spans="2:9" ht="15.75" thickBot="1">
      <c r="B7" s="88"/>
      <c r="C7" s="89"/>
      <c r="D7" s="89"/>
      <c r="E7" s="89"/>
      <c r="F7" s="89"/>
      <c r="G7" s="89"/>
      <c r="H7" s="89"/>
      <c r="I7" s="90"/>
    </row>
    <row r="8" spans="2:9" ht="15.75" thickBot="1"/>
    <row r="9" spans="2:9" ht="15" customHeight="1">
      <c r="B9" s="76" t="s">
        <v>19512</v>
      </c>
      <c r="C9" s="77"/>
      <c r="D9" s="77"/>
      <c r="E9" s="77"/>
      <c r="F9" s="77"/>
      <c r="G9" s="77"/>
      <c r="H9" s="77"/>
      <c r="I9" s="78"/>
    </row>
    <row r="10" spans="2:9" ht="15.75" customHeight="1" thickBot="1">
      <c r="B10" s="79"/>
      <c r="C10" s="80"/>
      <c r="D10" s="80"/>
      <c r="E10" s="80"/>
      <c r="F10" s="80"/>
      <c r="G10" s="80"/>
      <c r="H10" s="80"/>
      <c r="I10" s="81"/>
    </row>
    <row r="11" spans="2:9" ht="15.75" thickBot="1">
      <c r="B11" s="73" t="s">
        <v>19655</v>
      </c>
      <c r="C11" s="74"/>
      <c r="D11" s="75"/>
      <c r="E11" s="136" t="s">
        <v>87</v>
      </c>
      <c r="F11" s="137"/>
      <c r="G11" s="137"/>
      <c r="H11" s="137"/>
      <c r="I11" s="138"/>
    </row>
    <row r="12" spans="2:9" ht="15.75" thickBot="1">
      <c r="B12" s="139" t="str" cm="1">
        <f t="array" ref="B12:I12">Strutture_ricettive[#Headers]</f>
        <v>Categoria</v>
      </c>
      <c r="C12" s="140" t="str">
        <v>Città</v>
      </c>
      <c r="D12" s="140" t="str">
        <v>Prezzi.Prezzo Medio</v>
      </c>
      <c r="E12" s="140" t="str">
        <v>Denominazione</v>
      </c>
      <c r="F12" s="140" t="str">
        <v>Indirizzo</v>
      </c>
      <c r="G12" s="140" t="str">
        <v>Localita</v>
      </c>
      <c r="H12" s="140" t="str">
        <v>Indirizzo internet</v>
      </c>
      <c r="I12" s="141" t="str">
        <v>Indirizzo di posta elettronica</v>
      </c>
    </row>
    <row r="13" spans="2:9">
      <c r="B13" t="str" cm="1">
        <f t="array" ref="B13:I19">_xlfn._xlws.SORT(_xlfn._xlws.FILTER(Strutture_ricettive[#Data],Strutture_ricettive[Città]=E11,"Non trovata"),1,1)</f>
        <v>Alloggi Agrituristici</v>
      </c>
      <c r="C13" t="str">
        <v>Monte San Vito</v>
      </c>
      <c r="D13">
        <v>74</v>
      </c>
      <c r="E13" t="str">
        <v>Le Terre Di Maluk</v>
      </c>
      <c r="F13" t="str">
        <v>Via Piana Di Cardinale 37</v>
      </c>
      <c r="G13" t="str">
        <v>Loc.Cozze Di Monte San Vito</v>
      </c>
      <c r="H13" t="str">
        <v>www.leterredimaluk.it</v>
      </c>
      <c r="I13" t="str">
        <v>info@leterredimaluk.it</v>
      </c>
    </row>
    <row r="14" spans="2:9">
      <c r="B14" t="str">
        <v>Alloggi Agrituristici</v>
      </c>
      <c r="C14" t="str">
        <v>Monte San Vito</v>
      </c>
      <c r="D14">
        <v>74</v>
      </c>
      <c r="E14" t="str">
        <v>La Casa Sull'Albero</v>
      </c>
      <c r="F14" t="str">
        <v>Via Fonte Delle Cannelle 2</v>
      </c>
      <c r="G14" t="str">
        <v>Monte San Vito</v>
      </c>
      <c r="H14" t="str">
        <v>www.agriturismomarcheok.it</v>
      </c>
      <c r="I14" t="str">
        <v>distilleria.bio@gmail.com</v>
      </c>
    </row>
    <row r="15" spans="2:9">
      <c r="B15" t="str">
        <v>Bed &amp; Breakfast</v>
      </c>
      <c r="C15" t="str">
        <v>Monte San Vito</v>
      </c>
      <c r="D15">
        <v>74</v>
      </c>
      <c r="E15" t="str">
        <v>Viadelcampo Di  Serrani Silvia</v>
      </c>
      <c r="F15" t="str">
        <v>Viale Martiri Della Resistenza 66</v>
      </c>
      <c r="G15" t="str">
        <v>Monte San Vito</v>
      </c>
      <c r="H15" t="str">
        <v>www.viadelcampo.info</v>
      </c>
      <c r="I15" t="str">
        <v>silviaserrani@virgilio.it</v>
      </c>
    </row>
    <row r="16" spans="2:9">
      <c r="B16" t="str">
        <v>Bed &amp; Breakfast</v>
      </c>
      <c r="C16" t="str">
        <v>Monte San Vito</v>
      </c>
      <c r="D16">
        <v>74</v>
      </c>
      <c r="E16" t="str">
        <v>B&amp;B Da Dany</v>
      </c>
      <c r="F16">
        <v>0</v>
      </c>
      <c r="G16" t="str">
        <v>Monte San Vito</v>
      </c>
      <c r="H16">
        <v>0</v>
      </c>
      <c r="I16" t="str">
        <v>bbdadany@libero.it</v>
      </c>
    </row>
    <row r="17" spans="2:9">
      <c r="B17" t="str">
        <v>Turismo Rurale</v>
      </c>
      <c r="C17" t="str">
        <v>Monte San Vito</v>
      </c>
      <c r="D17">
        <v>74</v>
      </c>
      <c r="E17" t="str">
        <v>Gli Ulivi Del Monte</v>
      </c>
      <c r="F17" t="str">
        <v>Via Moruco C 2</v>
      </c>
      <c r="G17" t="str">
        <v>Monte San Vito</v>
      </c>
      <c r="H17" t="str">
        <v>www.gliulividelmonte.it</v>
      </c>
      <c r="I17" t="str">
        <v>info@gliulividelmonte.it</v>
      </c>
    </row>
    <row r="18" spans="2:9">
      <c r="B18" t="str">
        <v>Turismo Rurale</v>
      </c>
      <c r="C18" t="str">
        <v>Monte San Vito</v>
      </c>
      <c r="D18">
        <v>74</v>
      </c>
      <c r="E18" t="str">
        <v>Poggio Antico</v>
      </c>
      <c r="F18" t="str">
        <v>Via Malviano B 1</v>
      </c>
      <c r="G18" t="str">
        <v>Monte San Vito</v>
      </c>
      <c r="H18" t="str">
        <v>www.poggio-antico.com</v>
      </c>
      <c r="I18" t="str">
        <v>info@muchele.com</v>
      </c>
    </row>
    <row r="19" spans="2:9">
      <c r="B19" t="str">
        <v>Turismo Rurale</v>
      </c>
      <c r="C19" t="str">
        <v>Monte San Vito</v>
      </c>
      <c r="D19">
        <v>74</v>
      </c>
      <c r="E19" t="str">
        <v>Malviano Resort</v>
      </c>
      <c r="F19" t="str">
        <v>Via Malviano B 5</v>
      </c>
      <c r="G19" t="str">
        <v>Monte San Vito</v>
      </c>
      <c r="H19" t="str">
        <v>www.malviano.com</v>
      </c>
      <c r="I19" t="str">
        <v>info@malviano.com</v>
      </c>
    </row>
  </sheetData>
  <mergeCells count="6">
    <mergeCell ref="B2:I3"/>
    <mergeCell ref="B11:D11"/>
    <mergeCell ref="B9:I10"/>
    <mergeCell ref="E11:I11"/>
    <mergeCell ref="B5:I5"/>
    <mergeCell ref="B6:I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F984A0-AFB7-4467-BF8D-2E794CA80954}">
          <x14:formula1>
            <xm:f>'Conteggio cittá'!$A$2:$A$235</xm:f>
          </x14:formula1>
          <xm:sqref>E11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E48C-0FFD-4C5A-BFE1-0FBA13DA3BF4}">
  <dimension ref="A1:Q46"/>
  <sheetViews>
    <sheetView topLeftCell="A4" zoomScaleNormal="100" workbookViewId="0">
      <selection activeCell="M27" sqref="M27"/>
    </sheetView>
  </sheetViews>
  <sheetFormatPr defaultRowHeight="15"/>
  <cols>
    <col min="2" max="2" width="17.5703125" bestFit="1" customWidth="1"/>
    <col min="5" max="5" width="10.28515625" customWidth="1"/>
    <col min="6" max="6" width="11.140625" customWidth="1"/>
    <col min="9" max="9" width="12.42578125" customWidth="1"/>
  </cols>
  <sheetData>
    <row r="1" spans="1:17" ht="15.75" thickBot="1"/>
    <row r="2" spans="1:17" ht="15.75" thickTop="1">
      <c r="B2" s="91" t="s">
        <v>19572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3"/>
    </row>
    <row r="3" spans="1:17" ht="15.75" thickBot="1">
      <c r="B3" s="94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6"/>
    </row>
    <row r="4" spans="1:17" ht="16.5" thickTop="1" thickBot="1"/>
    <row r="5" spans="1:17" ht="16.5" thickTop="1" thickBot="1">
      <c r="B5" s="16" t="s">
        <v>19514</v>
      </c>
      <c r="C5" s="20">
        <f>AVERAGE(Prezzi[Prezzo Medio])</f>
        <v>73.5</v>
      </c>
      <c r="E5" s="241" t="s">
        <v>19521</v>
      </c>
      <c r="F5" s="242"/>
      <c r="G5" s="242"/>
      <c r="H5" s="242"/>
      <c r="I5" s="242"/>
      <c r="J5" s="242"/>
      <c r="K5" s="242"/>
      <c r="L5" s="243"/>
    </row>
    <row r="6" spans="1:17" ht="16.5" thickTop="1" thickBot="1">
      <c r="B6" s="16" t="s">
        <v>19515</v>
      </c>
      <c r="C6" s="20">
        <f>MEDIAN(Prezzi[Prezzo Medio])</f>
        <v>73.5</v>
      </c>
    </row>
    <row r="7" spans="1:17" ht="16.5" thickTop="1" thickBot="1">
      <c r="B7" s="16" t="s">
        <v>19516</v>
      </c>
      <c r="C7" s="20">
        <f>_xlfn.MODE.SNGL(Prezzi[Prezzo Medio])</f>
        <v>75</v>
      </c>
      <c r="E7" s="16" t="s">
        <v>19534</v>
      </c>
      <c r="F7" s="18"/>
      <c r="H7" s="23">
        <f>C10-1.5*C12</f>
        <v>-19.875</v>
      </c>
    </row>
    <row r="8" spans="1:17" ht="16.5" thickTop="1" thickBot="1">
      <c r="B8" s="16" t="s">
        <v>19517</v>
      </c>
      <c r="C8" s="20">
        <f>_xlfn.VAR.P(Prezzi[Prezzo Medio])</f>
        <v>754.06196581196582</v>
      </c>
      <c r="E8" s="16" t="s">
        <v>19535</v>
      </c>
      <c r="F8" s="18"/>
      <c r="H8" s="20">
        <f>C11+1.5*C12</f>
        <v>167.125</v>
      </c>
    </row>
    <row r="9" spans="1:17" ht="16.5" thickTop="1" thickBot="1">
      <c r="B9" s="16" t="s">
        <v>19518</v>
      </c>
      <c r="C9" s="30">
        <f>_xlfn.STDEV.P(Prezzi[Prezzo Medio])</f>
        <v>27.460188743196319</v>
      </c>
    </row>
    <row r="10" spans="1:17" ht="16.5" thickTop="1" thickBot="1">
      <c r="A10" s="19">
        <v>1</v>
      </c>
      <c r="B10" s="16" t="s">
        <v>19519</v>
      </c>
      <c r="C10" s="20">
        <f>_xlfn.QUARTILE.INC(Prezzi[Prezzo Medio],A10)</f>
        <v>50.25</v>
      </c>
      <c r="E10" s="16" t="s">
        <v>19536</v>
      </c>
      <c r="F10" s="18"/>
      <c r="H10" t="str" cm="1">
        <f t="array" ref="H10">IF((_xlfn.TEXTJOIN("; ",TRUE,_xlfn._xlws.FILTER(Prezzi[Prezzo Medio],(Prezzi[Prezzo Medio]&lt; H7)+(Prezzi[Prezzo Medio] &gt; H8),"") ))=""," Non presenti ",(_xlfn.TEXTJOIN("; ",TRUE,_xlfn._xlws.FILTER(Prezzi[Prezzo Medio],(Prezzi[Prezzo Medio]&lt; H7)+(Prezzi[Prezzo Medio] &gt; H8),"") )))</f>
        <v xml:space="preserve"> Non presenti </v>
      </c>
    </row>
    <row r="11" spans="1:17" ht="16.5" thickTop="1" thickBot="1">
      <c r="A11" s="19">
        <v>3</v>
      </c>
      <c r="B11" s="16" t="s">
        <v>19519</v>
      </c>
      <c r="C11" s="21">
        <f>_xlfn.QUARTILE.INC(Prezzi[Prezzo Medio],A11)</f>
        <v>97</v>
      </c>
    </row>
    <row r="12" spans="1:17" ht="16.5" thickTop="1" thickBot="1">
      <c r="B12" s="16" t="s">
        <v>19520</v>
      </c>
      <c r="C12" s="20">
        <f>C11-C10</f>
        <v>46.75</v>
      </c>
      <c r="E12" s="223" t="s">
        <v>19537</v>
      </c>
      <c r="F12" s="224"/>
      <c r="G12" s="224"/>
      <c r="H12" s="224"/>
      <c r="I12" s="224"/>
      <c r="J12" s="224"/>
      <c r="K12" s="224"/>
      <c r="L12" s="225"/>
    </row>
    <row r="13" spans="1:17" ht="16.5" thickTop="1" thickBot="1">
      <c r="B13" s="22"/>
      <c r="C13" s="23"/>
      <c r="E13" s="238" t="s">
        <v>19553</v>
      </c>
      <c r="F13" s="239"/>
      <c r="G13" s="239"/>
      <c r="H13" s="239"/>
      <c r="I13" s="239"/>
      <c r="J13" s="239"/>
      <c r="K13" s="239"/>
      <c r="L13" s="240"/>
    </row>
    <row r="14" spans="1:17" ht="16.5" thickTop="1" thickBot="1">
      <c r="B14" s="16" t="s">
        <v>19523</v>
      </c>
      <c r="C14" s="20">
        <f>MIN(Prezzi[Prezzo Medio])</f>
        <v>30</v>
      </c>
      <c r="E14" s="226" t="s">
        <v>19554</v>
      </c>
      <c r="F14" s="227"/>
      <c r="G14" s="227"/>
      <c r="H14" s="227"/>
      <c r="I14" s="227"/>
      <c r="J14" s="227"/>
      <c r="K14" s="227"/>
      <c r="L14" s="228"/>
    </row>
    <row r="15" spans="1:17" ht="16.5" thickTop="1" thickBot="1">
      <c r="B15" s="24" t="s">
        <v>19522</v>
      </c>
      <c r="C15" s="25">
        <f>MAX(Prezzi[Prezzo Medio])</f>
        <v>120</v>
      </c>
    </row>
    <row r="16" spans="1:17" ht="16.5" thickTop="1" thickBot="1">
      <c r="B16" s="16" t="s">
        <v>19524</v>
      </c>
      <c r="C16" s="148">
        <v>20</v>
      </c>
      <c r="E16" s="217" t="s">
        <v>19667</v>
      </c>
      <c r="F16" s="218"/>
      <c r="G16" s="218"/>
      <c r="H16" s="218"/>
      <c r="I16" s="218"/>
      <c r="J16" s="218"/>
      <c r="K16" s="218"/>
      <c r="L16" s="219"/>
    </row>
    <row r="17" spans="2:12" ht="16.5" thickTop="1" thickBot="1">
      <c r="E17" s="220" t="s">
        <v>19668</v>
      </c>
      <c r="F17" s="221"/>
      <c r="G17" s="221"/>
      <c r="H17" s="221"/>
      <c r="I17" s="221"/>
      <c r="J17" s="221"/>
      <c r="K17" s="221"/>
      <c r="L17" s="222"/>
    </row>
    <row r="18" spans="2:12" ht="15.75" thickBot="1">
      <c r="B18" s="149" t="s">
        <v>19526</v>
      </c>
    </row>
    <row r="19" spans="2:12" ht="16.5" thickTop="1" thickBot="1">
      <c r="B19" s="149" t="s">
        <v>19527</v>
      </c>
      <c r="C19" s="149" t="s">
        <v>19528</v>
      </c>
      <c r="E19" s="149" t="s">
        <v>19529</v>
      </c>
      <c r="G19" s="22" t="s">
        <v>19530</v>
      </c>
      <c r="H19" s="26"/>
      <c r="I19" s="26"/>
      <c r="J19" s="23">
        <f>MAX(_xlfn.ANCHORARRAY(E20))</f>
        <v>55</v>
      </c>
    </row>
    <row r="20" spans="2:12" ht="16.5" thickTop="1" thickBot="1">
      <c r="B20">
        <v>0</v>
      </c>
      <c r="C20">
        <f>C16+B20</f>
        <v>20</v>
      </c>
      <c r="E20" cm="1">
        <f t="array" ref="E20:E28">FREQUENCY(Prezzi[Prezzo Medio],C20:C45)</f>
        <v>0</v>
      </c>
      <c r="G20" s="16" t="s">
        <v>19531</v>
      </c>
      <c r="H20" s="20"/>
      <c r="I20" s="17"/>
      <c r="J20" s="20">
        <f>_xlfn.XLOOKUP(J19,E20:E45,B20:B45)</f>
        <v>100</v>
      </c>
    </row>
    <row r="21" spans="2:12" ht="16.5" thickTop="1" thickBot="1">
      <c r="B21">
        <f>IF(B20&lt;=$C$15,B20+$C$16," ")</f>
        <v>20</v>
      </c>
      <c r="C21">
        <f>IF(B21=" "," ",B21+$C$16)</f>
        <v>40</v>
      </c>
      <c r="E21">
        <v>37</v>
      </c>
      <c r="G21" s="27" t="s">
        <v>19532</v>
      </c>
      <c r="H21" s="28"/>
      <c r="I21" s="28"/>
      <c r="J21" s="29" cm="1">
        <f t="array" ref="J21">_xlfn.XLOOKUP(J19,E20:E21:E45,C20:C45)</f>
        <v>120</v>
      </c>
    </row>
    <row r="22" spans="2:12" ht="16.5" thickTop="1" thickBot="1">
      <c r="B22">
        <f t="shared" ref="B22:B46" si="0">IF(B21&lt;=$C$15,B21+$C$16," ")</f>
        <v>40</v>
      </c>
      <c r="C22">
        <f t="shared" ref="C22:C45" si="1">IF(B22=" "," ",B22+$C$16)</f>
        <v>60</v>
      </c>
      <c r="E22">
        <v>51</v>
      </c>
    </row>
    <row r="23" spans="2:12" ht="16.5" thickTop="1" thickBot="1">
      <c r="B23">
        <f t="shared" si="0"/>
        <v>60</v>
      </c>
      <c r="C23">
        <f t="shared" si="1"/>
        <v>80</v>
      </c>
      <c r="E23">
        <v>52</v>
      </c>
      <c r="G23" s="16" t="s">
        <v>19533</v>
      </c>
      <c r="H23" s="17"/>
      <c r="I23" s="17"/>
      <c r="J23" s="18" t="str">
        <f>_xlfn.CONCAT(J20,"-",J21)</f>
        <v>100-120</v>
      </c>
    </row>
    <row r="24" spans="2:12" ht="15.75" thickTop="1">
      <c r="B24">
        <f t="shared" si="0"/>
        <v>80</v>
      </c>
      <c r="C24">
        <f t="shared" si="1"/>
        <v>100</v>
      </c>
      <c r="E24">
        <v>39</v>
      </c>
    </row>
    <row r="25" spans="2:12">
      <c r="B25">
        <f t="shared" si="0"/>
        <v>100</v>
      </c>
      <c r="C25">
        <f t="shared" si="1"/>
        <v>120</v>
      </c>
      <c r="E25">
        <v>55</v>
      </c>
    </row>
    <row r="26" spans="2:12">
      <c r="B26">
        <f t="shared" si="0"/>
        <v>120</v>
      </c>
      <c r="C26">
        <f t="shared" si="1"/>
        <v>140</v>
      </c>
      <c r="E26">
        <v>0</v>
      </c>
    </row>
    <row r="27" spans="2:12">
      <c r="B27">
        <f t="shared" si="0"/>
        <v>140</v>
      </c>
      <c r="C27">
        <f t="shared" si="1"/>
        <v>160</v>
      </c>
      <c r="E27">
        <v>0</v>
      </c>
    </row>
    <row r="28" spans="2:12">
      <c r="B28" t="str">
        <f t="shared" si="0"/>
        <v xml:space="preserve"> </v>
      </c>
      <c r="C28" t="str">
        <f t="shared" si="1"/>
        <v xml:space="preserve"> </v>
      </c>
      <c r="E28">
        <v>0</v>
      </c>
    </row>
    <row r="29" spans="2:12">
      <c r="B29" t="str">
        <f t="shared" si="0"/>
        <v xml:space="preserve"> </v>
      </c>
      <c r="C29" t="str">
        <f t="shared" si="1"/>
        <v xml:space="preserve"> </v>
      </c>
    </row>
    <row r="30" spans="2:12">
      <c r="B30" t="str">
        <f t="shared" si="0"/>
        <v xml:space="preserve"> </v>
      </c>
      <c r="C30" t="str">
        <f t="shared" si="1"/>
        <v xml:space="preserve"> </v>
      </c>
    </row>
    <row r="31" spans="2:12">
      <c r="B31" t="str">
        <f t="shared" si="0"/>
        <v xml:space="preserve"> </v>
      </c>
      <c r="C31" t="str">
        <f t="shared" si="1"/>
        <v xml:space="preserve"> </v>
      </c>
    </row>
    <row r="32" spans="2:12">
      <c r="B32" t="str">
        <f t="shared" si="0"/>
        <v xml:space="preserve"> </v>
      </c>
      <c r="C32" t="str">
        <f t="shared" si="1"/>
        <v xml:space="preserve"> </v>
      </c>
    </row>
    <row r="33" spans="2:3">
      <c r="B33" t="str">
        <f t="shared" si="0"/>
        <v xml:space="preserve"> </v>
      </c>
      <c r="C33" t="str">
        <f t="shared" si="1"/>
        <v xml:space="preserve"> </v>
      </c>
    </row>
    <row r="34" spans="2:3">
      <c r="B34" t="str">
        <f t="shared" si="0"/>
        <v xml:space="preserve"> </v>
      </c>
      <c r="C34" t="str">
        <f t="shared" si="1"/>
        <v xml:space="preserve"> </v>
      </c>
    </row>
    <row r="35" spans="2:3">
      <c r="B35" t="str">
        <f t="shared" si="0"/>
        <v xml:space="preserve"> </v>
      </c>
      <c r="C35" t="str">
        <f t="shared" si="1"/>
        <v xml:space="preserve"> </v>
      </c>
    </row>
    <row r="36" spans="2:3">
      <c r="B36" t="str">
        <f t="shared" si="0"/>
        <v xml:space="preserve"> </v>
      </c>
      <c r="C36" t="str">
        <f t="shared" si="1"/>
        <v xml:space="preserve"> </v>
      </c>
    </row>
    <row r="37" spans="2:3">
      <c r="B37" t="str">
        <f t="shared" si="0"/>
        <v xml:space="preserve"> </v>
      </c>
      <c r="C37" t="str">
        <f t="shared" si="1"/>
        <v xml:space="preserve"> </v>
      </c>
    </row>
    <row r="38" spans="2:3">
      <c r="B38" t="str">
        <f t="shared" si="0"/>
        <v xml:space="preserve"> </v>
      </c>
      <c r="C38" t="str">
        <f t="shared" si="1"/>
        <v xml:space="preserve"> </v>
      </c>
    </row>
    <row r="39" spans="2:3">
      <c r="B39" t="str">
        <f t="shared" si="0"/>
        <v xml:space="preserve"> </v>
      </c>
      <c r="C39" t="str">
        <f t="shared" si="1"/>
        <v xml:space="preserve"> </v>
      </c>
    </row>
    <row r="40" spans="2:3">
      <c r="B40" t="str">
        <f t="shared" si="0"/>
        <v xml:space="preserve"> </v>
      </c>
      <c r="C40" t="str">
        <f t="shared" si="1"/>
        <v xml:space="preserve"> </v>
      </c>
    </row>
    <row r="41" spans="2:3">
      <c r="B41" t="str">
        <f t="shared" si="0"/>
        <v xml:space="preserve"> </v>
      </c>
      <c r="C41" t="str">
        <f t="shared" si="1"/>
        <v xml:space="preserve"> </v>
      </c>
    </row>
    <row r="42" spans="2:3">
      <c r="B42" t="str">
        <f t="shared" si="0"/>
        <v xml:space="preserve"> </v>
      </c>
      <c r="C42" t="str">
        <f t="shared" si="1"/>
        <v xml:space="preserve"> </v>
      </c>
    </row>
    <row r="43" spans="2:3">
      <c r="B43" t="str">
        <f t="shared" si="0"/>
        <v xml:space="preserve"> </v>
      </c>
      <c r="C43" t="str">
        <f t="shared" si="1"/>
        <v xml:space="preserve"> </v>
      </c>
    </row>
    <row r="44" spans="2:3">
      <c r="B44" t="str">
        <f t="shared" si="0"/>
        <v xml:space="preserve"> </v>
      </c>
      <c r="C44" t="str">
        <f t="shared" si="1"/>
        <v xml:space="preserve"> </v>
      </c>
    </row>
    <row r="45" spans="2:3">
      <c r="B45" t="str">
        <f t="shared" si="0"/>
        <v xml:space="preserve"> </v>
      </c>
      <c r="C45" t="str">
        <f t="shared" si="1"/>
        <v xml:space="preserve"> </v>
      </c>
    </row>
    <row r="46" spans="2:3">
      <c r="B46" t="str">
        <f t="shared" si="0"/>
        <v xml:space="preserve"> </v>
      </c>
      <c r="C46" t="str">
        <f t="shared" ref="C46" si="2">IF(B46=" "," ",B46+$C$16)</f>
        <v xml:space="preserve"> </v>
      </c>
    </row>
  </sheetData>
  <mergeCells count="1">
    <mergeCell ref="B2:Q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206E16-1D47-4D69-82B2-9B8062CB2EFB}">
          <x14:formula1>
            <xm:f>Prezzi!$E$2:$E$5</xm:f>
          </x14:formula1>
          <xm:sqref>C16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B803-DC60-4BDF-96EB-6D97510EA4B1}">
  <dimension ref="A1:T28"/>
  <sheetViews>
    <sheetView workbookViewId="0">
      <selection activeCell="C22" sqref="C22"/>
    </sheetView>
  </sheetViews>
  <sheetFormatPr defaultRowHeight="15"/>
  <cols>
    <col min="2" max="2" width="16.5703125" bestFit="1" customWidth="1"/>
    <col min="4" max="4" width="16.5703125" bestFit="1" customWidth="1"/>
    <col min="6" max="6" width="19" bestFit="1" customWidth="1"/>
  </cols>
  <sheetData>
    <row r="1" spans="1:20" ht="16.5" thickTop="1" thickBot="1">
      <c r="B1" s="101" t="s">
        <v>19560</v>
      </c>
      <c r="C1" s="102"/>
      <c r="D1" s="102"/>
      <c r="E1" s="102"/>
      <c r="F1" s="102"/>
      <c r="G1" s="102"/>
      <c r="H1" s="102"/>
      <c r="I1" s="103"/>
    </row>
    <row r="2" spans="1:20" ht="16.5" thickTop="1" thickBot="1"/>
    <row r="3" spans="1:20" ht="15.75" thickTop="1">
      <c r="B3" s="104" t="s">
        <v>19538</v>
      </c>
      <c r="C3" s="97"/>
      <c r="D3" s="97"/>
      <c r="E3" s="97"/>
      <c r="F3" s="97"/>
      <c r="G3" s="97"/>
      <c r="H3" s="97"/>
      <c r="I3" s="98"/>
    </row>
    <row r="4" spans="1:20" ht="15.75" thickBot="1">
      <c r="B4" s="105"/>
      <c r="C4" s="106"/>
      <c r="D4" s="106"/>
      <c r="E4" s="106"/>
      <c r="F4" s="106"/>
      <c r="G4" s="106"/>
      <c r="H4" s="106"/>
      <c r="I4" s="107"/>
    </row>
    <row r="5" spans="1:20" ht="15.75" thickTop="1">
      <c r="B5" s="150" t="s">
        <v>241</v>
      </c>
      <c r="C5" s="151"/>
      <c r="D5" s="151"/>
      <c r="E5" s="151"/>
      <c r="F5" s="151"/>
      <c r="G5" s="151"/>
      <c r="H5" s="151"/>
      <c r="I5" s="152"/>
      <c r="K5" s="217" t="s">
        <v>19669</v>
      </c>
      <c r="L5" s="218"/>
      <c r="M5" s="218"/>
      <c r="N5" s="218"/>
      <c r="O5" s="218"/>
      <c r="P5" s="218"/>
      <c r="Q5" s="218"/>
      <c r="R5" s="218"/>
      <c r="S5" s="218"/>
      <c r="T5" s="219"/>
    </row>
    <row r="6" spans="1:20" ht="15.75" thickBot="1">
      <c r="B6" s="153"/>
      <c r="C6" s="154"/>
      <c r="D6" s="154"/>
      <c r="E6" s="154"/>
      <c r="F6" s="154"/>
      <c r="G6" s="154"/>
      <c r="H6" s="154"/>
      <c r="I6" s="155"/>
      <c r="K6" s="235" t="s">
        <v>19670</v>
      </c>
      <c r="L6" s="236"/>
      <c r="M6" s="236"/>
      <c r="N6" s="236"/>
      <c r="O6" s="236"/>
      <c r="P6" s="236"/>
      <c r="Q6" s="236"/>
      <c r="R6" s="236"/>
      <c r="S6" s="236"/>
      <c r="T6" s="237"/>
    </row>
    <row r="7" spans="1:20" ht="16.5" thickTop="1" thickBot="1">
      <c r="K7" s="220" t="s">
        <v>19671</v>
      </c>
      <c r="L7" s="221"/>
      <c r="M7" s="221"/>
      <c r="N7" s="221"/>
      <c r="O7" s="221"/>
      <c r="P7" s="221"/>
      <c r="Q7" s="221"/>
      <c r="R7" s="221"/>
      <c r="S7" s="221"/>
      <c r="T7" s="222"/>
    </row>
    <row r="8" spans="1:20" ht="16.5" thickTop="1" thickBot="1">
      <c r="B8" s="43" t="s">
        <v>19539</v>
      </c>
      <c r="C8" s="44">
        <f>COUNTA(Strutture_ricettive[Denominazione])</f>
        <v>6258</v>
      </c>
    </row>
    <row r="9" spans="1:20" ht="16.5" thickTop="1" thickBot="1">
      <c r="B9" s="42" t="s">
        <v>19540</v>
      </c>
      <c r="C9" s="40">
        <f>_xlfn.XLOOKUP(B5,Conteggio_categorie[Categoria],Conteggio_categorie[Conteggio])</f>
        <v>1809</v>
      </c>
    </row>
    <row r="10" spans="1:20" ht="16.5" thickTop="1" thickBot="1">
      <c r="B10" s="27" t="s">
        <v>19541</v>
      </c>
      <c r="C10" s="41">
        <f>C9/C8</f>
        <v>0.28906999041227227</v>
      </c>
    </row>
    <row r="11" spans="1:20" ht="15.75" thickTop="1"/>
    <row r="12" spans="1:20" ht="15.75" thickBot="1"/>
    <row r="13" spans="1:20" ht="15.75" thickTop="1">
      <c r="B13" s="104" t="s">
        <v>19538</v>
      </c>
      <c r="C13" s="97"/>
      <c r="D13" s="97"/>
      <c r="E13" s="97"/>
      <c r="F13" s="97"/>
      <c r="G13" s="97"/>
      <c r="H13" s="97"/>
      <c r="I13" s="98"/>
    </row>
    <row r="14" spans="1:20" ht="15.75" thickBot="1">
      <c r="B14" s="105"/>
      <c r="C14" s="106"/>
      <c r="D14" s="106"/>
      <c r="E14" s="106"/>
      <c r="F14" s="106"/>
      <c r="G14" s="106"/>
      <c r="H14" s="106"/>
      <c r="I14" s="107"/>
    </row>
    <row r="15" spans="1:20" ht="15.75" thickTop="1">
      <c r="A15" s="91" t="s">
        <v>19545</v>
      </c>
      <c r="B15" s="150" t="s">
        <v>240</v>
      </c>
      <c r="C15" s="151"/>
      <c r="D15" s="151"/>
      <c r="E15" s="151"/>
      <c r="F15" s="151"/>
      <c r="G15" s="151"/>
      <c r="H15" s="151"/>
      <c r="I15" s="152"/>
      <c r="K15" s="217" t="s">
        <v>19675</v>
      </c>
      <c r="L15" s="218"/>
      <c r="M15" s="218"/>
      <c r="N15" s="218"/>
      <c r="O15" s="218"/>
      <c r="P15" s="218"/>
      <c r="Q15" s="218"/>
      <c r="R15" s="218"/>
      <c r="S15" s="218"/>
      <c r="T15" s="219"/>
    </row>
    <row r="16" spans="1:20" ht="15.75" thickBot="1">
      <c r="A16" s="94"/>
      <c r="B16" s="153"/>
      <c r="C16" s="154"/>
      <c r="D16" s="154"/>
      <c r="E16" s="154"/>
      <c r="F16" s="154"/>
      <c r="G16" s="154"/>
      <c r="H16" s="154"/>
      <c r="I16" s="155"/>
      <c r="K16" s="235" t="s">
        <v>19670</v>
      </c>
      <c r="L16" s="236"/>
      <c r="M16" s="236"/>
      <c r="N16" s="236"/>
      <c r="O16" s="236"/>
      <c r="P16" s="236"/>
      <c r="Q16" s="236"/>
      <c r="R16" s="236"/>
      <c r="S16" s="236"/>
      <c r="T16" s="237"/>
    </row>
    <row r="17" spans="1:20" ht="16.5" thickTop="1" thickBot="1">
      <c r="A17" s="91" t="s">
        <v>19546</v>
      </c>
      <c r="B17" s="150" t="s">
        <v>240</v>
      </c>
      <c r="C17" s="151"/>
      <c r="D17" s="151"/>
      <c r="E17" s="151"/>
      <c r="F17" s="151"/>
      <c r="G17" s="151"/>
      <c r="H17" s="151"/>
      <c r="I17" s="152"/>
      <c r="K17" s="220" t="s">
        <v>19672</v>
      </c>
      <c r="L17" s="221"/>
      <c r="M17" s="221"/>
      <c r="N17" s="221"/>
      <c r="O17" s="221"/>
      <c r="P17" s="221"/>
      <c r="Q17" s="221"/>
      <c r="R17" s="221"/>
      <c r="S17" s="221"/>
      <c r="T17" s="222"/>
    </row>
    <row r="18" spans="1:20" ht="15.75" thickBot="1">
      <c r="A18" s="94"/>
      <c r="B18" s="153"/>
      <c r="C18" s="154"/>
      <c r="D18" s="154"/>
      <c r="E18" s="154"/>
      <c r="F18" s="154"/>
      <c r="G18" s="154"/>
      <c r="H18" s="154"/>
      <c r="I18" s="155"/>
    </row>
    <row r="19" spans="1:20" ht="15.75" thickTop="1"/>
    <row r="20" spans="1:20" ht="15.75" thickBot="1"/>
    <row r="21" spans="1:20" ht="16.5" thickTop="1" thickBot="1">
      <c r="B21" s="23" t="s">
        <v>19539</v>
      </c>
      <c r="C21" s="46">
        <f>COUNTA(Strutture_ricettive[Denominazione])</f>
        <v>6258</v>
      </c>
    </row>
    <row r="22" spans="1:20" ht="16.5" thickTop="1" thickBot="1">
      <c r="B22" s="20" t="s">
        <v>19542</v>
      </c>
      <c r="C22" s="32">
        <f>_xlfn.XLOOKUP(B15,Conteggio_categorie[Categoria],Conteggio_categorie[Conteggio])</f>
        <v>814</v>
      </c>
      <c r="D22" s="20" t="s">
        <v>19547</v>
      </c>
      <c r="E22" s="32">
        <f>_xlfn.XLOOKUP(B17,Conteggio_categorie[Categoria],Conteggio_categorie[Conteggio])</f>
        <v>814</v>
      </c>
    </row>
    <row r="23" spans="1:20" ht="16.5" thickTop="1" thickBot="1">
      <c r="B23" s="20" t="s">
        <v>19544</v>
      </c>
      <c r="C23" s="47">
        <f>C22/C21</f>
        <v>0.13007350591243208</v>
      </c>
      <c r="D23" s="20" t="s">
        <v>19543</v>
      </c>
      <c r="E23" s="47">
        <f>E22/C21</f>
        <v>0.13007350591243208</v>
      </c>
      <c r="F23" s="18" t="s">
        <v>19548</v>
      </c>
      <c r="G23" s="45">
        <f>E23*C23</f>
        <v>1.6919116940351503E-2</v>
      </c>
      <c r="K23" s="223" t="s">
        <v>19550</v>
      </c>
      <c r="L23" s="224"/>
      <c r="M23" s="224"/>
      <c r="N23" s="224"/>
      <c r="O23" s="224"/>
      <c r="P23" s="224"/>
      <c r="Q23" s="224"/>
      <c r="R23" s="224"/>
      <c r="S23" s="224"/>
      <c r="T23" s="225"/>
    </row>
    <row r="24" spans="1:20" ht="15.75" thickTop="1">
      <c r="K24" s="238" t="s">
        <v>19551</v>
      </c>
      <c r="L24" s="239"/>
      <c r="M24" s="239"/>
      <c r="N24" s="239"/>
      <c r="O24" s="239"/>
      <c r="P24" s="239"/>
      <c r="Q24" s="239"/>
      <c r="R24" s="239"/>
      <c r="S24" s="239"/>
      <c r="T24" s="240"/>
    </row>
    <row r="25" spans="1:20" ht="15.75" thickBot="1">
      <c r="K25" s="226" t="s">
        <v>19549</v>
      </c>
      <c r="L25" s="227"/>
      <c r="M25" s="227"/>
      <c r="N25" s="227"/>
      <c r="O25" s="227"/>
      <c r="P25" s="227"/>
      <c r="Q25" s="227"/>
      <c r="R25" s="227"/>
      <c r="S25" s="227"/>
      <c r="T25" s="228"/>
    </row>
    <row r="27" spans="1:20" ht="15.75" thickBot="1"/>
    <row r="28" spans="1:20" ht="15.75" thickBot="1">
      <c r="K28" s="241" t="s">
        <v>19552</v>
      </c>
      <c r="L28" s="242"/>
      <c r="M28" s="242"/>
      <c r="N28" s="242"/>
      <c r="O28" s="242"/>
      <c r="P28" s="242"/>
      <c r="Q28" s="242"/>
      <c r="R28" s="243"/>
    </row>
  </sheetData>
  <mergeCells count="8">
    <mergeCell ref="B17:I18"/>
    <mergeCell ref="A15:A16"/>
    <mergeCell ref="A17:A18"/>
    <mergeCell ref="B1:I1"/>
    <mergeCell ref="B3:I4"/>
    <mergeCell ref="B5:I6"/>
    <mergeCell ref="B13:I14"/>
    <mergeCell ref="B15:I1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BD63F4-8B65-4E10-8F47-E7717C570C05}">
          <x14:formula1>
            <xm:f>'Conteggio categorie'!$A$2:$A$16</xm:f>
          </x14:formula1>
          <xm:sqref>B5:I6 B15:I18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0360-8195-4693-9F11-ABC6020AE1FB}">
  <dimension ref="B1:R51"/>
  <sheetViews>
    <sheetView topLeftCell="C4" workbookViewId="0">
      <selection activeCell="H30" sqref="H30"/>
    </sheetView>
  </sheetViews>
  <sheetFormatPr defaultRowHeight="15"/>
  <cols>
    <col min="2" max="2" width="23.85546875" customWidth="1"/>
    <col min="3" max="3" width="19.28515625" customWidth="1"/>
    <col min="4" max="4" width="19.140625" customWidth="1"/>
    <col min="5" max="5" width="16.5703125" customWidth="1"/>
    <col min="6" max="6" width="19.28515625" customWidth="1"/>
    <col min="11" max="11" width="36.7109375" customWidth="1"/>
    <col min="12" max="12" width="39.140625" customWidth="1"/>
  </cols>
  <sheetData>
    <row r="1" spans="2:9" ht="15.75" thickBot="1"/>
    <row r="2" spans="2:9" ht="16.5" thickTop="1" thickBot="1">
      <c r="B2" s="16" t="s">
        <v>19514</v>
      </c>
      <c r="C2" s="20">
        <f>AVERAGE(Prezzi[Prezzo Medio])</f>
        <v>73.5</v>
      </c>
    </row>
    <row r="3" spans="2:9" ht="16.5" thickTop="1" thickBot="1">
      <c r="B3" s="22" t="s">
        <v>19518</v>
      </c>
      <c r="C3" s="50">
        <f>_xlfn.STDEV.P(Prezzi[Prezzo Medio])</f>
        <v>27.460188743196319</v>
      </c>
    </row>
    <row r="4" spans="2:9" ht="16.5" thickTop="1" thickBot="1">
      <c r="B4" s="23" t="s">
        <v>19573</v>
      </c>
      <c r="C4" s="22">
        <f>COUNTA(Prezzi[Prezzo Medio])</f>
        <v>234</v>
      </c>
      <c r="D4" s="53" t="s">
        <v>19582</v>
      </c>
    </row>
    <row r="5" spans="2:9" ht="16.5" thickTop="1" thickBot="1">
      <c r="B5" s="20" t="s">
        <v>19581</v>
      </c>
      <c r="C5" s="20">
        <f>C4*D5</f>
        <v>936</v>
      </c>
      <c r="D5" s="52">
        <v>4</v>
      </c>
    </row>
    <row r="6" spans="2:9" ht="16.5" thickTop="1" thickBot="1">
      <c r="B6" s="99" t="s">
        <v>19555</v>
      </c>
      <c r="C6" s="100"/>
      <c r="D6" s="103"/>
      <c r="E6" s="31"/>
    </row>
    <row r="7" spans="2:9" ht="15.75" thickTop="1"/>
    <row r="8" spans="2:9" ht="15.75" thickBot="1"/>
    <row r="9" spans="2:9" ht="16.5" thickTop="1" thickBot="1">
      <c r="B9" s="20" t="s">
        <v>19556</v>
      </c>
      <c r="C9" s="20" t="s">
        <v>19557</v>
      </c>
      <c r="D9" s="39" t="s">
        <v>19558</v>
      </c>
    </row>
    <row r="10" spans="2:9" ht="16.5" thickTop="1" thickBot="1">
      <c r="B10" s="33">
        <v>1</v>
      </c>
      <c r="C10" s="34">
        <f>$C$2-$C$3*B10</f>
        <v>46.039811256803681</v>
      </c>
      <c r="D10" s="35">
        <f>$C$2+$C$3*B10</f>
        <v>100.96018874319631</v>
      </c>
      <c r="E10" s="9"/>
      <c r="F10" s="167" t="str">
        <f>_xlfn.CONCAT("IL 68% DEI DATI SI TROVA TRA ",TRUNC(C10,2)," E ",TRUNC(D10,2))</f>
        <v>IL 68% DEI DATI SI TROVA TRA 46,03 E 100,96</v>
      </c>
      <c r="G10" s="168"/>
      <c r="H10" s="168"/>
      <c r="I10" s="169"/>
    </row>
    <row r="11" spans="2:9" ht="16.5" thickTop="1" thickBot="1">
      <c r="B11" s="33">
        <v>2</v>
      </c>
      <c r="C11" s="34">
        <f>$C$2-$C$3*B11</f>
        <v>18.579622513607362</v>
      </c>
      <c r="D11" s="35">
        <f t="shared" ref="D11:D12" si="0">$C$2+$C$3*B11</f>
        <v>128.42037748639262</v>
      </c>
      <c r="E11" s="9"/>
      <c r="F11" s="167" t="str">
        <f>_xlfn.CONCAT("IL 95% DEI DATI SI TROVA TRA ",TRUNC(C11,2)," E ",TRUNC(D11,2))</f>
        <v>IL 95% DEI DATI SI TROVA TRA 18,57 E 128,42</v>
      </c>
      <c r="G11" s="168"/>
      <c r="H11" s="168"/>
      <c r="I11" s="169"/>
    </row>
    <row r="12" spans="2:9" ht="16.5" thickTop="1" thickBot="1">
      <c r="B12" s="36">
        <v>3</v>
      </c>
      <c r="C12" s="37">
        <f t="shared" ref="C11:C12" si="1">$C$2-$C$3*B12</f>
        <v>-8.8805662295889647</v>
      </c>
      <c r="D12" s="38">
        <f t="shared" si="0"/>
        <v>155.88056622958896</v>
      </c>
      <c r="E12" s="9"/>
      <c r="F12" s="167" t="str">
        <f>_xlfn.CONCAT("IL 99,7% DEI DATI SI TROVA TRA ",TRUNC(C12,2)," E ",TRUNC(D12,2))</f>
        <v>IL 99,7% DEI DATI SI TROVA TRA -8,88 E 155,88</v>
      </c>
      <c r="G12" s="168"/>
      <c r="H12" s="168"/>
      <c r="I12" s="169"/>
    </row>
    <row r="13" spans="2:9" ht="15.75" thickTop="1"/>
    <row r="16" spans="2:9" ht="15.75" thickBot="1"/>
    <row r="17" spans="2:18" ht="17.25" thickTop="1" thickBot="1">
      <c r="B17" s="101" t="s">
        <v>19559</v>
      </c>
      <c r="C17" s="102"/>
      <c r="D17" s="103"/>
      <c r="F17" s="244" t="s">
        <v>19565</v>
      </c>
      <c r="G17" s="245"/>
      <c r="H17" s="245"/>
      <c r="I17" s="245"/>
      <c r="J17" s="245"/>
      <c r="K17" s="245"/>
      <c r="L17" s="246"/>
      <c r="M17" s="128"/>
      <c r="N17" s="128"/>
      <c r="O17" s="128"/>
      <c r="P17" s="128"/>
      <c r="Q17" s="128"/>
      <c r="R17" s="128"/>
    </row>
    <row r="18" spans="2:18" ht="17.25" thickTop="1" thickBot="1">
      <c r="F18" s="247" t="s">
        <v>19566</v>
      </c>
      <c r="G18" s="248"/>
      <c r="H18" s="248"/>
      <c r="I18" s="248"/>
      <c r="J18" s="248"/>
      <c r="K18" s="248"/>
      <c r="L18" s="249"/>
      <c r="M18" s="128"/>
      <c r="N18" s="128"/>
      <c r="O18" s="128"/>
      <c r="P18" s="128"/>
      <c r="Q18" s="128"/>
      <c r="R18" s="128"/>
    </row>
    <row r="19" spans="2:18" ht="15.75" thickBot="1"/>
    <row r="20" spans="2:18" ht="16.5" thickTop="1" thickBot="1">
      <c r="B20" s="101" t="s">
        <v>19561</v>
      </c>
      <c r="C20" s="102"/>
      <c r="D20" s="103"/>
    </row>
    <row r="21" spans="2:18" ht="16.5" thickTop="1" thickBot="1">
      <c r="B21" s="156" t="s">
        <v>2</v>
      </c>
      <c r="C21" s="157"/>
      <c r="D21" s="158"/>
    </row>
    <row r="22" spans="2:18" ht="16.5" thickTop="1" thickBot="1"/>
    <row r="23" spans="2:18" ht="16.5" thickTop="1" thickBot="1">
      <c r="B23" s="16" t="s">
        <v>19562</v>
      </c>
      <c r="C23" s="20"/>
      <c r="D23" s="166">
        <f>_xlfn.XLOOKUP(B21,Prezzi[Città],Prezzi[Prezzo Medio])</f>
        <v>31</v>
      </c>
      <c r="F23" s="217" t="s">
        <v>19673</v>
      </c>
      <c r="G23" s="218"/>
      <c r="H23" s="218"/>
      <c r="I23" s="218"/>
      <c r="J23" s="218"/>
      <c r="K23" s="218"/>
      <c r="L23" s="219"/>
    </row>
    <row r="24" spans="2:18" ht="16.5" thickTop="1" thickBot="1">
      <c r="F24" s="220" t="s">
        <v>19674</v>
      </c>
      <c r="G24" s="221"/>
      <c r="H24" s="221"/>
      <c r="I24" s="221"/>
      <c r="J24" s="221"/>
      <c r="K24" s="221"/>
      <c r="L24" s="222"/>
    </row>
    <row r="25" spans="2:18" ht="16.5" thickTop="1" thickBot="1">
      <c r="B25" s="13" t="s">
        <v>19563</v>
      </c>
      <c r="C25" s="13">
        <f>($D$23-AVERAGE(Prezzi[Prezzo Medio]))/_xlfn.STDEV.P(Prezzi[Prezzo Medio])</f>
        <v>-1.547695115916857</v>
      </c>
      <c r="D25" s="10" t="str">
        <f>IF(C25&gt;0,"SOPRA LA MEDIA","SOTTO LA MEDIA")</f>
        <v>SOTTO LA MEDIA</v>
      </c>
    </row>
    <row r="26" spans="2:18" ht="16.5" thickTop="1" thickBot="1">
      <c r="B26" s="14" t="s">
        <v>19541</v>
      </c>
      <c r="C26" s="48">
        <f>_xlfn.NORM.S.DIST(C25,TRUE)</f>
        <v>6.0847859279643916E-2</v>
      </c>
      <c r="D26" s="12"/>
    </row>
    <row r="27" spans="2:18" ht="16.5" thickTop="1" thickBot="1">
      <c r="B27" s="15" t="s">
        <v>19564</v>
      </c>
      <c r="C27" s="49">
        <f>1-C26</f>
        <v>0.93915214072035613</v>
      </c>
      <c r="D27" s="11"/>
    </row>
    <row r="28" spans="2:18" ht="16.5" thickTop="1" thickBot="1"/>
    <row r="29" spans="2:18" ht="16.5" thickTop="1" thickBot="1">
      <c r="B29" s="170" t="str">
        <f>_xlfn.CONCAT("IL PREZZO ",D23," È ",TRUNC(C25,2)," DEVIAZIONI STANDARD ",D25)</f>
        <v>IL PREZZO 31 È -1,54 DEVIAZIONI STANDARD SOTTO LA MEDIA</v>
      </c>
      <c r="C29" s="171"/>
      <c r="D29" s="171"/>
      <c r="E29" s="172"/>
    </row>
    <row r="30" spans="2:18" ht="16.5" thickTop="1" thickBot="1">
      <c r="B30" s="62" t="str">
        <f>_xlfn.CONCAT("CIRCA IL ",TRUNC(C26*100,2),"% DELLE OSSERVAZIONI HA UN PREZZO UGUALE O INFERIORE A ",D23)</f>
        <v>CIRCA IL 6,08% DELLE OSSERVAZIONI HA UN PREZZO UGUALE O INFERIORE A 31</v>
      </c>
      <c r="C30" s="63"/>
      <c r="D30" s="63"/>
      <c r="E30" s="64"/>
    </row>
    <row r="31" spans="2:18" ht="16.5" thickTop="1" thickBot="1">
      <c r="B31" s="123" t="str">
        <f>_xlfn.CONCAT("CIRCA IL ",TRUNC(C27*100,2),"% DELLE OSSERVAZIONI HA UN PREZZO SUPERIORE A ",D23)</f>
        <v>CIRCA IL 93,91% DELLE OSSERVAZIONI HA UN PREZZO SUPERIORE A 31</v>
      </c>
      <c r="C31" s="124"/>
      <c r="D31" s="124"/>
      <c r="E31" s="125"/>
    </row>
    <row r="32" spans="2:18" ht="15.75" thickTop="1"/>
    <row r="34" spans="2:12" ht="15.75" thickBot="1"/>
    <row r="35" spans="2:12" ht="16.5" thickTop="1" thickBot="1">
      <c r="B35" s="101" t="s">
        <v>19580</v>
      </c>
      <c r="C35" s="102"/>
      <c r="D35" s="103"/>
    </row>
    <row r="36" spans="2:12" ht="16.5" thickTop="1" thickBot="1">
      <c r="B36" s="31"/>
      <c r="C36" s="31"/>
      <c r="D36" s="31"/>
    </row>
    <row r="37" spans="2:12" ht="15.75" thickBot="1">
      <c r="B37" t="s">
        <v>19578</v>
      </c>
      <c r="C37" t="s">
        <v>19576</v>
      </c>
      <c r="D37" t="s">
        <v>19574</v>
      </c>
      <c r="E37" t="s">
        <v>19575</v>
      </c>
      <c r="F37" t="s">
        <v>19558</v>
      </c>
      <c r="H37" s="163" t="s">
        <v>19579</v>
      </c>
      <c r="I37" s="164"/>
      <c r="J37" s="164"/>
      <c r="K37" s="164"/>
      <c r="L37" s="165"/>
    </row>
    <row r="38" spans="2:12" ht="15.75" thickBot="1">
      <c r="B38" s="51">
        <v>0.9</v>
      </c>
      <c r="C38">
        <f>1-B38</f>
        <v>9.9999999999999978E-2</v>
      </c>
      <c r="D38">
        <f>_xlfn.CONFIDENCE.NORM(C38,$C$3,$C$4)</f>
        <v>2.9527239456272727</v>
      </c>
      <c r="E38">
        <f>$C2-D38</f>
        <v>70.54727605437273</v>
      </c>
      <c r="F38">
        <f>$C$2+D38</f>
        <v>76.45272394562727</v>
      </c>
      <c r="H38" s="160" t="s">
        <v>19577</v>
      </c>
      <c r="I38" s="161"/>
      <c r="J38" s="161"/>
      <c r="K38" s="162"/>
      <c r="L38" s="159">
        <v>0.9</v>
      </c>
    </row>
    <row r="39" spans="2:12">
      <c r="B39" s="51">
        <v>0.95</v>
      </c>
      <c r="C39">
        <f>1-B39</f>
        <v>5.0000000000000044E-2</v>
      </c>
      <c r="D39">
        <f>_xlfn.CONFIDENCE.NORM(C39,$C$3,$C$4)</f>
        <v>3.5183875907817783</v>
      </c>
      <c r="E39">
        <f>$C2-D39</f>
        <v>69.981612409218215</v>
      </c>
      <c r="F39">
        <f>$C$2+D39</f>
        <v>77.018387590781785</v>
      </c>
      <c r="H39" t="str" cm="1">
        <f t="array" ref="H39">_xlfn.CONCAT("Con un livello di confidenza del ",L38*100,"%, il prezzo medio della popolazione è stimato tra ",_xlfn.XLOOKUP(L38,CONFIDENZA[LIVELLO CONFIDENZA],TRUNC(CONFIDENZA[LIMITE INF],2))," e ",_xlfn.XLOOKUP(L38,CONFIDENZA[LIVELLO CONFIDENZA],TRUNC(CONFIDENZA[LIMITE SUPERIORE],2)))</f>
        <v>Con un livello di confidenza del 90%, il prezzo medio della popolazione è stimato tra 70,54 e 76,45</v>
      </c>
    </row>
    <row r="40" spans="2:12">
      <c r="B40" s="51">
        <v>0.99</v>
      </c>
      <c r="C40">
        <f>1-B40</f>
        <v>1.0000000000000009E-2</v>
      </c>
      <c r="D40">
        <f>_xlfn.CONFIDENCE.NORM(C40,$C$3,$C$4)</f>
        <v>4.6239450974938636</v>
      </c>
      <c r="E40">
        <f>$C2-D40</f>
        <v>68.876054902506141</v>
      </c>
      <c r="F40">
        <f>$C$2+D40</f>
        <v>78.123945097493859</v>
      </c>
    </row>
    <row r="41" spans="2:12" ht="15.75" thickBot="1"/>
    <row r="42" spans="2:12" ht="15.75" thickBot="1">
      <c r="B42" s="108" t="s">
        <v>19583</v>
      </c>
      <c r="C42" s="109"/>
      <c r="D42" s="110"/>
    </row>
    <row r="43" spans="2:12" ht="15.75" thickBot="1">
      <c r="B43" s="31"/>
      <c r="C43" s="31"/>
      <c r="D43" s="31"/>
    </row>
    <row r="44" spans="2:12" ht="15.75" thickBot="1">
      <c r="B44" t="s">
        <v>19578</v>
      </c>
      <c r="C44" t="s">
        <v>19576</v>
      </c>
      <c r="D44" t="s">
        <v>19574</v>
      </c>
      <c r="E44" t="s">
        <v>19575</v>
      </c>
      <c r="F44" t="s">
        <v>19558</v>
      </c>
      <c r="H44" s="163" t="s">
        <v>19579</v>
      </c>
      <c r="I44" s="164"/>
      <c r="J44" s="164"/>
      <c r="K44" s="164"/>
      <c r="L44" s="165"/>
    </row>
    <row r="45" spans="2:12" ht="15.75" thickBot="1">
      <c r="B45" s="51">
        <v>0.9</v>
      </c>
      <c r="C45">
        <f>1-B45</f>
        <v>9.9999999999999978E-2</v>
      </c>
      <c r="D45">
        <f t="shared" ref="D45:D47" si="2">_xlfn.CONFIDENCE.NORM(C45,$C$3,$C$5)</f>
        <v>1.4763619728136363</v>
      </c>
      <c r="E45">
        <f t="shared" ref="E45:E47" si="3">$C$2-D45</f>
        <v>72.023638027186365</v>
      </c>
      <c r="F45">
        <f>$C$2+D45</f>
        <v>74.976361972813635</v>
      </c>
      <c r="H45" s="160" t="s">
        <v>19577</v>
      </c>
      <c r="I45" s="161"/>
      <c r="J45" s="161"/>
      <c r="K45" s="162"/>
      <c r="L45" s="159">
        <v>0.9</v>
      </c>
    </row>
    <row r="46" spans="2:12">
      <c r="B46" s="51">
        <v>0.95</v>
      </c>
      <c r="C46">
        <f>1-B46</f>
        <v>5.0000000000000044E-2</v>
      </c>
      <c r="D46">
        <f t="shared" si="2"/>
        <v>1.7591937953908892</v>
      </c>
      <c r="E46">
        <f t="shared" si="3"/>
        <v>71.740806204609115</v>
      </c>
      <c r="F46">
        <f>$C$2+D46</f>
        <v>75.259193795390885</v>
      </c>
      <c r="H46" t="str" cm="1">
        <f t="array" ref="H46">_xlfn.CONCAT("Con un livello di confidenza del ",L45*100,"%, il prezzo medio della popolazione è stimato tra ",_xlfn.XLOOKUP(L45,CONFIDENZA9[LIVELLO CONFIDENZA],TRUNC(CONFIDENZA9[LIMITE INF],2))," e ",_xlfn.XLOOKUP(L45,CONFIDENZA9[LIVELLO CONFIDENZA],TRUNC(CONFIDENZA9[LIMITE SUPERIORE],2)))</f>
        <v>Con un livello di confidenza del 90%, il prezzo medio della popolazione è stimato tra 72,02 e 74,97</v>
      </c>
    </row>
    <row r="47" spans="2:12">
      <c r="B47" s="51">
        <v>0.99</v>
      </c>
      <c r="C47">
        <f>1-B47</f>
        <v>1.0000000000000009E-2</v>
      </c>
      <c r="D47">
        <f t="shared" si="2"/>
        <v>2.3119725487469318</v>
      </c>
      <c r="E47">
        <f t="shared" si="3"/>
        <v>71.188027451253063</v>
      </c>
      <c r="F47">
        <f>$C$2+D47</f>
        <v>75.811972548746937</v>
      </c>
    </row>
    <row r="48" spans="2:12">
      <c r="H48" s="8" t="s">
        <v>19584</v>
      </c>
      <c r="I48" s="8"/>
      <c r="J48" s="8"/>
      <c r="K48" s="8"/>
      <c r="L48" s="8"/>
    </row>
    <row r="49" spans="8:12">
      <c r="H49" s="8" t="s">
        <v>19585</v>
      </c>
      <c r="I49" s="8"/>
      <c r="J49" s="8"/>
      <c r="K49" s="8"/>
      <c r="L49" s="8"/>
    </row>
    <row r="50" spans="8:12">
      <c r="H50" s="8" t="s">
        <v>19586</v>
      </c>
      <c r="I50" s="8"/>
      <c r="J50" s="8"/>
      <c r="K50" s="8"/>
      <c r="L50" s="8"/>
    </row>
    <row r="51" spans="8:12">
      <c r="H51" s="8" t="s">
        <v>19587</v>
      </c>
      <c r="I51" s="8"/>
      <c r="J51" s="8"/>
      <c r="K51" s="8"/>
      <c r="L51" s="8"/>
    </row>
  </sheetData>
  <mergeCells count="13">
    <mergeCell ref="B35:D35"/>
    <mergeCell ref="H38:K38"/>
    <mergeCell ref="H37:L37"/>
    <mergeCell ref="H44:L44"/>
    <mergeCell ref="H45:K45"/>
    <mergeCell ref="B42:D42"/>
    <mergeCell ref="B31:E31"/>
    <mergeCell ref="B6:D6"/>
    <mergeCell ref="B17:D17"/>
    <mergeCell ref="B21:D21"/>
    <mergeCell ref="B20:D20"/>
    <mergeCell ref="B29:E29"/>
    <mergeCell ref="B30:E30"/>
  </mergeCells>
  <dataValidations count="1">
    <dataValidation type="list" allowBlank="1" showInputMessage="1" showErrorMessage="1" sqref="L38 L45" xr:uid="{E9840291-AA52-4399-BE04-F41457FD4B07}">
      <formula1>$B$38:$B$40</formula1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D4CA88-7EA7-48F4-A1BF-597F914B4A4D}">
          <x14:formula1>
            <xm:f>'Conteggio cittá'!$A$2:$A$235</xm:f>
          </x14:formula1>
          <xm:sqref>B21:D21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A697-A92E-4BD8-91B2-4CB25466FD88}">
  <dimension ref="A1:P196"/>
  <sheetViews>
    <sheetView workbookViewId="0">
      <selection activeCell="J11" sqref="J11:O17"/>
    </sheetView>
  </sheetViews>
  <sheetFormatPr defaultRowHeight="15"/>
  <cols>
    <col min="2" max="3" width="18.85546875" bestFit="1" customWidth="1"/>
    <col min="7" max="7" width="20" customWidth="1"/>
    <col min="8" max="8" width="20" style="192" customWidth="1"/>
    <col min="15" max="15" width="22.140625" customWidth="1"/>
    <col min="16" max="16" width="18.140625" style="192" customWidth="1"/>
  </cols>
  <sheetData>
    <row r="1" spans="1:16" ht="15" customHeight="1">
      <c r="A1" s="173"/>
      <c r="B1" s="177" t="s">
        <v>19588</v>
      </c>
      <c r="C1" s="178"/>
      <c r="D1" s="178"/>
      <c r="E1" s="178"/>
      <c r="F1" s="178"/>
      <c r="G1" s="179"/>
    </row>
    <row r="2" spans="1:16" ht="15.75" customHeight="1" thickBot="1">
      <c r="A2" s="173"/>
      <c r="B2" s="180"/>
      <c r="C2" s="174"/>
      <c r="D2" s="174"/>
      <c r="E2" s="174"/>
      <c r="F2" s="174"/>
      <c r="G2" s="181"/>
      <c r="H2" s="192" t="s">
        <v>19600</v>
      </c>
      <c r="P2" s="192" t="s">
        <v>19600</v>
      </c>
    </row>
    <row r="3" spans="1:16">
      <c r="B3" s="182" t="s">
        <v>19589</v>
      </c>
      <c r="C3" s="175"/>
      <c r="D3" s="175"/>
      <c r="E3" s="175"/>
      <c r="F3" s="175"/>
      <c r="G3" s="183" t="s">
        <v>240</v>
      </c>
      <c r="H3" s="192" cm="1">
        <f t="array" ref="H3:H156">_xlfn._xlws.FILTER(Categorie_e_prezzo[Prezzi.Prezzo Medio],Categorie_e_prezzo[Categoria]=G3)</f>
        <v>30</v>
      </c>
      <c r="J3" s="189" t="s">
        <v>19589</v>
      </c>
      <c r="K3" s="190"/>
      <c r="L3" s="190"/>
      <c r="M3" s="190"/>
      <c r="N3" s="190"/>
      <c r="O3" s="191" t="s">
        <v>242</v>
      </c>
      <c r="P3" s="192" cm="1">
        <f t="array" ref="P3:P196">_xlfn._xlws.FILTER(Categorie_e_prezzo[Prezzi.Prezzo Medio],Categorie_e_prezzo[Categoria]=O3)</f>
        <v>31</v>
      </c>
    </row>
    <row r="4" spans="1:16">
      <c r="B4" s="184" t="s">
        <v>19590</v>
      </c>
      <c r="C4" s="176"/>
      <c r="D4" s="176"/>
      <c r="E4" s="176"/>
      <c r="F4" s="176"/>
      <c r="G4" s="185">
        <f>SUMIF(Categorie_e_prezzo[Categoria],G3,Categorie_e_prezzo[Prezzi.Prezzo Medio])</f>
        <v>11189</v>
      </c>
      <c r="H4" s="192">
        <v>32</v>
      </c>
      <c r="J4" s="184" t="s">
        <v>19590</v>
      </c>
      <c r="K4" s="176"/>
      <c r="L4" s="176"/>
      <c r="M4" s="176"/>
      <c r="N4" s="176"/>
      <c r="O4" s="185">
        <f>SUMIF(Categorie_e_prezzo[Categoria],O3,Categorie_e_prezzo[Prezzi.Prezzo Medio])</f>
        <v>14170</v>
      </c>
      <c r="P4" s="192">
        <v>36</v>
      </c>
    </row>
    <row r="5" spans="1:16">
      <c r="B5" s="184" t="s">
        <v>19601</v>
      </c>
      <c r="C5" s="176"/>
      <c r="D5" s="176"/>
      <c r="E5" s="176"/>
      <c r="F5" s="176"/>
      <c r="G5" s="185">
        <f>COUNTIF(Categorie_e_prezzo[Categoria],G3)</f>
        <v>154</v>
      </c>
      <c r="H5" s="192">
        <v>33</v>
      </c>
      <c r="J5" s="184" t="s">
        <v>19601</v>
      </c>
      <c r="K5" s="176"/>
      <c r="L5" s="176"/>
      <c r="M5" s="176"/>
      <c r="N5" s="176"/>
      <c r="O5" s="185">
        <f>COUNTIF(Categorie_e_prezzo[Categoria],O3)</f>
        <v>194</v>
      </c>
      <c r="P5" s="192">
        <v>36</v>
      </c>
    </row>
    <row r="6" spans="1:16">
      <c r="B6" s="184" t="s">
        <v>19591</v>
      </c>
      <c r="C6" s="176"/>
      <c r="D6" s="176"/>
      <c r="E6" s="176"/>
      <c r="F6" s="176"/>
      <c r="G6" s="185">
        <f>G4/G5</f>
        <v>72.65584415584415</v>
      </c>
      <c r="H6" s="192">
        <v>33</v>
      </c>
      <c r="J6" s="184" t="s">
        <v>19591</v>
      </c>
      <c r="K6" s="176"/>
      <c r="L6" s="176"/>
      <c r="M6" s="176"/>
      <c r="N6" s="176"/>
      <c r="O6" s="185">
        <f>O4/O5</f>
        <v>73.041237113402062</v>
      </c>
      <c r="P6" s="192">
        <v>37</v>
      </c>
    </row>
    <row r="7" spans="1:16" ht="15.75" thickBot="1">
      <c r="B7" s="186" t="s">
        <v>19517</v>
      </c>
      <c r="C7" s="187"/>
      <c r="D7" s="187"/>
      <c r="E7" s="187"/>
      <c r="F7" s="187"/>
      <c r="G7" s="188">
        <f>_xlfn.VAR.S(_xlfn.ANCHORARRAY(H3))</f>
        <v>763.59973686444266</v>
      </c>
      <c r="H7" s="192">
        <v>35</v>
      </c>
      <c r="J7" s="186" t="s">
        <v>19517</v>
      </c>
      <c r="K7" s="187"/>
      <c r="L7" s="187"/>
      <c r="M7" s="187"/>
      <c r="N7" s="187"/>
      <c r="O7" s="188">
        <f>_xlfn.VAR.S(_xlfn.ANCHORARRAY(P3))</f>
        <v>753.78067410928907</v>
      </c>
      <c r="P7" s="192">
        <v>39</v>
      </c>
    </row>
    <row r="8" spans="1:16" ht="15.75" thickBot="1">
      <c r="H8" s="192">
        <v>36</v>
      </c>
      <c r="P8" s="192">
        <v>39</v>
      </c>
    </row>
    <row r="9" spans="1:16" ht="15.75" thickBot="1">
      <c r="B9" s="250" t="s">
        <v>19678</v>
      </c>
      <c r="C9" s="251"/>
      <c r="D9" s="251"/>
      <c r="E9" s="251"/>
      <c r="F9" s="251"/>
      <c r="G9" s="252"/>
      <c r="H9" s="192">
        <v>38</v>
      </c>
      <c r="P9" s="192">
        <v>43</v>
      </c>
    </row>
    <row r="10" spans="1:16" ht="15.75" thickBot="1">
      <c r="H10" s="192">
        <v>38</v>
      </c>
      <c r="P10" s="192">
        <v>43</v>
      </c>
    </row>
    <row r="11" spans="1:16">
      <c r="B11" t="s">
        <v>19602</v>
      </c>
      <c r="C11" s="54">
        <f>TTEST(_xlfn.ANCHORARRAY(H3),_xlfn.ANCHORARRAY(P3),2,3)</f>
        <v>0.89696799424438833</v>
      </c>
      <c r="H11" s="192">
        <v>39</v>
      </c>
      <c r="J11" s="223" t="s">
        <v>19592</v>
      </c>
      <c r="K11" s="224"/>
      <c r="L11" s="224"/>
      <c r="M11" s="224"/>
      <c r="N11" s="224"/>
      <c r="O11" s="225"/>
      <c r="P11" s="192">
        <v>48</v>
      </c>
    </row>
    <row r="12" spans="1:16">
      <c r="B12" t="s">
        <v>19603</v>
      </c>
      <c r="C12">
        <v>0.5</v>
      </c>
      <c r="H12" s="192">
        <v>43</v>
      </c>
      <c r="J12" s="238" t="s">
        <v>19593</v>
      </c>
      <c r="K12" s="239"/>
      <c r="L12" s="239"/>
      <c r="M12" s="239"/>
      <c r="N12" s="239"/>
      <c r="O12" s="240"/>
      <c r="P12" s="192">
        <v>49</v>
      </c>
    </row>
    <row r="13" spans="1:16">
      <c r="B13" t="s">
        <v>19604</v>
      </c>
      <c r="C13" t="s">
        <v>19605</v>
      </c>
      <c r="H13" s="192">
        <v>44</v>
      </c>
      <c r="J13" s="238" t="s">
        <v>19594</v>
      </c>
      <c r="K13" s="239"/>
      <c r="L13" s="239"/>
      <c r="M13" s="239"/>
      <c r="N13" s="239"/>
      <c r="O13" s="240"/>
      <c r="P13" s="192">
        <v>49</v>
      </c>
    </row>
    <row r="14" spans="1:16">
      <c r="C14" t="s">
        <v>19606</v>
      </c>
      <c r="H14" s="192">
        <v>46</v>
      </c>
      <c r="J14" s="238"/>
      <c r="K14" s="239"/>
      <c r="L14" s="239"/>
      <c r="M14" s="239"/>
      <c r="N14" s="239"/>
      <c r="O14" s="240"/>
      <c r="P14" s="192">
        <v>50</v>
      </c>
    </row>
    <row r="15" spans="1:16">
      <c r="B15" t="s">
        <v>19607</v>
      </c>
      <c r="C15" t="str">
        <f>IF(C11&lt;=C12,"Rifiuta Hₒ","Non rifiutare Hₒ")</f>
        <v>Non rifiutare Hₒ</v>
      </c>
      <c r="H15" s="192">
        <v>47</v>
      </c>
      <c r="J15" s="238" t="s">
        <v>19611</v>
      </c>
      <c r="K15" s="239"/>
      <c r="L15" s="239"/>
      <c r="M15" s="239"/>
      <c r="N15" s="239"/>
      <c r="O15" s="240"/>
      <c r="P15" s="192">
        <v>51</v>
      </c>
    </row>
    <row r="16" spans="1:16">
      <c r="H16" s="192">
        <v>49</v>
      </c>
      <c r="J16" s="238" t="s">
        <v>19595</v>
      </c>
      <c r="K16" s="239"/>
      <c r="L16" s="239"/>
      <c r="M16" s="239"/>
      <c r="N16" s="239"/>
      <c r="O16" s="240"/>
      <c r="P16" s="192">
        <v>52</v>
      </c>
    </row>
    <row r="17" spans="2:16" ht="15.75" thickBot="1">
      <c r="H17" s="192">
        <v>49</v>
      </c>
      <c r="J17" s="226" t="s">
        <v>19596</v>
      </c>
      <c r="K17" s="227"/>
      <c r="L17" s="227"/>
      <c r="M17" s="227"/>
      <c r="N17" s="227"/>
      <c r="O17" s="228"/>
      <c r="P17" s="192">
        <v>52</v>
      </c>
    </row>
    <row r="18" spans="2:16">
      <c r="B18" s="223" t="s">
        <v>19609</v>
      </c>
      <c r="C18" s="224"/>
      <c r="D18" s="224"/>
      <c r="E18" s="224"/>
      <c r="F18" s="224"/>
      <c r="G18" s="225"/>
      <c r="H18" s="192">
        <v>50</v>
      </c>
      <c r="P18" s="192">
        <v>55</v>
      </c>
    </row>
    <row r="19" spans="2:16">
      <c r="B19" s="238" t="s">
        <v>19610</v>
      </c>
      <c r="C19" s="239"/>
      <c r="D19" s="239"/>
      <c r="E19" s="239"/>
      <c r="F19" s="239"/>
      <c r="G19" s="240"/>
      <c r="H19" s="192">
        <v>52</v>
      </c>
      <c r="P19" s="192">
        <v>56</v>
      </c>
    </row>
    <row r="20" spans="2:16" ht="15.75" thickBot="1">
      <c r="B20" s="226" t="s">
        <v>19608</v>
      </c>
      <c r="C20" s="227"/>
      <c r="D20" s="227"/>
      <c r="E20" s="227"/>
      <c r="F20" s="227"/>
      <c r="G20" s="228"/>
      <c r="H20" s="192">
        <v>52</v>
      </c>
      <c r="P20" s="192">
        <v>56</v>
      </c>
    </row>
    <row r="21" spans="2:16">
      <c r="H21" s="192">
        <v>56</v>
      </c>
      <c r="P21" s="192">
        <v>59</v>
      </c>
    </row>
    <row r="22" spans="2:16">
      <c r="H22" s="192">
        <v>56</v>
      </c>
      <c r="P22" s="192">
        <v>61</v>
      </c>
    </row>
    <row r="23" spans="2:16">
      <c r="H23" s="192">
        <v>58</v>
      </c>
      <c r="P23" s="192">
        <v>65</v>
      </c>
    </row>
    <row r="24" spans="2:16">
      <c r="H24" s="192">
        <v>59</v>
      </c>
      <c r="P24" s="192">
        <v>68</v>
      </c>
    </row>
    <row r="25" spans="2:16">
      <c r="H25" s="192">
        <v>60</v>
      </c>
      <c r="P25" s="192">
        <v>69</v>
      </c>
    </row>
    <row r="26" spans="2:16">
      <c r="H26" s="192">
        <v>61</v>
      </c>
      <c r="P26" s="192">
        <v>69</v>
      </c>
    </row>
    <row r="27" spans="2:16">
      <c r="H27" s="192">
        <v>65</v>
      </c>
      <c r="P27" s="192">
        <v>70</v>
      </c>
    </row>
    <row r="28" spans="2:16">
      <c r="H28" s="192">
        <v>65</v>
      </c>
      <c r="P28" s="192">
        <v>72</v>
      </c>
    </row>
    <row r="29" spans="2:16">
      <c r="H29" s="192">
        <v>71</v>
      </c>
      <c r="P29" s="192">
        <v>74</v>
      </c>
    </row>
    <row r="30" spans="2:16">
      <c r="H30" s="192">
        <v>73</v>
      </c>
      <c r="P30" s="192">
        <v>75</v>
      </c>
    </row>
    <row r="31" spans="2:16">
      <c r="H31" s="192">
        <v>75</v>
      </c>
      <c r="P31" s="192">
        <v>75</v>
      </c>
    </row>
    <row r="32" spans="2:16">
      <c r="H32" s="192">
        <v>78</v>
      </c>
      <c r="P32" s="192">
        <v>78</v>
      </c>
    </row>
    <row r="33" spans="8:16">
      <c r="H33" s="192">
        <v>78</v>
      </c>
      <c r="P33" s="192">
        <v>78</v>
      </c>
    </row>
    <row r="34" spans="8:16">
      <c r="H34" s="192">
        <v>80</v>
      </c>
      <c r="P34" s="192">
        <v>81</v>
      </c>
    </row>
    <row r="35" spans="8:16">
      <c r="H35" s="192">
        <v>81</v>
      </c>
      <c r="P35" s="192">
        <v>83</v>
      </c>
    </row>
    <row r="36" spans="8:16">
      <c r="H36" s="192">
        <v>83</v>
      </c>
      <c r="P36" s="192">
        <v>85</v>
      </c>
    </row>
    <row r="37" spans="8:16">
      <c r="H37" s="192">
        <v>84</v>
      </c>
      <c r="P37" s="192">
        <v>87</v>
      </c>
    </row>
    <row r="38" spans="8:16">
      <c r="H38" s="192">
        <v>85</v>
      </c>
      <c r="P38" s="192">
        <v>93</v>
      </c>
    </row>
    <row r="39" spans="8:16">
      <c r="H39" s="192">
        <v>87</v>
      </c>
      <c r="P39" s="192">
        <v>95</v>
      </c>
    </row>
    <row r="40" spans="8:16">
      <c r="H40" s="192">
        <v>87</v>
      </c>
      <c r="P40" s="192">
        <v>97</v>
      </c>
    </row>
    <row r="41" spans="8:16">
      <c r="H41" s="192">
        <v>88</v>
      </c>
      <c r="P41" s="192">
        <v>103</v>
      </c>
    </row>
    <row r="42" spans="8:16">
      <c r="H42" s="192">
        <v>90</v>
      </c>
      <c r="P42" s="192">
        <v>103</v>
      </c>
    </row>
    <row r="43" spans="8:16">
      <c r="H43" s="192">
        <v>94</v>
      </c>
      <c r="P43" s="192">
        <v>104</v>
      </c>
    </row>
    <row r="44" spans="8:16">
      <c r="H44" s="192">
        <v>95</v>
      </c>
      <c r="P44" s="192">
        <v>104</v>
      </c>
    </row>
    <row r="45" spans="8:16">
      <c r="H45" s="192">
        <v>97</v>
      </c>
      <c r="P45" s="192">
        <v>106</v>
      </c>
    </row>
    <row r="46" spans="8:16">
      <c r="H46" s="192">
        <v>100</v>
      </c>
      <c r="P46" s="192">
        <v>109</v>
      </c>
    </row>
    <row r="47" spans="8:16">
      <c r="H47" s="192">
        <v>101</v>
      </c>
      <c r="P47" s="192">
        <v>110</v>
      </c>
    </row>
    <row r="48" spans="8:16">
      <c r="H48" s="192">
        <v>101</v>
      </c>
      <c r="P48" s="192">
        <v>115</v>
      </c>
    </row>
    <row r="49" spans="8:16">
      <c r="H49" s="192">
        <v>103</v>
      </c>
      <c r="P49" s="192">
        <v>118</v>
      </c>
    </row>
    <row r="50" spans="8:16">
      <c r="H50" s="192">
        <v>103</v>
      </c>
      <c r="P50" s="192">
        <v>120</v>
      </c>
    </row>
    <row r="51" spans="8:16">
      <c r="H51" s="192">
        <v>108</v>
      </c>
      <c r="P51" s="192">
        <v>30</v>
      </c>
    </row>
    <row r="52" spans="8:16">
      <c r="H52" s="192">
        <v>109</v>
      </c>
      <c r="P52" s="192">
        <v>33</v>
      </c>
    </row>
    <row r="53" spans="8:16">
      <c r="H53" s="192">
        <v>109</v>
      </c>
      <c r="P53" s="192">
        <v>38</v>
      </c>
    </row>
    <row r="54" spans="8:16">
      <c r="H54" s="192">
        <v>110</v>
      </c>
      <c r="P54" s="192">
        <v>39</v>
      </c>
    </row>
    <row r="55" spans="8:16">
      <c r="H55" s="192">
        <v>112</v>
      </c>
      <c r="P55" s="192">
        <v>39</v>
      </c>
    </row>
    <row r="56" spans="8:16">
      <c r="H56" s="192">
        <v>114</v>
      </c>
      <c r="P56" s="192">
        <v>49</v>
      </c>
    </row>
    <row r="57" spans="8:16">
      <c r="H57" s="192">
        <v>115</v>
      </c>
      <c r="P57" s="192">
        <v>50</v>
      </c>
    </row>
    <row r="58" spans="8:16">
      <c r="H58" s="192">
        <v>115</v>
      </c>
      <c r="P58" s="192">
        <v>56</v>
      </c>
    </row>
    <row r="59" spans="8:16">
      <c r="H59" s="192">
        <v>116</v>
      </c>
      <c r="P59" s="192">
        <v>57</v>
      </c>
    </row>
    <row r="60" spans="8:16">
      <c r="H60" s="192">
        <v>116</v>
      </c>
      <c r="P60" s="192">
        <v>59</v>
      </c>
    </row>
    <row r="61" spans="8:16">
      <c r="H61" s="192">
        <v>117</v>
      </c>
      <c r="P61" s="192">
        <v>60</v>
      </c>
    </row>
    <row r="62" spans="8:16">
      <c r="H62" s="192">
        <v>119</v>
      </c>
      <c r="P62" s="192">
        <v>65</v>
      </c>
    </row>
    <row r="63" spans="8:16">
      <c r="H63" s="192">
        <v>119</v>
      </c>
      <c r="P63" s="192">
        <v>66</v>
      </c>
    </row>
    <row r="64" spans="8:16">
      <c r="H64" s="192">
        <v>119</v>
      </c>
      <c r="P64" s="192">
        <v>68</v>
      </c>
    </row>
    <row r="65" spans="8:16">
      <c r="H65" s="192">
        <v>120</v>
      </c>
      <c r="P65" s="192">
        <v>69</v>
      </c>
    </row>
    <row r="66" spans="8:16">
      <c r="H66" s="192">
        <v>120</v>
      </c>
      <c r="P66" s="192">
        <v>71</v>
      </c>
    </row>
    <row r="67" spans="8:16">
      <c r="H67" s="192">
        <v>31</v>
      </c>
      <c r="P67" s="192">
        <v>73</v>
      </c>
    </row>
    <row r="68" spans="8:16">
      <c r="H68" s="192">
        <v>32</v>
      </c>
      <c r="P68" s="192">
        <v>74</v>
      </c>
    </row>
    <row r="69" spans="8:16">
      <c r="H69" s="192">
        <v>33</v>
      </c>
      <c r="P69" s="192">
        <v>75</v>
      </c>
    </row>
    <row r="70" spans="8:16">
      <c r="H70" s="192">
        <v>33</v>
      </c>
      <c r="P70" s="192">
        <v>78</v>
      </c>
    </row>
    <row r="71" spans="8:16">
      <c r="H71" s="192">
        <v>37</v>
      </c>
      <c r="P71" s="192">
        <v>82</v>
      </c>
    </row>
    <row r="72" spans="8:16">
      <c r="H72" s="192">
        <v>39</v>
      </c>
      <c r="P72" s="192">
        <v>83</v>
      </c>
    </row>
    <row r="73" spans="8:16">
      <c r="H73" s="192">
        <v>41</v>
      </c>
      <c r="P73" s="192">
        <v>89</v>
      </c>
    </row>
    <row r="74" spans="8:16">
      <c r="H74" s="192">
        <v>42</v>
      </c>
      <c r="P74" s="192">
        <v>90</v>
      </c>
    </row>
    <row r="75" spans="8:16">
      <c r="H75" s="192">
        <v>45</v>
      </c>
      <c r="P75" s="192">
        <v>93</v>
      </c>
    </row>
    <row r="76" spans="8:16">
      <c r="H76" s="192">
        <v>49</v>
      </c>
      <c r="P76" s="192">
        <v>97</v>
      </c>
    </row>
    <row r="77" spans="8:16">
      <c r="H77" s="192">
        <v>62</v>
      </c>
      <c r="P77" s="192">
        <v>101</v>
      </c>
    </row>
    <row r="78" spans="8:16">
      <c r="H78" s="192">
        <v>63</v>
      </c>
      <c r="P78" s="192">
        <v>101</v>
      </c>
    </row>
    <row r="79" spans="8:16">
      <c r="H79" s="192">
        <v>64</v>
      </c>
      <c r="P79" s="192">
        <v>101</v>
      </c>
    </row>
    <row r="80" spans="8:16">
      <c r="H80" s="192">
        <v>64</v>
      </c>
      <c r="P80" s="192">
        <v>103</v>
      </c>
    </row>
    <row r="81" spans="8:16">
      <c r="H81" s="192">
        <v>66</v>
      </c>
      <c r="P81" s="192">
        <v>106</v>
      </c>
    </row>
    <row r="82" spans="8:16">
      <c r="H82" s="192">
        <v>69</v>
      </c>
      <c r="P82" s="192">
        <v>108</v>
      </c>
    </row>
    <row r="83" spans="8:16">
      <c r="H83" s="192">
        <v>69</v>
      </c>
      <c r="P83" s="192">
        <v>109</v>
      </c>
    </row>
    <row r="84" spans="8:16">
      <c r="H84" s="192">
        <v>72</v>
      </c>
      <c r="P84" s="192">
        <v>110</v>
      </c>
    </row>
    <row r="85" spans="8:16">
      <c r="H85" s="192">
        <v>76</v>
      </c>
      <c r="P85" s="192">
        <v>114</v>
      </c>
    </row>
    <row r="86" spans="8:16">
      <c r="H86" s="192">
        <v>77</v>
      </c>
      <c r="P86" s="192">
        <v>116</v>
      </c>
    </row>
    <row r="87" spans="8:16">
      <c r="H87" s="192">
        <v>78</v>
      </c>
      <c r="P87" s="192">
        <v>119</v>
      </c>
    </row>
    <row r="88" spans="8:16">
      <c r="H88" s="192">
        <v>81</v>
      </c>
      <c r="P88" s="192">
        <v>119</v>
      </c>
    </row>
    <row r="89" spans="8:16">
      <c r="H89" s="192">
        <v>82</v>
      </c>
      <c r="P89" s="192">
        <v>120</v>
      </c>
    </row>
    <row r="90" spans="8:16">
      <c r="H90" s="192">
        <v>82</v>
      </c>
      <c r="P90" s="192">
        <v>120</v>
      </c>
    </row>
    <row r="91" spans="8:16">
      <c r="H91" s="192">
        <v>89</v>
      </c>
      <c r="P91" s="192">
        <v>30</v>
      </c>
    </row>
    <row r="92" spans="8:16">
      <c r="H92" s="192">
        <v>90</v>
      </c>
      <c r="P92" s="192">
        <v>32</v>
      </c>
    </row>
    <row r="93" spans="8:16">
      <c r="H93" s="192">
        <v>93</v>
      </c>
      <c r="P93" s="192">
        <v>33</v>
      </c>
    </row>
    <row r="94" spans="8:16">
      <c r="H94" s="192">
        <v>103</v>
      </c>
      <c r="P94" s="192">
        <v>33</v>
      </c>
    </row>
    <row r="95" spans="8:16">
      <c r="H95" s="192">
        <v>104</v>
      </c>
      <c r="P95" s="192">
        <v>36</v>
      </c>
    </row>
    <row r="96" spans="8:16">
      <c r="H96" s="192">
        <v>106</v>
      </c>
      <c r="P96" s="192">
        <v>39</v>
      </c>
    </row>
    <row r="97" spans="8:16">
      <c r="H97" s="192">
        <v>111</v>
      </c>
      <c r="P97" s="192">
        <v>44</v>
      </c>
    </row>
    <row r="98" spans="8:16">
      <c r="H98" s="192">
        <v>119</v>
      </c>
      <c r="P98" s="192">
        <v>46</v>
      </c>
    </row>
    <row r="99" spans="8:16">
      <c r="H99" s="192">
        <v>31</v>
      </c>
      <c r="P99" s="192">
        <v>49</v>
      </c>
    </row>
    <row r="100" spans="8:16">
      <c r="H100" s="192">
        <v>32</v>
      </c>
      <c r="P100" s="192">
        <v>52</v>
      </c>
    </row>
    <row r="101" spans="8:16">
      <c r="H101" s="192">
        <v>33</v>
      </c>
      <c r="P101" s="192">
        <v>53</v>
      </c>
    </row>
    <row r="102" spans="8:16">
      <c r="H102" s="192">
        <v>34</v>
      </c>
      <c r="P102" s="192">
        <v>54</v>
      </c>
    </row>
    <row r="103" spans="8:16">
      <c r="H103" s="192">
        <v>34</v>
      </c>
      <c r="P103" s="192">
        <v>58</v>
      </c>
    </row>
    <row r="104" spans="8:16">
      <c r="H104" s="192">
        <v>49</v>
      </c>
      <c r="P104" s="192">
        <v>61</v>
      </c>
    </row>
    <row r="105" spans="8:16">
      <c r="H105" s="192">
        <v>52</v>
      </c>
      <c r="P105" s="192">
        <v>61</v>
      </c>
    </row>
    <row r="106" spans="8:16">
      <c r="H106" s="192">
        <v>54</v>
      </c>
      <c r="P106" s="192">
        <v>76</v>
      </c>
    </row>
    <row r="107" spans="8:16">
      <c r="H107" s="192">
        <v>54</v>
      </c>
      <c r="P107" s="192">
        <v>78</v>
      </c>
    </row>
    <row r="108" spans="8:16">
      <c r="H108" s="192">
        <v>58</v>
      </c>
      <c r="P108" s="192">
        <v>85</v>
      </c>
    </row>
    <row r="109" spans="8:16">
      <c r="H109" s="192">
        <v>61</v>
      </c>
      <c r="P109" s="192">
        <v>86</v>
      </c>
    </row>
    <row r="110" spans="8:16">
      <c r="H110" s="192">
        <v>66</v>
      </c>
      <c r="P110" s="192">
        <v>87</v>
      </c>
    </row>
    <row r="111" spans="8:16">
      <c r="H111" s="192">
        <v>75</v>
      </c>
      <c r="P111" s="192">
        <v>111</v>
      </c>
    </row>
    <row r="112" spans="8:16">
      <c r="H112" s="192">
        <v>32</v>
      </c>
      <c r="P112" s="192">
        <v>115</v>
      </c>
    </row>
    <row r="113" spans="8:16">
      <c r="H113" s="192">
        <v>57</v>
      </c>
      <c r="P113" s="192">
        <v>119</v>
      </c>
    </row>
    <row r="114" spans="8:16">
      <c r="H114" s="192">
        <v>65</v>
      </c>
      <c r="P114" s="192">
        <v>120</v>
      </c>
    </row>
    <row r="115" spans="8:16">
      <c r="H115" s="192">
        <v>75</v>
      </c>
      <c r="P115" s="192">
        <v>30</v>
      </c>
    </row>
    <row r="116" spans="8:16">
      <c r="H116" s="192">
        <v>79</v>
      </c>
      <c r="P116" s="192">
        <v>32</v>
      </c>
    </row>
    <row r="117" spans="8:16">
      <c r="H117" s="192">
        <v>88</v>
      </c>
      <c r="P117" s="192">
        <v>33</v>
      </c>
    </row>
    <row r="118" spans="8:16">
      <c r="H118" s="192">
        <v>92</v>
      </c>
      <c r="P118" s="192">
        <v>34</v>
      </c>
    </row>
    <row r="119" spans="8:16">
      <c r="H119" s="192">
        <v>93</v>
      </c>
      <c r="P119" s="192">
        <v>46</v>
      </c>
    </row>
    <row r="120" spans="8:16">
      <c r="H120" s="192">
        <v>107</v>
      </c>
      <c r="P120" s="192">
        <v>58</v>
      </c>
    </row>
    <row r="121" spans="8:16">
      <c r="H121" s="192">
        <v>118</v>
      </c>
      <c r="P121" s="192">
        <v>62</v>
      </c>
    </row>
    <row r="122" spans="8:16">
      <c r="H122" s="192">
        <v>34</v>
      </c>
      <c r="P122" s="192">
        <v>62</v>
      </c>
    </row>
    <row r="123" spans="8:16">
      <c r="H123" s="192">
        <v>37</v>
      </c>
      <c r="P123" s="192">
        <v>65</v>
      </c>
    </row>
    <row r="124" spans="8:16">
      <c r="H124" s="192">
        <v>51</v>
      </c>
      <c r="P124" s="192">
        <v>75</v>
      </c>
    </row>
    <row r="125" spans="8:16">
      <c r="H125" s="192">
        <v>72</v>
      </c>
      <c r="P125" s="192">
        <v>75</v>
      </c>
    </row>
    <row r="126" spans="8:16">
      <c r="H126" s="192">
        <v>74</v>
      </c>
      <c r="P126" s="192">
        <v>78</v>
      </c>
    </row>
    <row r="127" spans="8:16">
      <c r="H127" s="192">
        <v>76</v>
      </c>
      <c r="P127" s="192">
        <v>79</v>
      </c>
    </row>
    <row r="128" spans="8:16">
      <c r="H128" s="192">
        <v>98</v>
      </c>
      <c r="P128" s="192">
        <v>79</v>
      </c>
    </row>
    <row r="129" spans="8:16">
      <c r="H129" s="192">
        <v>106</v>
      </c>
      <c r="P129" s="192">
        <v>90</v>
      </c>
    </row>
    <row r="130" spans="8:16">
      <c r="H130" s="192">
        <v>115</v>
      </c>
      <c r="P130" s="192">
        <v>96</v>
      </c>
    </row>
    <row r="131" spans="8:16">
      <c r="H131" s="192">
        <v>120</v>
      </c>
      <c r="P131" s="192">
        <v>98</v>
      </c>
    </row>
    <row r="132" spans="8:16">
      <c r="H132" s="192">
        <v>43</v>
      </c>
      <c r="P132" s="192">
        <v>102</v>
      </c>
    </row>
    <row r="133" spans="8:16">
      <c r="H133" s="192">
        <v>66</v>
      </c>
      <c r="P133" s="192">
        <v>105</v>
      </c>
    </row>
    <row r="134" spans="8:16">
      <c r="H134" s="192">
        <v>75</v>
      </c>
      <c r="P134" s="192">
        <v>108</v>
      </c>
    </row>
    <row r="135" spans="8:16">
      <c r="H135" s="192">
        <v>93</v>
      </c>
      <c r="P135" s="192">
        <v>112</v>
      </c>
    </row>
    <row r="136" spans="8:16">
      <c r="H136" s="192">
        <v>42</v>
      </c>
      <c r="P136" s="192">
        <v>113</v>
      </c>
    </row>
    <row r="137" spans="8:16">
      <c r="H137" s="192">
        <v>53</v>
      </c>
      <c r="P137" s="192">
        <v>117</v>
      </c>
    </row>
    <row r="138" spans="8:16">
      <c r="H138" s="192">
        <v>69</v>
      </c>
      <c r="P138" s="192">
        <v>31</v>
      </c>
    </row>
    <row r="139" spans="8:16">
      <c r="H139" s="192">
        <v>100</v>
      </c>
      <c r="P139" s="192">
        <v>40</v>
      </c>
    </row>
    <row r="140" spans="8:16">
      <c r="H140" s="192">
        <v>40</v>
      </c>
      <c r="P140" s="192">
        <v>46</v>
      </c>
    </row>
    <row r="141" spans="8:16">
      <c r="H141" s="192">
        <v>40</v>
      </c>
      <c r="P141" s="192">
        <v>50</v>
      </c>
    </row>
    <row r="142" spans="8:16">
      <c r="H142" s="192">
        <v>78</v>
      </c>
      <c r="P142" s="192">
        <v>53</v>
      </c>
    </row>
    <row r="143" spans="8:16">
      <c r="H143" s="192">
        <v>31</v>
      </c>
      <c r="P143" s="192">
        <v>58</v>
      </c>
    </row>
    <row r="144" spans="8:16">
      <c r="H144" s="192">
        <v>102</v>
      </c>
      <c r="P144" s="192">
        <v>88</v>
      </c>
    </row>
    <row r="145" spans="8:16">
      <c r="H145" s="192">
        <v>50</v>
      </c>
      <c r="P145" s="192">
        <v>95</v>
      </c>
    </row>
    <row r="146" spans="8:16">
      <c r="H146" s="192">
        <v>81</v>
      </c>
      <c r="P146" s="192">
        <v>100</v>
      </c>
    </row>
    <row r="147" spans="8:16">
      <c r="H147" s="192">
        <v>64</v>
      </c>
      <c r="P147" s="192">
        <v>100</v>
      </c>
    </row>
    <row r="148" spans="8:16">
      <c r="H148" s="192">
        <v>70</v>
      </c>
      <c r="P148" s="192">
        <v>106</v>
      </c>
    </row>
    <row r="149" spans="8:16">
      <c r="H149" s="192">
        <v>34</v>
      </c>
      <c r="P149" s="192">
        <v>113</v>
      </c>
    </row>
    <row r="150" spans="8:16">
      <c r="H150" s="192">
        <v>87</v>
      </c>
      <c r="P150" s="192">
        <v>116</v>
      </c>
    </row>
    <row r="151" spans="8:16">
      <c r="H151" s="192">
        <v>87</v>
      </c>
      <c r="P151" s="192">
        <v>32</v>
      </c>
    </row>
    <row r="152" spans="8:16">
      <c r="H152" s="192">
        <v>120</v>
      </c>
      <c r="P152" s="192">
        <v>34</v>
      </c>
    </row>
    <row r="153" spans="8:16">
      <c r="H153" s="192">
        <v>86</v>
      </c>
      <c r="P153" s="192">
        <v>37</v>
      </c>
    </row>
    <row r="154" spans="8:16">
      <c r="H154" s="192">
        <v>85</v>
      </c>
      <c r="P154" s="192">
        <v>45</v>
      </c>
    </row>
    <row r="155" spans="8:16">
      <c r="H155" s="192">
        <v>59</v>
      </c>
      <c r="P155" s="192">
        <v>53</v>
      </c>
    </row>
    <row r="156" spans="8:16">
      <c r="H156" s="192">
        <v>112</v>
      </c>
      <c r="P156" s="192">
        <v>58</v>
      </c>
    </row>
    <row r="157" spans="8:16">
      <c r="P157" s="192">
        <v>78</v>
      </c>
    </row>
    <row r="158" spans="8:16">
      <c r="P158" s="192">
        <v>90</v>
      </c>
    </row>
    <row r="159" spans="8:16">
      <c r="P159" s="192">
        <v>108</v>
      </c>
    </row>
    <row r="160" spans="8:16">
      <c r="P160" s="192">
        <v>119</v>
      </c>
    </row>
    <row r="161" spans="16:16">
      <c r="P161" s="192">
        <v>33</v>
      </c>
    </row>
    <row r="162" spans="16:16">
      <c r="P162" s="192">
        <v>66</v>
      </c>
    </row>
    <row r="163" spans="16:16">
      <c r="P163" s="192">
        <v>85</v>
      </c>
    </row>
    <row r="164" spans="16:16">
      <c r="P164" s="192">
        <v>112</v>
      </c>
    </row>
    <row r="165" spans="16:16">
      <c r="P165" s="192">
        <v>117</v>
      </c>
    </row>
    <row r="166" spans="16:16">
      <c r="P166" s="192">
        <v>32</v>
      </c>
    </row>
    <row r="167" spans="16:16">
      <c r="P167" s="192">
        <v>54</v>
      </c>
    </row>
    <row r="168" spans="16:16">
      <c r="P168" s="192">
        <v>54</v>
      </c>
    </row>
    <row r="169" spans="16:16">
      <c r="P169" s="192">
        <v>57</v>
      </c>
    </row>
    <row r="170" spans="16:16">
      <c r="P170" s="192">
        <v>76</v>
      </c>
    </row>
    <row r="171" spans="16:16">
      <c r="P171" s="192">
        <v>76</v>
      </c>
    </row>
    <row r="172" spans="16:16">
      <c r="P172" s="192">
        <v>82</v>
      </c>
    </row>
    <row r="173" spans="16:16">
      <c r="P173" s="192">
        <v>84</v>
      </c>
    </row>
    <row r="174" spans="16:16">
      <c r="P174" s="192">
        <v>93</v>
      </c>
    </row>
    <row r="175" spans="16:16">
      <c r="P175" s="192">
        <v>106</v>
      </c>
    </row>
    <row r="176" spans="16:16">
      <c r="P176" s="192">
        <v>115</v>
      </c>
    </row>
    <row r="177" spans="16:16">
      <c r="P177" s="192">
        <v>51</v>
      </c>
    </row>
    <row r="178" spans="16:16">
      <c r="P178" s="192">
        <v>54</v>
      </c>
    </row>
    <row r="179" spans="16:16">
      <c r="P179" s="192">
        <v>66</v>
      </c>
    </row>
    <row r="180" spans="16:16">
      <c r="P180" s="192">
        <v>88</v>
      </c>
    </row>
    <row r="181" spans="16:16">
      <c r="P181" s="192">
        <v>59</v>
      </c>
    </row>
    <row r="182" spans="16:16">
      <c r="P182" s="192">
        <v>103</v>
      </c>
    </row>
    <row r="183" spans="16:16">
      <c r="P183" s="192">
        <v>120</v>
      </c>
    </row>
    <row r="184" spans="16:16">
      <c r="P184" s="192">
        <v>92</v>
      </c>
    </row>
    <row r="185" spans="16:16">
      <c r="P185" s="192">
        <v>67</v>
      </c>
    </row>
    <row r="186" spans="16:16">
      <c r="P186" s="192">
        <v>77</v>
      </c>
    </row>
    <row r="187" spans="16:16">
      <c r="P187" s="192">
        <v>86</v>
      </c>
    </row>
    <row r="188" spans="16:16">
      <c r="P188" s="192">
        <v>72</v>
      </c>
    </row>
    <row r="189" spans="16:16">
      <c r="P189" s="192">
        <v>49</v>
      </c>
    </row>
    <row r="190" spans="16:16">
      <c r="P190" s="192">
        <v>35</v>
      </c>
    </row>
    <row r="191" spans="16:16">
      <c r="P191" s="192">
        <v>40</v>
      </c>
    </row>
    <row r="192" spans="16:16">
      <c r="P192" s="192">
        <v>63</v>
      </c>
    </row>
    <row r="193" spans="16:16">
      <c r="P193" s="192">
        <v>34</v>
      </c>
    </row>
    <row r="194" spans="16:16">
      <c r="P194" s="192">
        <v>64</v>
      </c>
    </row>
    <row r="195" spans="16:16">
      <c r="P195" s="192">
        <v>42</v>
      </c>
    </row>
    <row r="196" spans="16:16">
      <c r="P196" s="192">
        <v>31</v>
      </c>
    </row>
  </sheetData>
  <mergeCells count="12">
    <mergeCell ref="B9:G9"/>
    <mergeCell ref="B7:F7"/>
    <mergeCell ref="J7:N7"/>
    <mergeCell ref="B3:F3"/>
    <mergeCell ref="B1:F2"/>
    <mergeCell ref="B4:F4"/>
    <mergeCell ref="B5:F5"/>
    <mergeCell ref="B6:F6"/>
    <mergeCell ref="J3:N3"/>
    <mergeCell ref="J4:N4"/>
    <mergeCell ref="J5:N5"/>
    <mergeCell ref="J6:N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5BEB56-F008-485C-9565-8C548F216A29}">
          <x14:formula1>
            <xm:f>'Conteggio categorie'!$A$2:$A$16</xm:f>
          </x14:formula1>
          <xm:sqref>O3 G3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BD44-0C84-46BE-9935-9AAA91F1BBED}">
  <dimension ref="B1:L136"/>
  <sheetViews>
    <sheetView workbookViewId="0">
      <selection activeCell="G6" sqref="G6"/>
    </sheetView>
  </sheetViews>
  <sheetFormatPr defaultRowHeight="15"/>
  <cols>
    <col min="2" max="2" width="20.140625" customWidth="1"/>
    <col min="3" max="3" width="12.7109375" bestFit="1" customWidth="1"/>
    <col min="4" max="4" width="15.42578125" bestFit="1" customWidth="1"/>
    <col min="5" max="5" width="12" bestFit="1" customWidth="1"/>
    <col min="6" max="6" width="21.7109375" bestFit="1" customWidth="1"/>
    <col min="7" max="7" width="20.5703125" customWidth="1"/>
    <col min="8" max="8" width="14" bestFit="1" customWidth="1"/>
    <col min="9" max="9" width="14.7109375" bestFit="1" customWidth="1"/>
    <col min="10" max="10" width="15.5703125" bestFit="1" customWidth="1"/>
  </cols>
  <sheetData>
    <row r="1" spans="2:12">
      <c r="B1" s="112" t="s">
        <v>19649</v>
      </c>
      <c r="C1" s="111"/>
      <c r="D1" s="111"/>
      <c r="E1" s="111"/>
      <c r="F1" s="111"/>
      <c r="G1" s="111"/>
      <c r="H1" s="111"/>
      <c r="I1" s="111"/>
      <c r="J1" s="111"/>
      <c r="K1" s="111"/>
      <c r="L1" s="113"/>
    </row>
    <row r="2" spans="2:12" ht="15.75" thickBot="1">
      <c r="B2" s="114"/>
      <c r="C2" s="115"/>
      <c r="D2" s="115"/>
      <c r="E2" s="115"/>
      <c r="F2" s="115"/>
      <c r="G2" s="115"/>
      <c r="H2" s="115"/>
      <c r="I2" s="115"/>
      <c r="J2" s="115"/>
      <c r="K2" s="115"/>
      <c r="L2" s="116"/>
    </row>
    <row r="3" spans="2:12" ht="15.75" thickBot="1"/>
    <row r="4" spans="2:12" ht="15.75" thickBot="1">
      <c r="B4" s="253" t="s">
        <v>19612</v>
      </c>
      <c r="C4" s="149">
        <f>CORREL(Conteggio_cittá[Conteggio],Conteggio_cittá[Prezzi.Prezzo Medio])</f>
        <v>4.0492349300181914E-3</v>
      </c>
    </row>
    <row r="5" spans="2:12" ht="15.75" thickBot="1">
      <c r="B5" s="253" t="s">
        <v>19613</v>
      </c>
      <c r="C5" s="149">
        <f>_xlfn.COVARIANCE.S(Conteggio_cittá[Conteggio],Conteggio_cittá[Prezzi.Prezzo Medio])</f>
        <v>5.6824034334763738</v>
      </c>
    </row>
    <row r="6" spans="2:12" ht="15.75" thickBot="1"/>
    <row r="7" spans="2:12" ht="15.75" thickBot="1">
      <c r="B7" s="241" t="s">
        <v>19614</v>
      </c>
      <c r="C7" s="242"/>
      <c r="D7" s="242"/>
      <c r="E7" s="242"/>
      <c r="F7" s="242"/>
      <c r="G7" s="242"/>
      <c r="H7" s="243"/>
    </row>
    <row r="9" spans="2:12">
      <c r="B9" t="s">
        <v>19615</v>
      </c>
    </row>
    <row r="10" spans="2:12" ht="15.75" thickBot="1"/>
    <row r="11" spans="2:12">
      <c r="B11" s="57" t="s">
        <v>19616</v>
      </c>
      <c r="C11" s="57"/>
    </row>
    <row r="12" spans="2:12">
      <c r="B12" t="s">
        <v>19617</v>
      </c>
      <c r="C12">
        <v>4.0492349299965412E-3</v>
      </c>
    </row>
    <row r="13" spans="2:12">
      <c r="B13" t="s">
        <v>19618</v>
      </c>
      <c r="C13" s="58">
        <v>1.6396303518304094E-5</v>
      </c>
      <c r="E13" s="59" t="s">
        <v>19638</v>
      </c>
    </row>
    <row r="14" spans="2:12">
      <c r="B14" t="s">
        <v>19619</v>
      </c>
      <c r="C14">
        <v>-4.2938778503458412E-3</v>
      </c>
      <c r="E14" t="s">
        <v>19637</v>
      </c>
    </row>
    <row r="15" spans="2:12">
      <c r="B15" t="s">
        <v>19620</v>
      </c>
      <c r="C15">
        <v>27.578071534942492</v>
      </c>
    </row>
    <row r="16" spans="2:12" ht="15.75" thickBot="1">
      <c r="B16" s="55" t="s">
        <v>19597</v>
      </c>
      <c r="C16" s="55">
        <v>234</v>
      </c>
    </row>
    <row r="18" spans="2:10" ht="15.75" thickBot="1">
      <c r="B18" t="s">
        <v>19621</v>
      </c>
    </row>
    <row r="19" spans="2:10">
      <c r="B19" s="56"/>
      <c r="C19" s="56" t="s">
        <v>19598</v>
      </c>
      <c r="D19" s="56" t="s">
        <v>19626</v>
      </c>
      <c r="E19" s="56" t="s">
        <v>19627</v>
      </c>
      <c r="F19" s="56" t="s">
        <v>19628</v>
      </c>
      <c r="G19" s="56" t="s">
        <v>19629</v>
      </c>
    </row>
    <row r="20" spans="2:10">
      <c r="B20" t="s">
        <v>19622</v>
      </c>
      <c r="C20">
        <v>1</v>
      </c>
      <c r="D20">
        <v>2.8931359539565165</v>
      </c>
      <c r="E20">
        <v>2.8931359539565165</v>
      </c>
      <c r="F20">
        <v>3.8040047878636365E-3</v>
      </c>
      <c r="G20">
        <v>0.95087346397628947</v>
      </c>
    </row>
    <row r="21" spans="2:10">
      <c r="B21" t="s">
        <v>19623</v>
      </c>
      <c r="C21">
        <v>232</v>
      </c>
      <c r="D21">
        <v>176447.60686404604</v>
      </c>
      <c r="E21">
        <v>760.55002958640534</v>
      </c>
    </row>
    <row r="22" spans="2:10" ht="15.75" thickBot="1">
      <c r="B22" s="55" t="s">
        <v>19624</v>
      </c>
      <c r="C22" s="55">
        <v>233</v>
      </c>
      <c r="D22" s="55">
        <v>176450.5</v>
      </c>
      <c r="E22" s="55"/>
      <c r="F22" s="55"/>
      <c r="G22" s="55"/>
    </row>
    <row r="23" spans="2:10" ht="15.75" thickBot="1"/>
    <row r="24" spans="2:10">
      <c r="B24" s="56"/>
      <c r="C24" s="56" t="s">
        <v>19630</v>
      </c>
      <c r="D24" s="56" t="s">
        <v>19620</v>
      </c>
      <c r="E24" s="56" t="s">
        <v>19599</v>
      </c>
      <c r="F24" s="56" t="s">
        <v>19631</v>
      </c>
      <c r="G24" s="56" t="s">
        <v>19632</v>
      </c>
      <c r="H24" s="56" t="s">
        <v>19633</v>
      </c>
      <c r="I24" s="56" t="s">
        <v>19634</v>
      </c>
      <c r="J24" s="56" t="s">
        <v>19635</v>
      </c>
    </row>
    <row r="25" spans="2:10">
      <c r="B25" t="s">
        <v>19625</v>
      </c>
      <c r="C25">
        <v>73.441561298318831</v>
      </c>
      <c r="D25">
        <v>2.0366574114173965</v>
      </c>
      <c r="E25">
        <v>36.059850265738959</v>
      </c>
      <c r="F25">
        <v>4.4704552946272385E-97</v>
      </c>
      <c r="G25">
        <v>69.428853456668534</v>
      </c>
      <c r="H25">
        <v>77.454269139969128</v>
      </c>
      <c r="I25">
        <v>69.428853456668534</v>
      </c>
      <c r="J25">
        <v>77.454269139969128</v>
      </c>
    </row>
    <row r="26" spans="2:10" ht="15.75" thickBot="1">
      <c r="B26" s="55" t="s">
        <v>19636</v>
      </c>
      <c r="C26" s="55">
        <v>2.1851480015012141E-3</v>
      </c>
      <c r="D26" s="55">
        <v>3.5429117111059165E-2</v>
      </c>
      <c r="E26" s="55">
        <v>6.1676614595036643E-2</v>
      </c>
      <c r="F26" s="55">
        <v>0.95087346397602468</v>
      </c>
      <c r="G26" s="55">
        <v>-6.7618784293304285E-2</v>
      </c>
      <c r="H26" s="55">
        <v>7.1989080296306712E-2</v>
      </c>
      <c r="I26" s="55">
        <v>-6.7618784293304285E-2</v>
      </c>
      <c r="J26" s="55">
        <v>7.1989080296306712E-2</v>
      </c>
    </row>
    <row r="28" spans="2:10">
      <c r="B28" s="8" t="s">
        <v>19625</v>
      </c>
      <c r="C28" s="8" t="s">
        <v>19639</v>
      </c>
      <c r="D28" s="8"/>
      <c r="E28" s="8"/>
      <c r="F28" s="8"/>
    </row>
    <row r="29" spans="2:10">
      <c r="B29" s="8" t="s">
        <v>19640</v>
      </c>
      <c r="C29" s="8" t="s">
        <v>19641</v>
      </c>
      <c r="D29" s="8"/>
      <c r="E29" s="8"/>
      <c r="F29" s="8"/>
    </row>
    <row r="30" spans="2:10">
      <c r="B30" s="8" t="s">
        <v>19642</v>
      </c>
      <c r="C30" s="8" t="s">
        <v>19643</v>
      </c>
      <c r="D30" s="8"/>
      <c r="E30" s="8"/>
      <c r="F30" s="8"/>
    </row>
    <row r="32" spans="2:10">
      <c r="B32" t="s">
        <v>19644</v>
      </c>
    </row>
    <row r="33" spans="2:8" ht="15.75" thickBot="1"/>
    <row r="34" spans="2:8">
      <c r="B34" s="117" t="s">
        <v>19645</v>
      </c>
      <c r="C34" s="118"/>
      <c r="D34" s="118"/>
      <c r="E34" s="118"/>
      <c r="F34" s="119"/>
    </row>
    <row r="35" spans="2:8" ht="15.75" thickBot="1">
      <c r="B35" s="120"/>
      <c r="C35" s="121"/>
      <c r="D35" s="121"/>
      <c r="E35" s="121"/>
      <c r="F35" s="122"/>
    </row>
    <row r="36" spans="2:8" ht="15.75" thickBot="1">
      <c r="B36" s="108" t="s">
        <v>19646</v>
      </c>
      <c r="C36" s="109"/>
      <c r="D36" s="109"/>
      <c r="E36" s="110"/>
      <c r="F36" s="193">
        <v>50</v>
      </c>
      <c r="H36" s="61" t="s">
        <v>19647</v>
      </c>
    </row>
    <row r="37" spans="2:8" ht="15.75" thickBot="1">
      <c r="B37" s="108" t="s">
        <v>19648</v>
      </c>
      <c r="C37" s="109"/>
      <c r="D37" s="109"/>
      <c r="E37" s="110"/>
      <c r="F37" s="60">
        <f>$C$26*$F$36+$C$25</f>
        <v>73.550818698393897</v>
      </c>
      <c r="H37" s="61">
        <v>5</v>
      </c>
    </row>
    <row r="38" spans="2:8">
      <c r="H38" s="61">
        <v>10</v>
      </c>
    </row>
    <row r="39" spans="2:8">
      <c r="H39" s="61">
        <v>15</v>
      </c>
    </row>
    <row r="40" spans="2:8">
      <c r="B40" s="8" t="s">
        <v>19650</v>
      </c>
      <c r="C40" s="8"/>
      <c r="D40" s="8"/>
      <c r="E40" s="8"/>
      <c r="H40" s="61">
        <v>20</v>
      </c>
    </row>
    <row r="41" spans="2:8">
      <c r="H41" s="61">
        <v>25</v>
      </c>
    </row>
    <row r="42" spans="2:8">
      <c r="B42" s="8" t="s">
        <v>19651</v>
      </c>
      <c r="C42" s="8"/>
      <c r="D42" s="8"/>
      <c r="E42" s="8"/>
      <c r="F42" s="8"/>
      <c r="G42" s="8"/>
      <c r="H42" s="61">
        <v>30</v>
      </c>
    </row>
    <row r="43" spans="2:8">
      <c r="B43" s="8" t="s">
        <v>19652</v>
      </c>
      <c r="C43" s="8"/>
      <c r="D43" s="8"/>
      <c r="E43" s="8"/>
      <c r="F43" s="8"/>
      <c r="G43" s="8"/>
      <c r="H43" s="61">
        <v>35</v>
      </c>
    </row>
    <row r="44" spans="2:8">
      <c r="B44" s="8" t="s">
        <v>19653</v>
      </c>
      <c r="C44" s="8"/>
      <c r="D44" s="8"/>
      <c r="E44" s="8"/>
      <c r="F44" s="8"/>
      <c r="G44" s="8"/>
      <c r="H44" s="61">
        <v>40</v>
      </c>
    </row>
    <row r="45" spans="2:8">
      <c r="B45" s="8" t="s">
        <v>19654</v>
      </c>
      <c r="C45" s="8"/>
      <c r="D45" s="8"/>
      <c r="E45" s="8"/>
      <c r="F45" s="8"/>
      <c r="G45" s="8"/>
      <c r="H45" s="61">
        <v>45</v>
      </c>
    </row>
    <row r="46" spans="2:8">
      <c r="H46" s="61">
        <v>50</v>
      </c>
    </row>
    <row r="47" spans="2:8">
      <c r="H47" s="61">
        <v>55</v>
      </c>
    </row>
    <row r="48" spans="2:8">
      <c r="H48" s="61">
        <v>60</v>
      </c>
    </row>
    <row r="49" spans="8:8">
      <c r="H49" s="61">
        <v>65</v>
      </c>
    </row>
    <row r="50" spans="8:8">
      <c r="H50" s="61">
        <v>70</v>
      </c>
    </row>
    <row r="51" spans="8:8">
      <c r="H51" s="61">
        <v>75</v>
      </c>
    </row>
    <row r="52" spans="8:8">
      <c r="H52" s="61">
        <v>80</v>
      </c>
    </row>
    <row r="53" spans="8:8">
      <c r="H53" s="61">
        <v>85</v>
      </c>
    </row>
    <row r="54" spans="8:8">
      <c r="H54" s="61">
        <v>90</v>
      </c>
    </row>
    <row r="55" spans="8:8">
      <c r="H55" s="61">
        <v>95</v>
      </c>
    </row>
    <row r="56" spans="8:8">
      <c r="H56" s="61">
        <v>100</v>
      </c>
    </row>
    <row r="57" spans="8:8">
      <c r="H57" s="61">
        <v>105</v>
      </c>
    </row>
    <row r="58" spans="8:8">
      <c r="H58" s="61">
        <v>110</v>
      </c>
    </row>
    <row r="59" spans="8:8">
      <c r="H59" s="61">
        <v>115</v>
      </c>
    </row>
    <row r="60" spans="8:8">
      <c r="H60" s="61">
        <v>120</v>
      </c>
    </row>
    <row r="61" spans="8:8">
      <c r="H61" s="61">
        <v>125</v>
      </c>
    </row>
    <row r="62" spans="8:8">
      <c r="H62" s="61">
        <v>130</v>
      </c>
    </row>
    <row r="63" spans="8:8">
      <c r="H63" s="61">
        <v>135</v>
      </c>
    </row>
    <row r="64" spans="8:8">
      <c r="H64" s="61">
        <v>140</v>
      </c>
    </row>
    <row r="65" spans="8:8">
      <c r="H65" s="61">
        <v>145</v>
      </c>
    </row>
    <row r="66" spans="8:8">
      <c r="H66" s="61">
        <v>150</v>
      </c>
    </row>
    <row r="67" spans="8:8">
      <c r="H67" s="61">
        <v>155</v>
      </c>
    </row>
    <row r="68" spans="8:8">
      <c r="H68" s="61">
        <v>160</v>
      </c>
    </row>
    <row r="69" spans="8:8">
      <c r="H69" s="61">
        <v>165</v>
      </c>
    </row>
    <row r="70" spans="8:8">
      <c r="H70" s="61">
        <v>170</v>
      </c>
    </row>
    <row r="71" spans="8:8">
      <c r="H71" s="61">
        <v>175</v>
      </c>
    </row>
    <row r="72" spans="8:8">
      <c r="H72" s="61">
        <v>180</v>
      </c>
    </row>
    <row r="73" spans="8:8">
      <c r="H73" s="61">
        <v>185</v>
      </c>
    </row>
    <row r="74" spans="8:8">
      <c r="H74" s="61">
        <v>190</v>
      </c>
    </row>
    <row r="75" spans="8:8">
      <c r="H75" s="61">
        <v>195</v>
      </c>
    </row>
    <row r="76" spans="8:8">
      <c r="H76" s="61">
        <v>200</v>
      </c>
    </row>
    <row r="77" spans="8:8">
      <c r="H77" s="61">
        <v>205</v>
      </c>
    </row>
    <row r="78" spans="8:8">
      <c r="H78" s="61">
        <v>210</v>
      </c>
    </row>
    <row r="79" spans="8:8">
      <c r="H79" s="61">
        <v>215</v>
      </c>
    </row>
    <row r="80" spans="8:8">
      <c r="H80" s="61">
        <v>220</v>
      </c>
    </row>
    <row r="81" spans="8:8">
      <c r="H81" s="61">
        <v>225</v>
      </c>
    </row>
    <row r="82" spans="8:8">
      <c r="H82" s="61">
        <v>230</v>
      </c>
    </row>
    <row r="83" spans="8:8">
      <c r="H83" s="61">
        <v>235</v>
      </c>
    </row>
    <row r="84" spans="8:8">
      <c r="H84" s="61">
        <v>240</v>
      </c>
    </row>
    <row r="85" spans="8:8">
      <c r="H85" s="61">
        <v>245</v>
      </c>
    </row>
    <row r="86" spans="8:8">
      <c r="H86" s="61">
        <v>250</v>
      </c>
    </row>
    <row r="87" spans="8:8">
      <c r="H87" s="61">
        <v>255</v>
      </c>
    </row>
    <row r="88" spans="8:8">
      <c r="H88" s="61">
        <v>260</v>
      </c>
    </row>
    <row r="89" spans="8:8">
      <c r="H89" s="61">
        <v>265</v>
      </c>
    </row>
    <row r="90" spans="8:8">
      <c r="H90" s="61">
        <v>270</v>
      </c>
    </row>
    <row r="91" spans="8:8">
      <c r="H91" s="61">
        <v>275</v>
      </c>
    </row>
    <row r="92" spans="8:8">
      <c r="H92" s="61">
        <v>280</v>
      </c>
    </row>
    <row r="93" spans="8:8">
      <c r="H93" s="61">
        <v>285</v>
      </c>
    </row>
    <row r="94" spans="8:8">
      <c r="H94" s="61">
        <v>290</v>
      </c>
    </row>
    <row r="95" spans="8:8">
      <c r="H95" s="61">
        <v>295</v>
      </c>
    </row>
    <row r="96" spans="8:8">
      <c r="H96" s="61">
        <v>300</v>
      </c>
    </row>
    <row r="97" spans="8:8">
      <c r="H97" s="61">
        <v>305</v>
      </c>
    </row>
    <row r="98" spans="8:8">
      <c r="H98" s="61">
        <v>310</v>
      </c>
    </row>
    <row r="99" spans="8:8">
      <c r="H99" s="61">
        <v>315</v>
      </c>
    </row>
    <row r="100" spans="8:8">
      <c r="H100" s="61">
        <v>320</v>
      </c>
    </row>
    <row r="101" spans="8:8">
      <c r="H101" s="61">
        <v>325</v>
      </c>
    </row>
    <row r="102" spans="8:8">
      <c r="H102" s="61">
        <v>330</v>
      </c>
    </row>
    <row r="103" spans="8:8">
      <c r="H103" s="61">
        <v>335</v>
      </c>
    </row>
    <row r="104" spans="8:8">
      <c r="H104" s="61">
        <v>340</v>
      </c>
    </row>
    <row r="105" spans="8:8">
      <c r="H105" s="61">
        <v>345</v>
      </c>
    </row>
    <row r="106" spans="8:8">
      <c r="H106" s="61">
        <v>350</v>
      </c>
    </row>
    <row r="107" spans="8:8">
      <c r="H107" s="61">
        <v>355</v>
      </c>
    </row>
    <row r="108" spans="8:8">
      <c r="H108" s="61">
        <v>360</v>
      </c>
    </row>
    <row r="109" spans="8:8">
      <c r="H109" s="61">
        <v>365</v>
      </c>
    </row>
    <row r="110" spans="8:8">
      <c r="H110" s="61">
        <v>370</v>
      </c>
    </row>
    <row r="111" spans="8:8">
      <c r="H111" s="61">
        <v>375</v>
      </c>
    </row>
    <row r="112" spans="8:8">
      <c r="H112" s="61">
        <v>380</v>
      </c>
    </row>
    <row r="113" spans="8:8">
      <c r="H113" s="61">
        <v>385</v>
      </c>
    </row>
    <row r="114" spans="8:8">
      <c r="H114" s="61">
        <v>390</v>
      </c>
    </row>
    <row r="115" spans="8:8">
      <c r="H115" s="61">
        <v>395</v>
      </c>
    </row>
    <row r="116" spans="8:8">
      <c r="H116" s="61">
        <v>400</v>
      </c>
    </row>
    <row r="117" spans="8:8">
      <c r="H117" s="61">
        <v>405</v>
      </c>
    </row>
    <row r="118" spans="8:8">
      <c r="H118" s="61">
        <v>410</v>
      </c>
    </row>
    <row r="119" spans="8:8">
      <c r="H119" s="61">
        <v>415</v>
      </c>
    </row>
    <row r="120" spans="8:8">
      <c r="H120" s="61">
        <v>420</v>
      </c>
    </row>
    <row r="121" spans="8:8">
      <c r="H121" s="61">
        <v>425</v>
      </c>
    </row>
    <row r="122" spans="8:8">
      <c r="H122" s="61">
        <v>430</v>
      </c>
    </row>
    <row r="123" spans="8:8">
      <c r="H123" s="61">
        <v>435</v>
      </c>
    </row>
    <row r="124" spans="8:8">
      <c r="H124" s="61">
        <v>440</v>
      </c>
    </row>
    <row r="125" spans="8:8">
      <c r="H125" s="61">
        <v>445</v>
      </c>
    </row>
    <row r="126" spans="8:8">
      <c r="H126" s="61">
        <v>450</v>
      </c>
    </row>
    <row r="127" spans="8:8">
      <c r="H127" s="61">
        <v>455</v>
      </c>
    </row>
    <row r="128" spans="8:8">
      <c r="H128" s="61">
        <v>460</v>
      </c>
    </row>
    <row r="129" spans="8:8">
      <c r="H129" s="61">
        <v>465</v>
      </c>
    </row>
    <row r="130" spans="8:8">
      <c r="H130" s="61">
        <v>470</v>
      </c>
    </row>
    <row r="131" spans="8:8">
      <c r="H131" s="61">
        <v>475</v>
      </c>
    </row>
    <row r="132" spans="8:8">
      <c r="H132" s="61">
        <v>480</v>
      </c>
    </row>
    <row r="133" spans="8:8">
      <c r="H133" s="61">
        <v>485</v>
      </c>
    </row>
    <row r="134" spans="8:8">
      <c r="H134" s="61">
        <v>490</v>
      </c>
    </row>
    <row r="135" spans="8:8">
      <c r="H135" s="61">
        <v>495</v>
      </c>
    </row>
    <row r="136" spans="8:8">
      <c r="H136" s="61">
        <v>500</v>
      </c>
    </row>
  </sheetData>
  <mergeCells count="4">
    <mergeCell ref="B1:L2"/>
    <mergeCell ref="B34:F35"/>
    <mergeCell ref="B36:E36"/>
    <mergeCell ref="B37:E37"/>
  </mergeCells>
  <dataValidations count="1">
    <dataValidation type="list" allowBlank="1" showInputMessage="1" showErrorMessage="1" sqref="F36" xr:uid="{F7D8CAF7-96E9-4F38-A9E4-21F0382215DA}">
      <formula1>$H$37:$H$136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77EA-CEB5-4951-A750-0FC21302D295}">
  <dimension ref="A1:D1197"/>
  <sheetViews>
    <sheetView workbookViewId="0">
      <selection activeCell="A241" sqref="A241"/>
    </sheetView>
  </sheetViews>
  <sheetFormatPr defaultRowHeight="15"/>
  <cols>
    <col min="1" max="1" width="29.85546875" bestFit="1" customWidth="1"/>
    <col min="2" max="2" width="26" bestFit="1" customWidth="1"/>
    <col min="3" max="3" width="21.5703125" customWidth="1"/>
    <col min="4" max="4" width="12.28515625" bestFit="1" customWidth="1"/>
  </cols>
  <sheetData>
    <row r="1" spans="1:4">
      <c r="A1" t="s">
        <v>236</v>
      </c>
      <c r="B1" t="s">
        <v>0</v>
      </c>
      <c r="C1" t="s">
        <v>253</v>
      </c>
      <c r="D1" t="s">
        <v>237</v>
      </c>
    </row>
    <row r="2" spans="1:4">
      <c r="A2" t="s">
        <v>239</v>
      </c>
      <c r="B2" t="s">
        <v>134</v>
      </c>
      <c r="C2">
        <v>30</v>
      </c>
      <c r="D2">
        <v>1</v>
      </c>
    </row>
    <row r="3" spans="1:4">
      <c r="A3" t="s">
        <v>251</v>
      </c>
      <c r="B3" t="s">
        <v>134</v>
      </c>
      <c r="C3">
        <v>30</v>
      </c>
      <c r="D3">
        <v>1</v>
      </c>
    </row>
    <row r="4" spans="1:4">
      <c r="A4" t="s">
        <v>240</v>
      </c>
      <c r="B4" t="s">
        <v>134</v>
      </c>
      <c r="C4">
        <v>30</v>
      </c>
      <c r="D4">
        <v>1</v>
      </c>
    </row>
    <row r="5" spans="1:4">
      <c r="A5" t="s">
        <v>238</v>
      </c>
      <c r="B5" t="s">
        <v>140</v>
      </c>
      <c r="C5">
        <v>30</v>
      </c>
      <c r="D5">
        <v>1</v>
      </c>
    </row>
    <row r="6" spans="1:4">
      <c r="A6" t="s">
        <v>249</v>
      </c>
      <c r="B6" t="s">
        <v>2</v>
      </c>
      <c r="C6">
        <v>31</v>
      </c>
      <c r="D6">
        <v>1</v>
      </c>
    </row>
    <row r="7" spans="1:4">
      <c r="A7" t="s">
        <v>248</v>
      </c>
      <c r="B7" t="s">
        <v>2</v>
      </c>
      <c r="C7">
        <v>31</v>
      </c>
      <c r="D7">
        <v>1</v>
      </c>
    </row>
    <row r="8" spans="1:4">
      <c r="A8" t="s">
        <v>242</v>
      </c>
      <c r="B8" t="s">
        <v>115</v>
      </c>
      <c r="C8">
        <v>31</v>
      </c>
      <c r="D8">
        <v>1</v>
      </c>
    </row>
    <row r="9" spans="1:4">
      <c r="A9" t="s">
        <v>249</v>
      </c>
      <c r="B9" t="s">
        <v>115</v>
      </c>
      <c r="C9">
        <v>31</v>
      </c>
      <c r="D9">
        <v>1</v>
      </c>
    </row>
    <row r="10" spans="1:4">
      <c r="A10" t="s">
        <v>246</v>
      </c>
      <c r="B10" t="s">
        <v>115</v>
      </c>
      <c r="C10">
        <v>31</v>
      </c>
      <c r="D10">
        <v>1</v>
      </c>
    </row>
    <row r="11" spans="1:4">
      <c r="A11" t="s">
        <v>244</v>
      </c>
      <c r="B11" t="s">
        <v>115</v>
      </c>
      <c r="C11">
        <v>31</v>
      </c>
      <c r="D11">
        <v>1</v>
      </c>
    </row>
    <row r="12" spans="1:4">
      <c r="A12" t="s">
        <v>238</v>
      </c>
      <c r="B12" t="s">
        <v>166</v>
      </c>
      <c r="C12">
        <v>31</v>
      </c>
      <c r="D12">
        <v>1</v>
      </c>
    </row>
    <row r="13" spans="1:4">
      <c r="A13" t="s">
        <v>241</v>
      </c>
      <c r="B13" t="s">
        <v>168</v>
      </c>
      <c r="C13">
        <v>31</v>
      </c>
      <c r="D13">
        <v>1</v>
      </c>
    </row>
    <row r="14" spans="1:4">
      <c r="A14" t="s">
        <v>244</v>
      </c>
      <c r="B14" t="s">
        <v>168</v>
      </c>
      <c r="C14">
        <v>31</v>
      </c>
      <c r="D14">
        <v>1</v>
      </c>
    </row>
    <row r="15" spans="1:4">
      <c r="A15" t="s">
        <v>245</v>
      </c>
      <c r="B15" t="s">
        <v>23</v>
      </c>
      <c r="C15">
        <v>32</v>
      </c>
      <c r="D15">
        <v>1</v>
      </c>
    </row>
    <row r="16" spans="1:4">
      <c r="A16" t="s">
        <v>243</v>
      </c>
      <c r="B16" t="s">
        <v>23</v>
      </c>
      <c r="C16">
        <v>32</v>
      </c>
      <c r="D16">
        <v>1</v>
      </c>
    </row>
    <row r="17" spans="1:4">
      <c r="A17" t="s">
        <v>244</v>
      </c>
      <c r="B17" t="s">
        <v>91</v>
      </c>
      <c r="C17">
        <v>32</v>
      </c>
      <c r="D17">
        <v>1</v>
      </c>
    </row>
    <row r="18" spans="1:4">
      <c r="A18" t="s">
        <v>246</v>
      </c>
      <c r="B18" t="s">
        <v>91</v>
      </c>
      <c r="C18">
        <v>32</v>
      </c>
      <c r="D18">
        <v>1</v>
      </c>
    </row>
    <row r="19" spans="1:4">
      <c r="A19" t="s">
        <v>244</v>
      </c>
      <c r="B19" t="s">
        <v>122</v>
      </c>
      <c r="C19">
        <v>32</v>
      </c>
      <c r="D19">
        <v>1</v>
      </c>
    </row>
    <row r="20" spans="1:4">
      <c r="A20" t="s">
        <v>247</v>
      </c>
      <c r="B20" t="s">
        <v>122</v>
      </c>
      <c r="C20">
        <v>32</v>
      </c>
      <c r="D20">
        <v>1</v>
      </c>
    </row>
    <row r="21" spans="1:4">
      <c r="A21" t="s">
        <v>240</v>
      </c>
      <c r="B21" t="s">
        <v>122</v>
      </c>
      <c r="C21">
        <v>32</v>
      </c>
      <c r="D21">
        <v>1</v>
      </c>
    </row>
    <row r="22" spans="1:4">
      <c r="A22" t="s">
        <v>243</v>
      </c>
      <c r="B22" t="s">
        <v>122</v>
      </c>
      <c r="C22">
        <v>32</v>
      </c>
      <c r="D22">
        <v>1</v>
      </c>
    </row>
    <row r="23" spans="1:4">
      <c r="A23" t="s">
        <v>239</v>
      </c>
      <c r="B23" t="s">
        <v>122</v>
      </c>
      <c r="C23">
        <v>32</v>
      </c>
      <c r="D23">
        <v>1</v>
      </c>
    </row>
    <row r="24" spans="1:4">
      <c r="A24" t="s">
        <v>246</v>
      </c>
      <c r="B24" t="s">
        <v>51</v>
      </c>
      <c r="C24">
        <v>33</v>
      </c>
      <c r="D24">
        <v>1</v>
      </c>
    </row>
    <row r="25" spans="1:4">
      <c r="A25" t="s">
        <v>243</v>
      </c>
      <c r="B25" t="s">
        <v>51</v>
      </c>
      <c r="C25">
        <v>33</v>
      </c>
      <c r="D25">
        <v>1</v>
      </c>
    </row>
    <row r="26" spans="1:4">
      <c r="A26" t="s">
        <v>239</v>
      </c>
      <c r="B26" t="s">
        <v>51</v>
      </c>
      <c r="C26">
        <v>33</v>
      </c>
      <c r="D26">
        <v>1</v>
      </c>
    </row>
    <row r="27" spans="1:4">
      <c r="A27" t="s">
        <v>239</v>
      </c>
      <c r="B27" t="s">
        <v>111</v>
      </c>
      <c r="C27">
        <v>33</v>
      </c>
      <c r="D27">
        <v>1</v>
      </c>
    </row>
    <row r="28" spans="1:4">
      <c r="A28" t="s">
        <v>240</v>
      </c>
      <c r="B28" t="s">
        <v>111</v>
      </c>
      <c r="C28">
        <v>33</v>
      </c>
      <c r="D28">
        <v>1</v>
      </c>
    </row>
    <row r="29" spans="1:4">
      <c r="A29" t="s">
        <v>244</v>
      </c>
      <c r="B29" t="s">
        <v>111</v>
      </c>
      <c r="C29">
        <v>33</v>
      </c>
      <c r="D29">
        <v>1</v>
      </c>
    </row>
    <row r="30" spans="1:4">
      <c r="A30" t="s">
        <v>243</v>
      </c>
      <c r="B30" t="s">
        <v>111</v>
      </c>
      <c r="C30">
        <v>33</v>
      </c>
      <c r="D30">
        <v>1</v>
      </c>
    </row>
    <row r="31" spans="1:4">
      <c r="A31" t="s">
        <v>240</v>
      </c>
      <c r="B31" t="s">
        <v>210</v>
      </c>
      <c r="C31">
        <v>33</v>
      </c>
      <c r="D31">
        <v>1</v>
      </c>
    </row>
    <row r="32" spans="1:4">
      <c r="A32" t="s">
        <v>247</v>
      </c>
      <c r="B32" t="s">
        <v>210</v>
      </c>
      <c r="C32">
        <v>33</v>
      </c>
      <c r="D32">
        <v>1</v>
      </c>
    </row>
    <row r="33" spans="1:4">
      <c r="A33" t="s">
        <v>238</v>
      </c>
      <c r="B33" t="s">
        <v>56</v>
      </c>
      <c r="C33">
        <v>34</v>
      </c>
      <c r="D33">
        <v>1</v>
      </c>
    </row>
    <row r="34" spans="1:4">
      <c r="A34" t="s">
        <v>245</v>
      </c>
      <c r="B34" t="s">
        <v>62</v>
      </c>
      <c r="C34">
        <v>34</v>
      </c>
      <c r="D34">
        <v>1</v>
      </c>
    </row>
    <row r="35" spans="1:4">
      <c r="A35" t="s">
        <v>244</v>
      </c>
      <c r="B35" t="s">
        <v>62</v>
      </c>
      <c r="C35">
        <v>34</v>
      </c>
      <c r="D35">
        <v>1</v>
      </c>
    </row>
    <row r="36" spans="1:4">
      <c r="A36" t="s">
        <v>249</v>
      </c>
      <c r="B36" t="s">
        <v>62</v>
      </c>
      <c r="C36">
        <v>34</v>
      </c>
      <c r="D36">
        <v>1</v>
      </c>
    </row>
    <row r="37" spans="1:4">
      <c r="A37" t="s">
        <v>249</v>
      </c>
      <c r="B37" t="s">
        <v>76</v>
      </c>
      <c r="C37">
        <v>34</v>
      </c>
      <c r="D37">
        <v>1</v>
      </c>
    </row>
    <row r="38" spans="1:4">
      <c r="A38" t="s">
        <v>246</v>
      </c>
      <c r="B38" t="s">
        <v>190</v>
      </c>
      <c r="C38">
        <v>34</v>
      </c>
      <c r="D38">
        <v>1</v>
      </c>
    </row>
    <row r="39" spans="1:4">
      <c r="A39" t="s">
        <v>244</v>
      </c>
      <c r="B39" t="s">
        <v>190</v>
      </c>
      <c r="C39">
        <v>34</v>
      </c>
      <c r="D39">
        <v>1</v>
      </c>
    </row>
    <row r="40" spans="1:4">
      <c r="A40" t="s">
        <v>239</v>
      </c>
      <c r="B40" t="s">
        <v>190</v>
      </c>
      <c r="C40">
        <v>34</v>
      </c>
      <c r="D40">
        <v>1</v>
      </c>
    </row>
    <row r="41" spans="1:4">
      <c r="A41" t="s">
        <v>239</v>
      </c>
      <c r="B41" t="s">
        <v>40</v>
      </c>
      <c r="C41">
        <v>35</v>
      </c>
      <c r="D41">
        <v>1</v>
      </c>
    </row>
    <row r="42" spans="1:4">
      <c r="A42" t="s">
        <v>244</v>
      </c>
      <c r="B42" t="s">
        <v>133</v>
      </c>
      <c r="C42">
        <v>35</v>
      </c>
      <c r="D42">
        <v>1</v>
      </c>
    </row>
    <row r="43" spans="1:4">
      <c r="A43" t="s">
        <v>238</v>
      </c>
      <c r="B43" t="s">
        <v>133</v>
      </c>
      <c r="C43">
        <v>35</v>
      </c>
      <c r="D43">
        <v>1</v>
      </c>
    </row>
    <row r="44" spans="1:4">
      <c r="A44" t="s">
        <v>240</v>
      </c>
      <c r="B44" t="s">
        <v>133</v>
      </c>
      <c r="C44">
        <v>35</v>
      </c>
      <c r="D44">
        <v>1</v>
      </c>
    </row>
    <row r="45" spans="1:4">
      <c r="A45" t="s">
        <v>243</v>
      </c>
      <c r="B45" t="s">
        <v>133</v>
      </c>
      <c r="C45">
        <v>35</v>
      </c>
      <c r="D45">
        <v>1</v>
      </c>
    </row>
    <row r="46" spans="1:4">
      <c r="A46" t="s">
        <v>239</v>
      </c>
      <c r="B46" t="s">
        <v>12</v>
      </c>
      <c r="C46">
        <v>36</v>
      </c>
      <c r="D46">
        <v>1</v>
      </c>
    </row>
    <row r="47" spans="1:4">
      <c r="A47" t="s">
        <v>238</v>
      </c>
      <c r="B47" t="s">
        <v>12</v>
      </c>
      <c r="C47">
        <v>36</v>
      </c>
      <c r="D47">
        <v>1</v>
      </c>
    </row>
    <row r="48" spans="1:4">
      <c r="A48" t="s">
        <v>243</v>
      </c>
      <c r="B48" t="s">
        <v>12</v>
      </c>
      <c r="C48">
        <v>36</v>
      </c>
      <c r="D48">
        <v>1</v>
      </c>
    </row>
    <row r="49" spans="1:4">
      <c r="A49" t="s">
        <v>242</v>
      </c>
      <c r="B49" t="s">
        <v>22</v>
      </c>
      <c r="C49">
        <v>36</v>
      </c>
      <c r="D49">
        <v>1</v>
      </c>
    </row>
    <row r="50" spans="1:4">
      <c r="A50" t="s">
        <v>246</v>
      </c>
      <c r="B50" t="s">
        <v>22</v>
      </c>
      <c r="C50">
        <v>36</v>
      </c>
      <c r="D50">
        <v>1</v>
      </c>
    </row>
    <row r="51" spans="1:4">
      <c r="A51" t="s">
        <v>244</v>
      </c>
      <c r="B51" t="s">
        <v>162</v>
      </c>
      <c r="C51">
        <v>36</v>
      </c>
      <c r="D51">
        <v>1</v>
      </c>
    </row>
    <row r="52" spans="1:4">
      <c r="A52" t="s">
        <v>240</v>
      </c>
      <c r="B52" t="s">
        <v>162</v>
      </c>
      <c r="C52">
        <v>36</v>
      </c>
      <c r="D52">
        <v>1</v>
      </c>
    </row>
    <row r="53" spans="1:4">
      <c r="A53" t="s">
        <v>247</v>
      </c>
      <c r="B53" t="s">
        <v>162</v>
      </c>
      <c r="C53">
        <v>36</v>
      </c>
      <c r="D53">
        <v>1</v>
      </c>
    </row>
    <row r="54" spans="1:4">
      <c r="A54" t="s">
        <v>239</v>
      </c>
      <c r="B54" t="s">
        <v>162</v>
      </c>
      <c r="C54">
        <v>36</v>
      </c>
      <c r="D54">
        <v>1</v>
      </c>
    </row>
    <row r="55" spans="1:4">
      <c r="A55" t="s">
        <v>242</v>
      </c>
      <c r="B55" t="s">
        <v>162</v>
      </c>
      <c r="C55">
        <v>36</v>
      </c>
      <c r="D55">
        <v>1</v>
      </c>
    </row>
    <row r="56" spans="1:4">
      <c r="A56" t="s">
        <v>238</v>
      </c>
      <c r="B56" t="s">
        <v>68</v>
      </c>
      <c r="C56">
        <v>37</v>
      </c>
      <c r="D56">
        <v>1</v>
      </c>
    </row>
    <row r="57" spans="1:4">
      <c r="A57" t="s">
        <v>242</v>
      </c>
      <c r="B57" t="s">
        <v>68</v>
      </c>
      <c r="C57">
        <v>37</v>
      </c>
      <c r="D57">
        <v>1</v>
      </c>
    </row>
    <row r="58" spans="1:4">
      <c r="A58" t="s">
        <v>244</v>
      </c>
      <c r="B58" t="s">
        <v>68</v>
      </c>
      <c r="C58">
        <v>37</v>
      </c>
      <c r="D58">
        <v>1</v>
      </c>
    </row>
    <row r="59" spans="1:4">
      <c r="A59" t="s">
        <v>239</v>
      </c>
      <c r="B59" t="s">
        <v>68</v>
      </c>
      <c r="C59">
        <v>37</v>
      </c>
      <c r="D59">
        <v>1</v>
      </c>
    </row>
    <row r="60" spans="1:4">
      <c r="A60" t="s">
        <v>243</v>
      </c>
      <c r="B60" t="s">
        <v>68</v>
      </c>
      <c r="C60">
        <v>37</v>
      </c>
      <c r="D60">
        <v>1</v>
      </c>
    </row>
    <row r="61" spans="1:4">
      <c r="A61" t="s">
        <v>244</v>
      </c>
      <c r="B61" t="s">
        <v>85</v>
      </c>
      <c r="C61">
        <v>37</v>
      </c>
      <c r="D61">
        <v>1</v>
      </c>
    </row>
    <row r="62" spans="1:4">
      <c r="A62" t="s">
        <v>246</v>
      </c>
      <c r="B62" t="s">
        <v>85</v>
      </c>
      <c r="C62">
        <v>37</v>
      </c>
      <c r="D62">
        <v>1</v>
      </c>
    </row>
    <row r="63" spans="1:4">
      <c r="A63" t="s">
        <v>239</v>
      </c>
      <c r="B63" t="s">
        <v>85</v>
      </c>
      <c r="C63">
        <v>37</v>
      </c>
      <c r="D63">
        <v>1</v>
      </c>
    </row>
    <row r="64" spans="1:4">
      <c r="A64" t="s">
        <v>243</v>
      </c>
      <c r="B64" t="s">
        <v>53</v>
      </c>
      <c r="C64">
        <v>38</v>
      </c>
      <c r="D64">
        <v>1</v>
      </c>
    </row>
    <row r="65" spans="1:4">
      <c r="A65" t="s">
        <v>239</v>
      </c>
      <c r="B65" t="s">
        <v>53</v>
      </c>
      <c r="C65">
        <v>38</v>
      </c>
      <c r="D65">
        <v>1</v>
      </c>
    </row>
    <row r="66" spans="1:4">
      <c r="A66" t="s">
        <v>240</v>
      </c>
      <c r="B66" t="s">
        <v>53</v>
      </c>
      <c r="C66">
        <v>38</v>
      </c>
      <c r="D66">
        <v>1</v>
      </c>
    </row>
    <row r="67" spans="1:4">
      <c r="A67" t="s">
        <v>238</v>
      </c>
      <c r="B67" t="s">
        <v>94</v>
      </c>
      <c r="C67">
        <v>38</v>
      </c>
      <c r="D67">
        <v>1</v>
      </c>
    </row>
    <row r="68" spans="1:4">
      <c r="A68" t="s">
        <v>245</v>
      </c>
      <c r="B68" t="s">
        <v>160</v>
      </c>
      <c r="C68">
        <v>38</v>
      </c>
      <c r="D68">
        <v>1</v>
      </c>
    </row>
    <row r="69" spans="1:4">
      <c r="A69" t="s">
        <v>239</v>
      </c>
      <c r="B69" t="s">
        <v>160</v>
      </c>
      <c r="C69">
        <v>38</v>
      </c>
      <c r="D69">
        <v>1</v>
      </c>
    </row>
    <row r="70" spans="1:4">
      <c r="A70" t="s">
        <v>240</v>
      </c>
      <c r="B70" t="s">
        <v>160</v>
      </c>
      <c r="C70">
        <v>38</v>
      </c>
      <c r="D70">
        <v>1</v>
      </c>
    </row>
    <row r="71" spans="1:4">
      <c r="A71" t="s">
        <v>243</v>
      </c>
      <c r="B71" t="s">
        <v>160</v>
      </c>
      <c r="C71">
        <v>38</v>
      </c>
      <c r="D71">
        <v>1</v>
      </c>
    </row>
    <row r="72" spans="1:4">
      <c r="A72" t="s">
        <v>241</v>
      </c>
      <c r="B72" t="s">
        <v>160</v>
      </c>
      <c r="C72">
        <v>38</v>
      </c>
      <c r="D72">
        <v>1</v>
      </c>
    </row>
    <row r="73" spans="1:4">
      <c r="A73" t="s">
        <v>238</v>
      </c>
      <c r="B73" t="s">
        <v>26</v>
      </c>
      <c r="C73">
        <v>39</v>
      </c>
      <c r="D73">
        <v>1</v>
      </c>
    </row>
    <row r="74" spans="1:4">
      <c r="A74" t="s">
        <v>242</v>
      </c>
      <c r="B74" t="s">
        <v>43</v>
      </c>
      <c r="C74">
        <v>39</v>
      </c>
      <c r="D74">
        <v>1</v>
      </c>
    </row>
    <row r="75" spans="1:4">
      <c r="A75" t="s">
        <v>241</v>
      </c>
      <c r="B75" t="s">
        <v>43</v>
      </c>
      <c r="C75">
        <v>39</v>
      </c>
      <c r="D75">
        <v>1</v>
      </c>
    </row>
    <row r="76" spans="1:4">
      <c r="A76" t="s">
        <v>242</v>
      </c>
      <c r="B76" t="s">
        <v>60</v>
      </c>
      <c r="C76">
        <v>39</v>
      </c>
      <c r="D76">
        <v>1</v>
      </c>
    </row>
    <row r="77" spans="1:4">
      <c r="A77" t="s">
        <v>243</v>
      </c>
      <c r="B77" t="s">
        <v>60</v>
      </c>
      <c r="C77">
        <v>39</v>
      </c>
      <c r="D77">
        <v>1</v>
      </c>
    </row>
    <row r="78" spans="1:4">
      <c r="A78" t="s">
        <v>245</v>
      </c>
      <c r="B78" t="s">
        <v>74</v>
      </c>
      <c r="C78">
        <v>39</v>
      </c>
      <c r="D78">
        <v>1</v>
      </c>
    </row>
    <row r="79" spans="1:4">
      <c r="A79" t="s">
        <v>244</v>
      </c>
      <c r="B79" t="s">
        <v>74</v>
      </c>
      <c r="C79">
        <v>39</v>
      </c>
      <c r="D79">
        <v>1</v>
      </c>
    </row>
    <row r="80" spans="1:4">
      <c r="A80" t="s">
        <v>251</v>
      </c>
      <c r="B80" t="s">
        <v>74</v>
      </c>
      <c r="C80">
        <v>39</v>
      </c>
      <c r="D80">
        <v>1</v>
      </c>
    </row>
    <row r="81" spans="1:4">
      <c r="A81" t="s">
        <v>243</v>
      </c>
      <c r="B81" t="s">
        <v>146</v>
      </c>
      <c r="C81">
        <v>39</v>
      </c>
      <c r="D81">
        <v>1</v>
      </c>
    </row>
    <row r="82" spans="1:4">
      <c r="A82" t="s">
        <v>244</v>
      </c>
      <c r="B82" t="s">
        <v>146</v>
      </c>
      <c r="C82">
        <v>39</v>
      </c>
      <c r="D82">
        <v>1</v>
      </c>
    </row>
    <row r="83" spans="1:4">
      <c r="A83" t="s">
        <v>240</v>
      </c>
      <c r="B83" t="s">
        <v>146</v>
      </c>
      <c r="C83">
        <v>39</v>
      </c>
      <c r="D83">
        <v>1</v>
      </c>
    </row>
    <row r="84" spans="1:4">
      <c r="A84" t="s">
        <v>245</v>
      </c>
      <c r="B84" t="s">
        <v>75</v>
      </c>
      <c r="C84">
        <v>40</v>
      </c>
      <c r="D84">
        <v>1</v>
      </c>
    </row>
    <row r="85" spans="1:4">
      <c r="A85" t="s">
        <v>239</v>
      </c>
      <c r="B85" t="s">
        <v>118</v>
      </c>
      <c r="C85">
        <v>40</v>
      </c>
      <c r="D85">
        <v>1</v>
      </c>
    </row>
    <row r="86" spans="1:4">
      <c r="A86" t="s">
        <v>248</v>
      </c>
      <c r="B86" t="s">
        <v>118</v>
      </c>
      <c r="C86">
        <v>40</v>
      </c>
      <c r="D86">
        <v>1</v>
      </c>
    </row>
    <row r="87" spans="1:4">
      <c r="A87" t="s">
        <v>249</v>
      </c>
      <c r="B87" t="s">
        <v>118</v>
      </c>
      <c r="C87">
        <v>40</v>
      </c>
      <c r="D87">
        <v>1</v>
      </c>
    </row>
    <row r="88" spans="1:4">
      <c r="A88" t="s">
        <v>241</v>
      </c>
      <c r="B88" t="s">
        <v>83</v>
      </c>
      <c r="C88">
        <v>41</v>
      </c>
      <c r="D88">
        <v>1</v>
      </c>
    </row>
    <row r="89" spans="1:4">
      <c r="A89" t="s">
        <v>238</v>
      </c>
      <c r="B89" t="s">
        <v>83</v>
      </c>
      <c r="C89">
        <v>41</v>
      </c>
      <c r="D89">
        <v>1</v>
      </c>
    </row>
    <row r="90" spans="1:4">
      <c r="A90" t="s">
        <v>243</v>
      </c>
      <c r="B90" t="s">
        <v>83</v>
      </c>
      <c r="C90">
        <v>41</v>
      </c>
      <c r="D90">
        <v>1</v>
      </c>
    </row>
    <row r="91" spans="1:4">
      <c r="A91" t="s">
        <v>241</v>
      </c>
      <c r="B91" t="s">
        <v>110</v>
      </c>
      <c r="C91">
        <v>42</v>
      </c>
      <c r="D91">
        <v>1</v>
      </c>
    </row>
    <row r="92" spans="1:4">
      <c r="A92" t="s">
        <v>239</v>
      </c>
      <c r="B92" t="s">
        <v>110</v>
      </c>
      <c r="C92">
        <v>42</v>
      </c>
      <c r="D92">
        <v>1</v>
      </c>
    </row>
    <row r="93" spans="1:4">
      <c r="A93" t="s">
        <v>246</v>
      </c>
      <c r="B93" t="s">
        <v>201</v>
      </c>
      <c r="C93">
        <v>42</v>
      </c>
      <c r="D93">
        <v>1</v>
      </c>
    </row>
    <row r="94" spans="1:4">
      <c r="A94" t="s">
        <v>244</v>
      </c>
      <c r="B94" t="s">
        <v>201</v>
      </c>
      <c r="C94">
        <v>42</v>
      </c>
      <c r="D94">
        <v>1</v>
      </c>
    </row>
    <row r="95" spans="1:4">
      <c r="A95" t="s">
        <v>251</v>
      </c>
      <c r="B95" t="s">
        <v>201</v>
      </c>
      <c r="C95">
        <v>42</v>
      </c>
      <c r="D95">
        <v>1</v>
      </c>
    </row>
    <row r="96" spans="1:4">
      <c r="A96" t="s">
        <v>238</v>
      </c>
      <c r="B96" t="s">
        <v>65</v>
      </c>
      <c r="C96">
        <v>43</v>
      </c>
      <c r="D96">
        <v>1</v>
      </c>
    </row>
    <row r="97" spans="1:4">
      <c r="A97" t="s">
        <v>243</v>
      </c>
      <c r="B97" t="s">
        <v>65</v>
      </c>
      <c r="C97">
        <v>43</v>
      </c>
      <c r="D97">
        <v>1</v>
      </c>
    </row>
    <row r="98" spans="1:4">
      <c r="A98" t="s">
        <v>242</v>
      </c>
      <c r="B98" t="s">
        <v>65</v>
      </c>
      <c r="C98">
        <v>43</v>
      </c>
      <c r="D98">
        <v>1</v>
      </c>
    </row>
    <row r="99" spans="1:4">
      <c r="A99" t="s">
        <v>240</v>
      </c>
      <c r="B99" t="s">
        <v>219</v>
      </c>
      <c r="C99">
        <v>43</v>
      </c>
      <c r="D99">
        <v>1</v>
      </c>
    </row>
    <row r="100" spans="1:4">
      <c r="A100" t="s">
        <v>242</v>
      </c>
      <c r="B100" t="s">
        <v>219</v>
      </c>
      <c r="C100">
        <v>43</v>
      </c>
      <c r="D100">
        <v>1</v>
      </c>
    </row>
    <row r="101" spans="1:4">
      <c r="A101" t="s">
        <v>238</v>
      </c>
      <c r="B101" t="s">
        <v>219</v>
      </c>
      <c r="C101">
        <v>43</v>
      </c>
      <c r="D101">
        <v>1</v>
      </c>
    </row>
    <row r="102" spans="1:4">
      <c r="A102" t="s">
        <v>239</v>
      </c>
      <c r="B102" t="s">
        <v>109</v>
      </c>
      <c r="C102">
        <v>44</v>
      </c>
      <c r="D102">
        <v>1</v>
      </c>
    </row>
    <row r="103" spans="1:4">
      <c r="A103" t="s">
        <v>238</v>
      </c>
      <c r="B103" t="s">
        <v>109</v>
      </c>
      <c r="C103">
        <v>44</v>
      </c>
      <c r="D103">
        <v>1</v>
      </c>
    </row>
    <row r="104" spans="1:4">
      <c r="A104" t="s">
        <v>243</v>
      </c>
      <c r="B104" t="s">
        <v>109</v>
      </c>
      <c r="C104">
        <v>44</v>
      </c>
      <c r="D104">
        <v>1</v>
      </c>
    </row>
    <row r="105" spans="1:4">
      <c r="A105" t="s">
        <v>240</v>
      </c>
      <c r="B105" t="s">
        <v>189</v>
      </c>
      <c r="C105">
        <v>44</v>
      </c>
      <c r="D105">
        <v>1</v>
      </c>
    </row>
    <row r="106" spans="1:4">
      <c r="A106" t="s">
        <v>244</v>
      </c>
      <c r="B106" t="s">
        <v>170</v>
      </c>
      <c r="C106">
        <v>45</v>
      </c>
      <c r="D106">
        <v>1</v>
      </c>
    </row>
    <row r="107" spans="1:4">
      <c r="A107" t="s">
        <v>238</v>
      </c>
      <c r="B107" t="s">
        <v>21</v>
      </c>
      <c r="C107">
        <v>46</v>
      </c>
      <c r="D107">
        <v>1</v>
      </c>
    </row>
    <row r="108" spans="1:4">
      <c r="A108" t="s">
        <v>238</v>
      </c>
      <c r="B108" t="s">
        <v>29</v>
      </c>
      <c r="C108">
        <v>46</v>
      </c>
      <c r="D108">
        <v>1</v>
      </c>
    </row>
    <row r="109" spans="1:4">
      <c r="A109" t="s">
        <v>240</v>
      </c>
      <c r="B109" t="s">
        <v>138</v>
      </c>
      <c r="C109">
        <v>46</v>
      </c>
      <c r="D109">
        <v>1</v>
      </c>
    </row>
    <row r="110" spans="1:4">
      <c r="A110" t="s">
        <v>238</v>
      </c>
      <c r="B110" t="s">
        <v>138</v>
      </c>
      <c r="C110">
        <v>46</v>
      </c>
      <c r="D110">
        <v>1</v>
      </c>
    </row>
    <row r="111" spans="1:4">
      <c r="A111" t="s">
        <v>244</v>
      </c>
      <c r="B111" t="s">
        <v>138</v>
      </c>
      <c r="C111">
        <v>46</v>
      </c>
      <c r="D111">
        <v>1</v>
      </c>
    </row>
    <row r="112" spans="1:4">
      <c r="A112" t="s">
        <v>239</v>
      </c>
      <c r="B112" t="s">
        <v>150</v>
      </c>
      <c r="C112">
        <v>46</v>
      </c>
      <c r="D112">
        <v>1</v>
      </c>
    </row>
    <row r="113" spans="1:4">
      <c r="A113" t="s">
        <v>238</v>
      </c>
      <c r="B113" t="s">
        <v>150</v>
      </c>
      <c r="C113">
        <v>46</v>
      </c>
      <c r="D113">
        <v>1</v>
      </c>
    </row>
    <row r="114" spans="1:4">
      <c r="A114" t="s">
        <v>240</v>
      </c>
      <c r="B114" t="s">
        <v>205</v>
      </c>
      <c r="C114">
        <v>47</v>
      </c>
      <c r="D114">
        <v>1</v>
      </c>
    </row>
    <row r="115" spans="1:4">
      <c r="A115" t="s">
        <v>249</v>
      </c>
      <c r="B115" t="s">
        <v>31</v>
      </c>
      <c r="C115">
        <v>48</v>
      </c>
      <c r="D115">
        <v>1</v>
      </c>
    </row>
    <row r="116" spans="1:4">
      <c r="A116" t="s">
        <v>242</v>
      </c>
      <c r="B116" t="s">
        <v>31</v>
      </c>
      <c r="C116">
        <v>48</v>
      </c>
      <c r="D116">
        <v>1</v>
      </c>
    </row>
    <row r="117" spans="1:4">
      <c r="A117" t="s">
        <v>242</v>
      </c>
      <c r="B117" t="s">
        <v>7</v>
      </c>
      <c r="C117">
        <v>49</v>
      </c>
      <c r="D117">
        <v>1</v>
      </c>
    </row>
    <row r="118" spans="1:4">
      <c r="A118" t="s">
        <v>240</v>
      </c>
      <c r="B118" t="s">
        <v>35</v>
      </c>
      <c r="C118">
        <v>49</v>
      </c>
      <c r="D118">
        <v>1</v>
      </c>
    </row>
    <row r="119" spans="1:4">
      <c r="A119" t="s">
        <v>243</v>
      </c>
      <c r="B119" t="s">
        <v>35</v>
      </c>
      <c r="C119">
        <v>49</v>
      </c>
      <c r="D119">
        <v>1</v>
      </c>
    </row>
    <row r="120" spans="1:4">
      <c r="A120" t="s">
        <v>242</v>
      </c>
      <c r="B120" t="s">
        <v>35</v>
      </c>
      <c r="C120">
        <v>49</v>
      </c>
      <c r="D120">
        <v>1</v>
      </c>
    </row>
    <row r="121" spans="1:4">
      <c r="A121" t="s">
        <v>239</v>
      </c>
      <c r="B121" t="s">
        <v>35</v>
      </c>
      <c r="C121">
        <v>49</v>
      </c>
      <c r="D121">
        <v>1</v>
      </c>
    </row>
    <row r="122" spans="1:4">
      <c r="A122" t="s">
        <v>252</v>
      </c>
      <c r="B122" t="s">
        <v>63</v>
      </c>
      <c r="C122">
        <v>49</v>
      </c>
      <c r="D122">
        <v>1</v>
      </c>
    </row>
    <row r="123" spans="1:4">
      <c r="A123" t="s">
        <v>244</v>
      </c>
      <c r="B123" t="s">
        <v>63</v>
      </c>
      <c r="C123">
        <v>49</v>
      </c>
      <c r="D123">
        <v>1</v>
      </c>
    </row>
    <row r="124" spans="1:4">
      <c r="A124" t="s">
        <v>244</v>
      </c>
      <c r="B124" t="s">
        <v>105</v>
      </c>
      <c r="C124">
        <v>49</v>
      </c>
      <c r="D124">
        <v>1</v>
      </c>
    </row>
    <row r="125" spans="1:4">
      <c r="A125" t="s">
        <v>238</v>
      </c>
      <c r="B125" t="s">
        <v>105</v>
      </c>
      <c r="C125">
        <v>49</v>
      </c>
      <c r="D125">
        <v>1</v>
      </c>
    </row>
    <row r="126" spans="1:4">
      <c r="A126" t="s">
        <v>248</v>
      </c>
      <c r="B126" t="s">
        <v>105</v>
      </c>
      <c r="C126">
        <v>49</v>
      </c>
      <c r="D126">
        <v>1</v>
      </c>
    </row>
    <row r="127" spans="1:4">
      <c r="A127" t="s">
        <v>244</v>
      </c>
      <c r="B127" t="s">
        <v>135</v>
      </c>
      <c r="C127">
        <v>49</v>
      </c>
      <c r="D127">
        <v>1</v>
      </c>
    </row>
    <row r="128" spans="1:4">
      <c r="A128" t="s">
        <v>240</v>
      </c>
      <c r="B128" t="s">
        <v>135</v>
      </c>
      <c r="C128">
        <v>49</v>
      </c>
      <c r="D128">
        <v>1</v>
      </c>
    </row>
    <row r="129" spans="1:4">
      <c r="A129" t="s">
        <v>239</v>
      </c>
      <c r="B129" t="s">
        <v>135</v>
      </c>
      <c r="C129">
        <v>49</v>
      </c>
      <c r="D129">
        <v>1</v>
      </c>
    </row>
    <row r="130" spans="1:4">
      <c r="A130" t="s">
        <v>252</v>
      </c>
      <c r="B130" t="s">
        <v>104</v>
      </c>
      <c r="C130">
        <v>50</v>
      </c>
      <c r="D130">
        <v>1</v>
      </c>
    </row>
    <row r="131" spans="1:4">
      <c r="A131" t="s">
        <v>239</v>
      </c>
      <c r="B131" t="s">
        <v>104</v>
      </c>
      <c r="C131">
        <v>50</v>
      </c>
      <c r="D131">
        <v>1</v>
      </c>
    </row>
    <row r="132" spans="1:4">
      <c r="A132" t="s">
        <v>240</v>
      </c>
      <c r="B132" t="s">
        <v>108</v>
      </c>
      <c r="C132">
        <v>50</v>
      </c>
      <c r="D132">
        <v>1</v>
      </c>
    </row>
    <row r="133" spans="1:4">
      <c r="A133" t="s">
        <v>244</v>
      </c>
      <c r="B133" t="s">
        <v>108</v>
      </c>
      <c r="C133">
        <v>50</v>
      </c>
      <c r="D133">
        <v>1</v>
      </c>
    </row>
    <row r="134" spans="1:4">
      <c r="A134" t="s">
        <v>242</v>
      </c>
      <c r="B134" t="s">
        <v>108</v>
      </c>
      <c r="C134">
        <v>50</v>
      </c>
      <c r="D134">
        <v>1</v>
      </c>
    </row>
    <row r="135" spans="1:4">
      <c r="A135" t="s">
        <v>241</v>
      </c>
      <c r="B135" t="s">
        <v>108</v>
      </c>
      <c r="C135">
        <v>50</v>
      </c>
      <c r="D135">
        <v>1</v>
      </c>
    </row>
    <row r="136" spans="1:4">
      <c r="A136" t="s">
        <v>241</v>
      </c>
      <c r="B136" t="s">
        <v>235</v>
      </c>
      <c r="C136">
        <v>50</v>
      </c>
      <c r="D136">
        <v>1</v>
      </c>
    </row>
    <row r="137" spans="1:4">
      <c r="A137" t="s">
        <v>247</v>
      </c>
      <c r="B137" t="s">
        <v>32</v>
      </c>
      <c r="C137">
        <v>51</v>
      </c>
      <c r="D137">
        <v>1</v>
      </c>
    </row>
    <row r="138" spans="1:4">
      <c r="A138" t="s">
        <v>238</v>
      </c>
      <c r="B138" t="s">
        <v>103</v>
      </c>
      <c r="C138">
        <v>51</v>
      </c>
      <c r="D138">
        <v>1</v>
      </c>
    </row>
    <row r="139" spans="1:4">
      <c r="A139" t="s">
        <v>239</v>
      </c>
      <c r="B139" t="s">
        <v>103</v>
      </c>
      <c r="C139">
        <v>51</v>
      </c>
      <c r="D139">
        <v>1</v>
      </c>
    </row>
    <row r="140" spans="1:4">
      <c r="A140" t="s">
        <v>244</v>
      </c>
      <c r="B140" t="s">
        <v>103</v>
      </c>
      <c r="C140">
        <v>51</v>
      </c>
      <c r="D140">
        <v>1</v>
      </c>
    </row>
    <row r="141" spans="1:4">
      <c r="A141" t="s">
        <v>246</v>
      </c>
      <c r="B141" t="s">
        <v>103</v>
      </c>
      <c r="C141">
        <v>51</v>
      </c>
      <c r="D141">
        <v>1</v>
      </c>
    </row>
    <row r="142" spans="1:4">
      <c r="A142" t="s">
        <v>243</v>
      </c>
      <c r="B142" t="s">
        <v>103</v>
      </c>
      <c r="C142">
        <v>51</v>
      </c>
      <c r="D142">
        <v>1</v>
      </c>
    </row>
    <row r="143" spans="1:4">
      <c r="A143" t="s">
        <v>245</v>
      </c>
      <c r="B143" t="s">
        <v>103</v>
      </c>
      <c r="C143">
        <v>51</v>
      </c>
      <c r="D143">
        <v>1</v>
      </c>
    </row>
    <row r="144" spans="1:4">
      <c r="A144" t="s">
        <v>238</v>
      </c>
      <c r="B144" t="s">
        <v>203</v>
      </c>
      <c r="C144">
        <v>51</v>
      </c>
      <c r="D144">
        <v>1</v>
      </c>
    </row>
    <row r="145" spans="1:4">
      <c r="A145" t="s">
        <v>242</v>
      </c>
      <c r="B145" t="s">
        <v>203</v>
      </c>
      <c r="C145">
        <v>51</v>
      </c>
      <c r="D145">
        <v>1</v>
      </c>
    </row>
    <row r="146" spans="1:4">
      <c r="A146" t="s">
        <v>246</v>
      </c>
      <c r="B146" t="s">
        <v>17</v>
      </c>
      <c r="C146">
        <v>52</v>
      </c>
      <c r="D146">
        <v>1</v>
      </c>
    </row>
    <row r="147" spans="1:4">
      <c r="A147" t="s">
        <v>240</v>
      </c>
      <c r="B147" t="s">
        <v>17</v>
      </c>
      <c r="C147">
        <v>52</v>
      </c>
      <c r="D147">
        <v>1</v>
      </c>
    </row>
    <row r="148" spans="1:4">
      <c r="A148" t="s">
        <v>249</v>
      </c>
      <c r="B148" t="s">
        <v>17</v>
      </c>
      <c r="C148">
        <v>52</v>
      </c>
      <c r="D148">
        <v>1</v>
      </c>
    </row>
    <row r="149" spans="1:4">
      <c r="A149" t="s">
        <v>238</v>
      </c>
      <c r="B149" t="s">
        <v>64</v>
      </c>
      <c r="C149">
        <v>52</v>
      </c>
      <c r="D149">
        <v>1</v>
      </c>
    </row>
    <row r="150" spans="1:4">
      <c r="A150" t="s">
        <v>242</v>
      </c>
      <c r="B150" t="s">
        <v>64</v>
      </c>
      <c r="C150">
        <v>52</v>
      </c>
      <c r="D150">
        <v>1</v>
      </c>
    </row>
    <row r="151" spans="1:4">
      <c r="A151" t="s">
        <v>239</v>
      </c>
      <c r="B151" t="s">
        <v>64</v>
      </c>
      <c r="C151">
        <v>52</v>
      </c>
      <c r="D151">
        <v>1</v>
      </c>
    </row>
    <row r="152" spans="1:4">
      <c r="A152" t="s">
        <v>240</v>
      </c>
      <c r="B152" t="s">
        <v>72</v>
      </c>
      <c r="C152">
        <v>52</v>
      </c>
      <c r="D152">
        <v>1</v>
      </c>
    </row>
    <row r="153" spans="1:4">
      <c r="A153" t="s">
        <v>241</v>
      </c>
      <c r="B153" t="s">
        <v>72</v>
      </c>
      <c r="C153">
        <v>52</v>
      </c>
      <c r="D153">
        <v>1</v>
      </c>
    </row>
    <row r="154" spans="1:4">
      <c r="A154" t="s">
        <v>238</v>
      </c>
      <c r="B154" t="s">
        <v>72</v>
      </c>
      <c r="C154">
        <v>52</v>
      </c>
      <c r="D154">
        <v>1</v>
      </c>
    </row>
    <row r="155" spans="1:4">
      <c r="A155" t="s">
        <v>242</v>
      </c>
      <c r="B155" t="s">
        <v>187</v>
      </c>
      <c r="C155">
        <v>52</v>
      </c>
      <c r="D155">
        <v>1</v>
      </c>
    </row>
    <row r="156" spans="1:4">
      <c r="A156" t="s">
        <v>243</v>
      </c>
      <c r="B156" t="s">
        <v>187</v>
      </c>
      <c r="C156">
        <v>52</v>
      </c>
      <c r="D156">
        <v>1</v>
      </c>
    </row>
    <row r="157" spans="1:4">
      <c r="A157" t="s">
        <v>243</v>
      </c>
      <c r="B157" t="s">
        <v>224</v>
      </c>
      <c r="C157">
        <v>53</v>
      </c>
      <c r="D157">
        <v>1</v>
      </c>
    </row>
    <row r="158" spans="1:4">
      <c r="A158" t="s">
        <v>238</v>
      </c>
      <c r="B158" t="s">
        <v>224</v>
      </c>
      <c r="C158">
        <v>53</v>
      </c>
      <c r="D158">
        <v>1</v>
      </c>
    </row>
    <row r="159" spans="1:4">
      <c r="A159" t="s">
        <v>245</v>
      </c>
      <c r="B159" t="s">
        <v>100</v>
      </c>
      <c r="C159">
        <v>54</v>
      </c>
      <c r="D159">
        <v>1</v>
      </c>
    </row>
    <row r="160" spans="1:4">
      <c r="A160" t="s">
        <v>249</v>
      </c>
      <c r="B160" t="s">
        <v>100</v>
      </c>
      <c r="C160">
        <v>54</v>
      </c>
      <c r="D160">
        <v>1</v>
      </c>
    </row>
    <row r="161" spans="1:4">
      <c r="A161" t="s">
        <v>244</v>
      </c>
      <c r="B161" t="s">
        <v>102</v>
      </c>
      <c r="C161">
        <v>54</v>
      </c>
      <c r="D161">
        <v>1</v>
      </c>
    </row>
    <row r="162" spans="1:4">
      <c r="A162" t="s">
        <v>244</v>
      </c>
      <c r="B162" t="s">
        <v>188</v>
      </c>
      <c r="C162">
        <v>54</v>
      </c>
      <c r="D162">
        <v>1</v>
      </c>
    </row>
    <row r="163" spans="1:4">
      <c r="A163" t="s">
        <v>238</v>
      </c>
      <c r="B163" t="s">
        <v>232</v>
      </c>
      <c r="C163">
        <v>54</v>
      </c>
      <c r="D163">
        <v>1</v>
      </c>
    </row>
    <row r="164" spans="1:4">
      <c r="A164" t="s">
        <v>241</v>
      </c>
      <c r="B164" t="s">
        <v>66</v>
      </c>
      <c r="C164">
        <v>55</v>
      </c>
      <c r="D164">
        <v>1</v>
      </c>
    </row>
    <row r="165" spans="1:4">
      <c r="A165" t="s">
        <v>242</v>
      </c>
      <c r="B165" t="s">
        <v>66</v>
      </c>
      <c r="C165">
        <v>55</v>
      </c>
      <c r="D165">
        <v>1</v>
      </c>
    </row>
    <row r="166" spans="1:4">
      <c r="A166" t="s">
        <v>240</v>
      </c>
      <c r="B166" t="s">
        <v>47</v>
      </c>
      <c r="C166">
        <v>56</v>
      </c>
      <c r="D166">
        <v>1</v>
      </c>
    </row>
    <row r="167" spans="1:4">
      <c r="A167" t="s">
        <v>246</v>
      </c>
      <c r="B167" t="s">
        <v>47</v>
      </c>
      <c r="C167">
        <v>56</v>
      </c>
      <c r="D167">
        <v>1</v>
      </c>
    </row>
    <row r="168" spans="1:4">
      <c r="A168" t="s">
        <v>242</v>
      </c>
      <c r="B168" t="s">
        <v>47</v>
      </c>
      <c r="C168">
        <v>56</v>
      </c>
      <c r="D168">
        <v>1</v>
      </c>
    </row>
    <row r="169" spans="1:4">
      <c r="A169" t="s">
        <v>241</v>
      </c>
      <c r="B169" t="s">
        <v>47</v>
      </c>
      <c r="C169">
        <v>56</v>
      </c>
      <c r="D169">
        <v>1</v>
      </c>
    </row>
    <row r="170" spans="1:4">
      <c r="A170" t="s">
        <v>238</v>
      </c>
      <c r="B170" t="s">
        <v>47</v>
      </c>
      <c r="C170">
        <v>56</v>
      </c>
      <c r="D170">
        <v>1</v>
      </c>
    </row>
    <row r="171" spans="1:4">
      <c r="A171" t="s">
        <v>241</v>
      </c>
      <c r="B171" t="s">
        <v>52</v>
      </c>
      <c r="C171">
        <v>56</v>
      </c>
      <c r="D171">
        <v>1</v>
      </c>
    </row>
    <row r="172" spans="1:4">
      <c r="A172" t="s">
        <v>245</v>
      </c>
      <c r="B172" t="s">
        <v>52</v>
      </c>
      <c r="C172">
        <v>56</v>
      </c>
      <c r="D172">
        <v>1</v>
      </c>
    </row>
    <row r="173" spans="1:4">
      <c r="A173" t="s">
        <v>242</v>
      </c>
      <c r="B173" t="s">
        <v>177</v>
      </c>
      <c r="C173">
        <v>56</v>
      </c>
      <c r="D173">
        <v>1</v>
      </c>
    </row>
    <row r="174" spans="1:4">
      <c r="A174" t="s">
        <v>240</v>
      </c>
      <c r="B174" t="s">
        <v>177</v>
      </c>
      <c r="C174">
        <v>56</v>
      </c>
      <c r="D174">
        <v>1</v>
      </c>
    </row>
    <row r="175" spans="1:4">
      <c r="A175" t="s">
        <v>243</v>
      </c>
      <c r="B175" t="s">
        <v>177</v>
      </c>
      <c r="C175">
        <v>56</v>
      </c>
      <c r="D175">
        <v>1</v>
      </c>
    </row>
    <row r="176" spans="1:4">
      <c r="A176" t="s">
        <v>244</v>
      </c>
      <c r="B176" t="s">
        <v>177</v>
      </c>
      <c r="C176">
        <v>56</v>
      </c>
      <c r="D176">
        <v>1</v>
      </c>
    </row>
    <row r="177" spans="1:4">
      <c r="A177" t="s">
        <v>243</v>
      </c>
      <c r="B177" t="s">
        <v>98</v>
      </c>
      <c r="C177">
        <v>57</v>
      </c>
      <c r="D177">
        <v>1</v>
      </c>
    </row>
    <row r="178" spans="1:4">
      <c r="A178" t="s">
        <v>243</v>
      </c>
      <c r="B178" t="s">
        <v>129</v>
      </c>
      <c r="C178">
        <v>57</v>
      </c>
      <c r="D178">
        <v>1</v>
      </c>
    </row>
    <row r="179" spans="1:4">
      <c r="A179" t="s">
        <v>246</v>
      </c>
      <c r="B179" t="s">
        <v>129</v>
      </c>
      <c r="C179">
        <v>57</v>
      </c>
      <c r="D179">
        <v>1</v>
      </c>
    </row>
    <row r="180" spans="1:4">
      <c r="A180" t="s">
        <v>239</v>
      </c>
      <c r="B180" t="s">
        <v>209</v>
      </c>
      <c r="C180">
        <v>57</v>
      </c>
      <c r="D180">
        <v>1</v>
      </c>
    </row>
    <row r="181" spans="1:4">
      <c r="A181" t="s">
        <v>243</v>
      </c>
      <c r="B181" t="s">
        <v>8</v>
      </c>
      <c r="C181">
        <v>58</v>
      </c>
      <c r="D181">
        <v>1</v>
      </c>
    </row>
    <row r="182" spans="1:4">
      <c r="A182" t="s">
        <v>244</v>
      </c>
      <c r="B182" t="s">
        <v>8</v>
      </c>
      <c r="C182">
        <v>58</v>
      </c>
      <c r="D182">
        <v>1</v>
      </c>
    </row>
    <row r="183" spans="1:4">
      <c r="A183" t="s">
        <v>247</v>
      </c>
      <c r="B183" t="s">
        <v>8</v>
      </c>
      <c r="C183">
        <v>58</v>
      </c>
      <c r="D183">
        <v>1</v>
      </c>
    </row>
    <row r="184" spans="1:4">
      <c r="A184" t="s">
        <v>245</v>
      </c>
      <c r="B184" t="s">
        <v>8</v>
      </c>
      <c r="C184">
        <v>58</v>
      </c>
      <c r="D184">
        <v>1</v>
      </c>
    </row>
    <row r="185" spans="1:4">
      <c r="A185" t="s">
        <v>241</v>
      </c>
      <c r="B185" t="s">
        <v>44</v>
      </c>
      <c r="C185">
        <v>58</v>
      </c>
      <c r="D185">
        <v>1</v>
      </c>
    </row>
    <row r="186" spans="1:4">
      <c r="A186" t="s">
        <v>240</v>
      </c>
      <c r="B186" t="s">
        <v>44</v>
      </c>
      <c r="C186">
        <v>58</v>
      </c>
      <c r="D186">
        <v>1</v>
      </c>
    </row>
    <row r="187" spans="1:4">
      <c r="A187" t="s">
        <v>243</v>
      </c>
      <c r="B187" t="s">
        <v>44</v>
      </c>
      <c r="C187">
        <v>58</v>
      </c>
      <c r="D187">
        <v>1</v>
      </c>
    </row>
    <row r="188" spans="1:4">
      <c r="A188" t="s">
        <v>243</v>
      </c>
      <c r="B188" t="s">
        <v>137</v>
      </c>
      <c r="C188">
        <v>58</v>
      </c>
      <c r="D188">
        <v>1</v>
      </c>
    </row>
    <row r="189" spans="1:4">
      <c r="A189" t="s">
        <v>241</v>
      </c>
      <c r="B189" t="s">
        <v>137</v>
      </c>
      <c r="C189">
        <v>58</v>
      </c>
      <c r="D189">
        <v>1</v>
      </c>
    </row>
    <row r="190" spans="1:4">
      <c r="A190" t="s">
        <v>238</v>
      </c>
      <c r="B190" t="s">
        <v>137</v>
      </c>
      <c r="C190">
        <v>58</v>
      </c>
      <c r="D190">
        <v>1</v>
      </c>
    </row>
    <row r="191" spans="1:4">
      <c r="A191" t="s">
        <v>239</v>
      </c>
      <c r="B191" t="s">
        <v>93</v>
      </c>
      <c r="C191">
        <v>59</v>
      </c>
      <c r="D191">
        <v>1</v>
      </c>
    </row>
    <row r="192" spans="1:4">
      <c r="A192" t="s">
        <v>243</v>
      </c>
      <c r="B192" t="s">
        <v>93</v>
      </c>
      <c r="C192">
        <v>59</v>
      </c>
      <c r="D192">
        <v>1</v>
      </c>
    </row>
    <row r="193" spans="1:4">
      <c r="A193" t="s">
        <v>245</v>
      </c>
      <c r="B193" t="s">
        <v>101</v>
      </c>
      <c r="C193">
        <v>59</v>
      </c>
      <c r="D193">
        <v>1</v>
      </c>
    </row>
    <row r="194" spans="1:4">
      <c r="A194" t="s">
        <v>244</v>
      </c>
      <c r="B194" t="s">
        <v>101</v>
      </c>
      <c r="C194">
        <v>59</v>
      </c>
      <c r="D194">
        <v>1</v>
      </c>
    </row>
    <row r="195" spans="1:4">
      <c r="A195" t="s">
        <v>246</v>
      </c>
      <c r="B195" t="s">
        <v>101</v>
      </c>
      <c r="C195">
        <v>59</v>
      </c>
      <c r="D195">
        <v>1</v>
      </c>
    </row>
    <row r="196" spans="1:4">
      <c r="A196" t="s">
        <v>252</v>
      </c>
      <c r="B196" t="s">
        <v>101</v>
      </c>
      <c r="C196">
        <v>59</v>
      </c>
      <c r="D196">
        <v>1</v>
      </c>
    </row>
    <row r="197" spans="1:4">
      <c r="A197" t="s">
        <v>240</v>
      </c>
      <c r="B197" t="s">
        <v>136</v>
      </c>
      <c r="C197">
        <v>59</v>
      </c>
      <c r="D197">
        <v>1</v>
      </c>
    </row>
    <row r="198" spans="1:4">
      <c r="A198" t="s">
        <v>242</v>
      </c>
      <c r="B198" t="s">
        <v>136</v>
      </c>
      <c r="C198">
        <v>59</v>
      </c>
      <c r="D198">
        <v>1</v>
      </c>
    </row>
    <row r="199" spans="1:4">
      <c r="A199" t="s">
        <v>238</v>
      </c>
      <c r="B199" t="s">
        <v>136</v>
      </c>
      <c r="C199">
        <v>59</v>
      </c>
      <c r="D199">
        <v>1</v>
      </c>
    </row>
    <row r="200" spans="1:4">
      <c r="A200" t="s">
        <v>241</v>
      </c>
      <c r="B200" t="s">
        <v>136</v>
      </c>
      <c r="C200">
        <v>59</v>
      </c>
      <c r="D200">
        <v>1</v>
      </c>
    </row>
    <row r="201" spans="1:4">
      <c r="A201" t="s">
        <v>243</v>
      </c>
      <c r="B201" t="s">
        <v>77</v>
      </c>
      <c r="C201">
        <v>60</v>
      </c>
      <c r="D201">
        <v>1</v>
      </c>
    </row>
    <row r="202" spans="1:4">
      <c r="A202" t="s">
        <v>240</v>
      </c>
      <c r="B202" t="s">
        <v>77</v>
      </c>
      <c r="C202">
        <v>60</v>
      </c>
      <c r="D202">
        <v>1</v>
      </c>
    </row>
    <row r="203" spans="1:4">
      <c r="A203" t="s">
        <v>238</v>
      </c>
      <c r="B203" t="s">
        <v>77</v>
      </c>
      <c r="C203">
        <v>60</v>
      </c>
      <c r="D203">
        <v>1</v>
      </c>
    </row>
    <row r="204" spans="1:4">
      <c r="A204" t="s">
        <v>239</v>
      </c>
      <c r="B204" t="s">
        <v>33</v>
      </c>
      <c r="C204">
        <v>61</v>
      </c>
      <c r="D204">
        <v>1</v>
      </c>
    </row>
    <row r="205" spans="1:4">
      <c r="A205" t="s">
        <v>240</v>
      </c>
      <c r="B205" t="s">
        <v>97</v>
      </c>
      <c r="C205">
        <v>61</v>
      </c>
      <c r="D205">
        <v>1</v>
      </c>
    </row>
    <row r="206" spans="1:4">
      <c r="A206" t="s">
        <v>239</v>
      </c>
      <c r="B206" t="s">
        <v>97</v>
      </c>
      <c r="C206">
        <v>61</v>
      </c>
      <c r="D206">
        <v>1</v>
      </c>
    </row>
    <row r="207" spans="1:4">
      <c r="A207" t="s">
        <v>242</v>
      </c>
      <c r="B207" t="s">
        <v>164</v>
      </c>
      <c r="C207">
        <v>61</v>
      </c>
      <c r="D207">
        <v>1</v>
      </c>
    </row>
    <row r="208" spans="1:4">
      <c r="A208" t="s">
        <v>238</v>
      </c>
      <c r="B208" t="s">
        <v>164</v>
      </c>
      <c r="C208">
        <v>61</v>
      </c>
      <c r="D208">
        <v>1</v>
      </c>
    </row>
    <row r="209" spans="1:4">
      <c r="A209" t="s">
        <v>238</v>
      </c>
      <c r="B209" t="s">
        <v>156</v>
      </c>
      <c r="C209">
        <v>62</v>
      </c>
      <c r="D209">
        <v>1</v>
      </c>
    </row>
    <row r="210" spans="1:4">
      <c r="A210" t="s">
        <v>239</v>
      </c>
      <c r="B210" t="s">
        <v>156</v>
      </c>
      <c r="C210">
        <v>62</v>
      </c>
      <c r="D210">
        <v>1</v>
      </c>
    </row>
    <row r="211" spans="1:4">
      <c r="A211" t="s">
        <v>245</v>
      </c>
      <c r="B211" t="s">
        <v>159</v>
      </c>
      <c r="C211">
        <v>63</v>
      </c>
      <c r="D211">
        <v>1</v>
      </c>
    </row>
    <row r="212" spans="1:4">
      <c r="A212" t="s">
        <v>244</v>
      </c>
      <c r="B212" t="s">
        <v>159</v>
      </c>
      <c r="C212">
        <v>63</v>
      </c>
      <c r="D212">
        <v>1</v>
      </c>
    </row>
    <row r="213" spans="1:4">
      <c r="A213" t="s">
        <v>244</v>
      </c>
      <c r="B213" t="s">
        <v>28</v>
      </c>
      <c r="C213">
        <v>64</v>
      </c>
      <c r="D213">
        <v>1</v>
      </c>
    </row>
    <row r="214" spans="1:4">
      <c r="A214" t="s">
        <v>238</v>
      </c>
      <c r="B214" t="s">
        <v>28</v>
      </c>
      <c r="C214">
        <v>64</v>
      </c>
      <c r="D214">
        <v>1</v>
      </c>
    </row>
    <row r="215" spans="1:4">
      <c r="A215" t="s">
        <v>241</v>
      </c>
      <c r="B215" t="s">
        <v>225</v>
      </c>
      <c r="C215">
        <v>64</v>
      </c>
      <c r="D215">
        <v>1</v>
      </c>
    </row>
    <row r="216" spans="1:4">
      <c r="A216" t="s">
        <v>243</v>
      </c>
      <c r="B216" t="s">
        <v>225</v>
      </c>
      <c r="C216">
        <v>64</v>
      </c>
      <c r="D216">
        <v>1</v>
      </c>
    </row>
    <row r="217" spans="1:4">
      <c r="A217" t="s">
        <v>248</v>
      </c>
      <c r="B217" t="s">
        <v>225</v>
      </c>
      <c r="C217">
        <v>64</v>
      </c>
      <c r="D217">
        <v>1</v>
      </c>
    </row>
    <row r="218" spans="1:4">
      <c r="A218" t="s">
        <v>252</v>
      </c>
      <c r="B218" t="s">
        <v>225</v>
      </c>
      <c r="C218">
        <v>64</v>
      </c>
      <c r="D218">
        <v>1</v>
      </c>
    </row>
    <row r="219" spans="1:4">
      <c r="A219" t="s">
        <v>238</v>
      </c>
      <c r="B219" t="s">
        <v>69</v>
      </c>
      <c r="C219">
        <v>65</v>
      </c>
      <c r="D219">
        <v>1</v>
      </c>
    </row>
    <row r="220" spans="1:4">
      <c r="A220" t="s">
        <v>240</v>
      </c>
      <c r="B220" t="s">
        <v>69</v>
      </c>
      <c r="C220">
        <v>65</v>
      </c>
      <c r="D220">
        <v>1</v>
      </c>
    </row>
    <row r="221" spans="1:4">
      <c r="A221" t="s">
        <v>242</v>
      </c>
      <c r="B221" t="s">
        <v>69</v>
      </c>
      <c r="C221">
        <v>65</v>
      </c>
      <c r="D221">
        <v>1</v>
      </c>
    </row>
    <row r="222" spans="1:4">
      <c r="A222" t="s">
        <v>240</v>
      </c>
      <c r="B222" t="s">
        <v>90</v>
      </c>
      <c r="C222">
        <v>65</v>
      </c>
      <c r="D222">
        <v>1</v>
      </c>
    </row>
    <row r="223" spans="1:4">
      <c r="A223" t="s">
        <v>239</v>
      </c>
      <c r="B223" t="s">
        <v>173</v>
      </c>
      <c r="C223">
        <v>65</v>
      </c>
      <c r="D223">
        <v>1</v>
      </c>
    </row>
    <row r="224" spans="1:4">
      <c r="A224" t="s">
        <v>241</v>
      </c>
      <c r="B224" t="s">
        <v>173</v>
      </c>
      <c r="C224">
        <v>65</v>
      </c>
      <c r="D224">
        <v>1</v>
      </c>
    </row>
    <row r="225" spans="1:4">
      <c r="A225" t="s">
        <v>238</v>
      </c>
      <c r="B225" t="s">
        <v>173</v>
      </c>
      <c r="C225">
        <v>65</v>
      </c>
      <c r="D225">
        <v>1</v>
      </c>
    </row>
    <row r="226" spans="1:4">
      <c r="A226" t="s">
        <v>244</v>
      </c>
      <c r="B226" t="s">
        <v>15</v>
      </c>
      <c r="C226">
        <v>66</v>
      </c>
      <c r="D226">
        <v>1</v>
      </c>
    </row>
    <row r="227" spans="1:4">
      <c r="A227" t="s">
        <v>239</v>
      </c>
      <c r="B227" t="s">
        <v>55</v>
      </c>
      <c r="C227">
        <v>66</v>
      </c>
      <c r="D227">
        <v>1</v>
      </c>
    </row>
    <row r="228" spans="1:4">
      <c r="A228" t="s">
        <v>244</v>
      </c>
      <c r="B228" t="s">
        <v>55</v>
      </c>
      <c r="C228">
        <v>66</v>
      </c>
      <c r="D228">
        <v>1</v>
      </c>
    </row>
    <row r="229" spans="1:4">
      <c r="A229" t="s">
        <v>244</v>
      </c>
      <c r="B229" t="s">
        <v>144</v>
      </c>
      <c r="C229">
        <v>66</v>
      </c>
      <c r="D229">
        <v>1</v>
      </c>
    </row>
    <row r="230" spans="1:4">
      <c r="A230" t="s">
        <v>244</v>
      </c>
      <c r="B230" t="s">
        <v>158</v>
      </c>
      <c r="C230">
        <v>66</v>
      </c>
      <c r="D230">
        <v>1</v>
      </c>
    </row>
    <row r="231" spans="1:4">
      <c r="A231" t="s">
        <v>239</v>
      </c>
      <c r="B231" t="s">
        <v>158</v>
      </c>
      <c r="C231">
        <v>66</v>
      </c>
      <c r="D231">
        <v>1</v>
      </c>
    </row>
    <row r="232" spans="1:4">
      <c r="A232" t="s">
        <v>238</v>
      </c>
      <c r="B232" t="s">
        <v>158</v>
      </c>
      <c r="C232">
        <v>66</v>
      </c>
      <c r="D232">
        <v>1</v>
      </c>
    </row>
    <row r="233" spans="1:4">
      <c r="A233" t="s">
        <v>244</v>
      </c>
      <c r="B233" t="s">
        <v>182</v>
      </c>
      <c r="C233">
        <v>67</v>
      </c>
      <c r="D233">
        <v>1</v>
      </c>
    </row>
    <row r="234" spans="1:4">
      <c r="A234" t="s">
        <v>241</v>
      </c>
      <c r="B234" t="s">
        <v>86</v>
      </c>
      <c r="C234">
        <v>68</v>
      </c>
      <c r="D234">
        <v>1</v>
      </c>
    </row>
    <row r="235" spans="1:4">
      <c r="A235" t="s">
        <v>244</v>
      </c>
      <c r="B235" t="s">
        <v>223</v>
      </c>
      <c r="C235">
        <v>68</v>
      </c>
      <c r="D235">
        <v>1</v>
      </c>
    </row>
    <row r="236" spans="1:4">
      <c r="A236" t="s">
        <v>242</v>
      </c>
      <c r="B236" t="s">
        <v>223</v>
      </c>
      <c r="C236">
        <v>68</v>
      </c>
      <c r="D236">
        <v>1</v>
      </c>
    </row>
    <row r="237" spans="1:4">
      <c r="A237" t="s">
        <v>243</v>
      </c>
      <c r="B237" t="s">
        <v>131</v>
      </c>
      <c r="C237">
        <v>69</v>
      </c>
      <c r="D237">
        <v>1</v>
      </c>
    </row>
    <row r="238" spans="1:4">
      <c r="A238" t="s">
        <v>242</v>
      </c>
      <c r="B238" t="s">
        <v>131</v>
      </c>
      <c r="C238">
        <v>69</v>
      </c>
      <c r="D238">
        <v>1</v>
      </c>
    </row>
    <row r="239" spans="1:4">
      <c r="A239" t="s">
        <v>243</v>
      </c>
      <c r="B239" t="s">
        <v>155</v>
      </c>
      <c r="C239">
        <v>69</v>
      </c>
      <c r="D239">
        <v>1</v>
      </c>
    </row>
    <row r="240" spans="1:4">
      <c r="A240" t="s">
        <v>241</v>
      </c>
      <c r="B240" t="s">
        <v>155</v>
      </c>
      <c r="C240">
        <v>69</v>
      </c>
      <c r="D240">
        <v>1</v>
      </c>
    </row>
    <row r="241" spans="1:4">
      <c r="A241" t="s">
        <v>242</v>
      </c>
      <c r="B241" t="s">
        <v>155</v>
      </c>
      <c r="C241">
        <v>69</v>
      </c>
      <c r="D241">
        <v>1</v>
      </c>
    </row>
    <row r="242" spans="1:4">
      <c r="A242" t="s">
        <v>252</v>
      </c>
      <c r="B242" t="s">
        <v>228</v>
      </c>
      <c r="C242">
        <v>70</v>
      </c>
      <c r="D242">
        <v>1</v>
      </c>
    </row>
    <row r="243" spans="1:4">
      <c r="A243" t="s">
        <v>246</v>
      </c>
      <c r="B243" t="s">
        <v>228</v>
      </c>
      <c r="C243">
        <v>70</v>
      </c>
      <c r="D243">
        <v>1</v>
      </c>
    </row>
    <row r="244" spans="1:4">
      <c r="A244" t="s">
        <v>242</v>
      </c>
      <c r="B244" t="s">
        <v>228</v>
      </c>
      <c r="C244">
        <v>70</v>
      </c>
      <c r="D244">
        <v>1</v>
      </c>
    </row>
    <row r="245" spans="1:4">
      <c r="A245" t="s">
        <v>244</v>
      </c>
      <c r="B245" t="s">
        <v>228</v>
      </c>
      <c r="C245">
        <v>70</v>
      </c>
      <c r="D245">
        <v>1</v>
      </c>
    </row>
    <row r="246" spans="1:4">
      <c r="A246" t="s">
        <v>246</v>
      </c>
      <c r="B246" t="s">
        <v>49</v>
      </c>
      <c r="C246">
        <v>71</v>
      </c>
      <c r="D246">
        <v>1</v>
      </c>
    </row>
    <row r="247" spans="1:4">
      <c r="A247" t="s">
        <v>239</v>
      </c>
      <c r="B247" t="s">
        <v>49</v>
      </c>
      <c r="C247">
        <v>71</v>
      </c>
      <c r="D247">
        <v>1</v>
      </c>
    </row>
    <row r="248" spans="1:4">
      <c r="A248" t="s">
        <v>238</v>
      </c>
      <c r="B248" t="s">
        <v>196</v>
      </c>
      <c r="C248">
        <v>71</v>
      </c>
      <c r="D248">
        <v>1</v>
      </c>
    </row>
    <row r="249" spans="1:4">
      <c r="A249" t="s">
        <v>240</v>
      </c>
      <c r="B249" t="s">
        <v>196</v>
      </c>
      <c r="C249">
        <v>71</v>
      </c>
      <c r="D249">
        <v>1</v>
      </c>
    </row>
    <row r="250" spans="1:4">
      <c r="A250" t="s">
        <v>239</v>
      </c>
      <c r="B250" t="s">
        <v>59</v>
      </c>
      <c r="C250">
        <v>72</v>
      </c>
      <c r="D250">
        <v>1</v>
      </c>
    </row>
    <row r="251" spans="1:4">
      <c r="A251" t="s">
        <v>245</v>
      </c>
      <c r="B251" t="s">
        <v>59</v>
      </c>
      <c r="C251">
        <v>72</v>
      </c>
      <c r="D251">
        <v>1</v>
      </c>
    </row>
    <row r="252" spans="1:4">
      <c r="A252" t="s">
        <v>242</v>
      </c>
      <c r="B252" t="s">
        <v>120</v>
      </c>
      <c r="C252">
        <v>72</v>
      </c>
      <c r="D252">
        <v>1</v>
      </c>
    </row>
    <row r="253" spans="1:4">
      <c r="A253" t="s">
        <v>243</v>
      </c>
      <c r="B253" t="s">
        <v>120</v>
      </c>
      <c r="C253">
        <v>72</v>
      </c>
      <c r="D253">
        <v>1</v>
      </c>
    </row>
    <row r="254" spans="1:4">
      <c r="A254" t="s">
        <v>239</v>
      </c>
      <c r="B254" t="s">
        <v>120</v>
      </c>
      <c r="C254">
        <v>72</v>
      </c>
      <c r="D254">
        <v>1</v>
      </c>
    </row>
    <row r="255" spans="1:4">
      <c r="A255" t="s">
        <v>240</v>
      </c>
      <c r="B255" t="s">
        <v>82</v>
      </c>
      <c r="C255">
        <v>73</v>
      </c>
      <c r="D255">
        <v>1</v>
      </c>
    </row>
    <row r="256" spans="1:4">
      <c r="A256" t="s">
        <v>238</v>
      </c>
      <c r="B256" t="s">
        <v>82</v>
      </c>
      <c r="C256">
        <v>73</v>
      </c>
      <c r="D256">
        <v>1</v>
      </c>
    </row>
    <row r="257" spans="1:4">
      <c r="A257" t="s">
        <v>244</v>
      </c>
      <c r="B257" t="s">
        <v>82</v>
      </c>
      <c r="C257">
        <v>73</v>
      </c>
      <c r="D257">
        <v>1</v>
      </c>
    </row>
    <row r="258" spans="1:4">
      <c r="A258" t="s">
        <v>243</v>
      </c>
      <c r="B258" t="s">
        <v>82</v>
      </c>
      <c r="C258">
        <v>73</v>
      </c>
      <c r="D258">
        <v>1</v>
      </c>
    </row>
    <row r="259" spans="1:4">
      <c r="A259" t="s">
        <v>245</v>
      </c>
      <c r="B259" t="s">
        <v>192</v>
      </c>
      <c r="C259">
        <v>74</v>
      </c>
      <c r="D259">
        <v>1</v>
      </c>
    </row>
    <row r="260" spans="1:4">
      <c r="A260" t="s">
        <v>239</v>
      </c>
      <c r="B260" t="s">
        <v>192</v>
      </c>
      <c r="C260">
        <v>74</v>
      </c>
      <c r="D260">
        <v>1</v>
      </c>
    </row>
    <row r="261" spans="1:4">
      <c r="A261" t="s">
        <v>242</v>
      </c>
      <c r="B261" t="s">
        <v>192</v>
      </c>
      <c r="C261">
        <v>74</v>
      </c>
      <c r="D261">
        <v>1</v>
      </c>
    </row>
    <row r="262" spans="1:4">
      <c r="A262" t="s">
        <v>239</v>
      </c>
      <c r="B262" t="s">
        <v>229</v>
      </c>
      <c r="C262">
        <v>74</v>
      </c>
      <c r="D262">
        <v>1</v>
      </c>
    </row>
    <row r="263" spans="1:4">
      <c r="A263" t="s">
        <v>244</v>
      </c>
      <c r="B263" t="s">
        <v>229</v>
      </c>
      <c r="C263">
        <v>74</v>
      </c>
      <c r="D263">
        <v>1</v>
      </c>
    </row>
    <row r="264" spans="1:4">
      <c r="A264" t="s">
        <v>252</v>
      </c>
      <c r="B264" t="s">
        <v>229</v>
      </c>
      <c r="C264">
        <v>74</v>
      </c>
      <c r="D264">
        <v>1</v>
      </c>
    </row>
    <row r="265" spans="1:4">
      <c r="A265" t="s">
        <v>238</v>
      </c>
      <c r="B265" t="s">
        <v>3</v>
      </c>
      <c r="C265">
        <v>75</v>
      </c>
      <c r="D265">
        <v>1</v>
      </c>
    </row>
    <row r="266" spans="1:4">
      <c r="A266" t="s">
        <v>243</v>
      </c>
      <c r="B266" t="s">
        <v>3</v>
      </c>
      <c r="C266">
        <v>75</v>
      </c>
      <c r="D266">
        <v>1</v>
      </c>
    </row>
    <row r="267" spans="1:4">
      <c r="A267" t="s">
        <v>244</v>
      </c>
      <c r="B267" t="s">
        <v>3</v>
      </c>
      <c r="C267">
        <v>75</v>
      </c>
      <c r="D267">
        <v>1</v>
      </c>
    </row>
    <row r="268" spans="1:4">
      <c r="A268" t="s">
        <v>240</v>
      </c>
      <c r="B268" t="s">
        <v>18</v>
      </c>
      <c r="C268">
        <v>75</v>
      </c>
      <c r="D268">
        <v>1</v>
      </c>
    </row>
    <row r="269" spans="1:4">
      <c r="A269" t="s">
        <v>244</v>
      </c>
      <c r="B269" t="s">
        <v>18</v>
      </c>
      <c r="C269">
        <v>75</v>
      </c>
      <c r="D269">
        <v>1</v>
      </c>
    </row>
    <row r="270" spans="1:4">
      <c r="A270" t="s">
        <v>247</v>
      </c>
      <c r="B270" t="s">
        <v>18</v>
      </c>
      <c r="C270">
        <v>75</v>
      </c>
      <c r="D270">
        <v>1</v>
      </c>
    </row>
    <row r="271" spans="1:4">
      <c r="A271" t="s">
        <v>243</v>
      </c>
      <c r="B271" t="s">
        <v>73</v>
      </c>
      <c r="C271">
        <v>75</v>
      </c>
      <c r="D271">
        <v>1</v>
      </c>
    </row>
    <row r="272" spans="1:4">
      <c r="A272" t="s">
        <v>244</v>
      </c>
      <c r="B272" t="s">
        <v>73</v>
      </c>
      <c r="C272">
        <v>75</v>
      </c>
      <c r="D272">
        <v>1</v>
      </c>
    </row>
    <row r="273" spans="1:4">
      <c r="A273" t="s">
        <v>249</v>
      </c>
      <c r="B273" t="s">
        <v>73</v>
      </c>
      <c r="C273">
        <v>75</v>
      </c>
      <c r="D273">
        <v>1</v>
      </c>
    </row>
    <row r="274" spans="1:4">
      <c r="A274" t="s">
        <v>243</v>
      </c>
      <c r="B274" t="s">
        <v>99</v>
      </c>
      <c r="C274">
        <v>75</v>
      </c>
      <c r="D274">
        <v>1</v>
      </c>
    </row>
    <row r="275" spans="1:4">
      <c r="A275" t="s">
        <v>242</v>
      </c>
      <c r="B275" t="s">
        <v>99</v>
      </c>
      <c r="C275">
        <v>75</v>
      </c>
      <c r="D275">
        <v>1</v>
      </c>
    </row>
    <row r="276" spans="1:4">
      <c r="A276" t="s">
        <v>245</v>
      </c>
      <c r="B276" t="s">
        <v>161</v>
      </c>
      <c r="C276">
        <v>75</v>
      </c>
      <c r="D276">
        <v>1</v>
      </c>
    </row>
    <row r="277" spans="1:4">
      <c r="A277" t="s">
        <v>249</v>
      </c>
      <c r="B277" t="s">
        <v>161</v>
      </c>
      <c r="C277">
        <v>75</v>
      </c>
      <c r="D277">
        <v>1</v>
      </c>
    </row>
    <row r="278" spans="1:4">
      <c r="A278" t="s">
        <v>243</v>
      </c>
      <c r="B278" t="s">
        <v>161</v>
      </c>
      <c r="C278">
        <v>75</v>
      </c>
      <c r="D278">
        <v>1</v>
      </c>
    </row>
    <row r="279" spans="1:4">
      <c r="A279" t="s">
        <v>239</v>
      </c>
      <c r="B279" t="s">
        <v>161</v>
      </c>
      <c r="C279">
        <v>75</v>
      </c>
      <c r="D279">
        <v>1</v>
      </c>
    </row>
    <row r="280" spans="1:4">
      <c r="A280" t="s">
        <v>244</v>
      </c>
      <c r="B280" t="s">
        <v>198</v>
      </c>
      <c r="C280">
        <v>75</v>
      </c>
      <c r="D280">
        <v>1</v>
      </c>
    </row>
    <row r="281" spans="1:4">
      <c r="A281" t="s">
        <v>246</v>
      </c>
      <c r="B281" t="s">
        <v>198</v>
      </c>
      <c r="C281">
        <v>75</v>
      </c>
      <c r="D281">
        <v>1</v>
      </c>
    </row>
    <row r="282" spans="1:4">
      <c r="A282" t="s">
        <v>243</v>
      </c>
      <c r="B282" t="s">
        <v>198</v>
      </c>
      <c r="C282">
        <v>75</v>
      </c>
      <c r="D282">
        <v>1</v>
      </c>
    </row>
    <row r="283" spans="1:4">
      <c r="A283" t="s">
        <v>242</v>
      </c>
      <c r="B283" t="s">
        <v>198</v>
      </c>
      <c r="C283">
        <v>75</v>
      </c>
      <c r="D283">
        <v>1</v>
      </c>
    </row>
    <row r="284" spans="1:4">
      <c r="A284" t="s">
        <v>244</v>
      </c>
      <c r="B284" t="s">
        <v>117</v>
      </c>
      <c r="C284">
        <v>76</v>
      </c>
      <c r="D284">
        <v>1</v>
      </c>
    </row>
    <row r="285" spans="1:4">
      <c r="A285" t="s">
        <v>246</v>
      </c>
      <c r="B285" t="s">
        <v>117</v>
      </c>
      <c r="C285">
        <v>76</v>
      </c>
      <c r="D285">
        <v>1</v>
      </c>
    </row>
    <row r="286" spans="1:4">
      <c r="A286" t="s">
        <v>249</v>
      </c>
      <c r="B286" t="s">
        <v>117</v>
      </c>
      <c r="C286">
        <v>76</v>
      </c>
      <c r="D286">
        <v>1</v>
      </c>
    </row>
    <row r="287" spans="1:4">
      <c r="A287" t="s">
        <v>238</v>
      </c>
      <c r="B287" t="s">
        <v>181</v>
      </c>
      <c r="C287">
        <v>76</v>
      </c>
      <c r="D287">
        <v>1</v>
      </c>
    </row>
    <row r="288" spans="1:4">
      <c r="A288" t="s">
        <v>244</v>
      </c>
      <c r="B288" t="s">
        <v>4</v>
      </c>
      <c r="C288">
        <v>77</v>
      </c>
      <c r="D288">
        <v>1</v>
      </c>
    </row>
    <row r="289" spans="1:4">
      <c r="A289" t="s">
        <v>245</v>
      </c>
      <c r="B289" t="s">
        <v>4</v>
      </c>
      <c r="C289">
        <v>77</v>
      </c>
      <c r="D289">
        <v>1</v>
      </c>
    </row>
    <row r="290" spans="1:4">
      <c r="A290" t="s">
        <v>246</v>
      </c>
      <c r="B290" t="s">
        <v>4</v>
      </c>
      <c r="C290">
        <v>77</v>
      </c>
      <c r="D290">
        <v>1</v>
      </c>
    </row>
    <row r="291" spans="1:4">
      <c r="A291" t="s">
        <v>244</v>
      </c>
      <c r="B291" t="s">
        <v>30</v>
      </c>
      <c r="C291">
        <v>78</v>
      </c>
      <c r="D291">
        <v>1</v>
      </c>
    </row>
    <row r="292" spans="1:4">
      <c r="A292" t="s">
        <v>242</v>
      </c>
      <c r="B292" t="s">
        <v>30</v>
      </c>
      <c r="C292">
        <v>78</v>
      </c>
      <c r="D292">
        <v>1</v>
      </c>
    </row>
    <row r="293" spans="1:4">
      <c r="A293" t="s">
        <v>242</v>
      </c>
      <c r="B293" t="s">
        <v>42</v>
      </c>
      <c r="C293">
        <v>78</v>
      </c>
      <c r="D293">
        <v>1</v>
      </c>
    </row>
    <row r="294" spans="1:4">
      <c r="A294" t="s">
        <v>240</v>
      </c>
      <c r="B294" t="s">
        <v>42</v>
      </c>
      <c r="C294">
        <v>78</v>
      </c>
      <c r="D294">
        <v>1</v>
      </c>
    </row>
    <row r="295" spans="1:4">
      <c r="A295" t="s">
        <v>241</v>
      </c>
      <c r="B295" t="s">
        <v>42</v>
      </c>
      <c r="C295">
        <v>78</v>
      </c>
      <c r="D295">
        <v>1</v>
      </c>
    </row>
    <row r="296" spans="1:4">
      <c r="A296" t="s">
        <v>238</v>
      </c>
      <c r="B296" t="s">
        <v>48</v>
      </c>
      <c r="C296">
        <v>78</v>
      </c>
      <c r="D296">
        <v>1</v>
      </c>
    </row>
    <row r="297" spans="1:4">
      <c r="A297" t="s">
        <v>240</v>
      </c>
      <c r="B297" t="s">
        <v>70</v>
      </c>
      <c r="C297">
        <v>78</v>
      </c>
      <c r="D297">
        <v>1</v>
      </c>
    </row>
    <row r="298" spans="1:4">
      <c r="A298" t="s">
        <v>239</v>
      </c>
      <c r="B298" t="s">
        <v>70</v>
      </c>
      <c r="C298">
        <v>78</v>
      </c>
      <c r="D298">
        <v>1</v>
      </c>
    </row>
    <row r="299" spans="1:4">
      <c r="A299" t="s">
        <v>244</v>
      </c>
      <c r="B299" t="s">
        <v>154</v>
      </c>
      <c r="C299">
        <v>78</v>
      </c>
      <c r="D299">
        <v>1</v>
      </c>
    </row>
    <row r="300" spans="1:4">
      <c r="A300" t="s">
        <v>249</v>
      </c>
      <c r="B300" t="s">
        <v>154</v>
      </c>
      <c r="C300">
        <v>78</v>
      </c>
      <c r="D300">
        <v>1</v>
      </c>
    </row>
    <row r="301" spans="1:4">
      <c r="A301" t="s">
        <v>239</v>
      </c>
      <c r="B301" t="s">
        <v>217</v>
      </c>
      <c r="C301">
        <v>78</v>
      </c>
      <c r="D301">
        <v>1</v>
      </c>
    </row>
    <row r="302" spans="1:4">
      <c r="A302" t="s">
        <v>244</v>
      </c>
      <c r="B302" t="s">
        <v>96</v>
      </c>
      <c r="C302">
        <v>79</v>
      </c>
      <c r="D302">
        <v>1</v>
      </c>
    </row>
    <row r="303" spans="1:4">
      <c r="A303" t="s">
        <v>252</v>
      </c>
      <c r="B303" t="s">
        <v>180</v>
      </c>
      <c r="C303">
        <v>79</v>
      </c>
      <c r="D303">
        <v>1</v>
      </c>
    </row>
    <row r="304" spans="1:4">
      <c r="A304" t="s">
        <v>240</v>
      </c>
      <c r="B304" t="s">
        <v>176</v>
      </c>
      <c r="C304">
        <v>80</v>
      </c>
      <c r="D304">
        <v>1</v>
      </c>
    </row>
    <row r="305" spans="1:4">
      <c r="A305" t="s">
        <v>238</v>
      </c>
      <c r="B305" t="s">
        <v>176</v>
      </c>
      <c r="C305">
        <v>80</v>
      </c>
      <c r="D305">
        <v>1</v>
      </c>
    </row>
    <row r="306" spans="1:4">
      <c r="A306" t="s">
        <v>249</v>
      </c>
      <c r="B306" t="s">
        <v>220</v>
      </c>
      <c r="C306">
        <v>80</v>
      </c>
      <c r="D306">
        <v>1</v>
      </c>
    </row>
    <row r="307" spans="1:4">
      <c r="A307" t="s">
        <v>243</v>
      </c>
      <c r="B307" t="s">
        <v>220</v>
      </c>
      <c r="C307">
        <v>80</v>
      </c>
      <c r="D307">
        <v>1</v>
      </c>
    </row>
    <row r="308" spans="1:4">
      <c r="A308" t="s">
        <v>240</v>
      </c>
      <c r="B308" t="s">
        <v>61</v>
      </c>
      <c r="C308">
        <v>81</v>
      </c>
      <c r="D308">
        <v>1</v>
      </c>
    </row>
    <row r="309" spans="1:4">
      <c r="A309" t="s">
        <v>238</v>
      </c>
      <c r="B309" t="s">
        <v>61</v>
      </c>
      <c r="C309">
        <v>81</v>
      </c>
      <c r="D309">
        <v>1</v>
      </c>
    </row>
    <row r="310" spans="1:4">
      <c r="A310" t="s">
        <v>238</v>
      </c>
      <c r="B310" t="s">
        <v>80</v>
      </c>
      <c r="C310">
        <v>81</v>
      </c>
      <c r="D310">
        <v>1</v>
      </c>
    </row>
    <row r="311" spans="1:4">
      <c r="A311" t="s">
        <v>242</v>
      </c>
      <c r="B311" t="s">
        <v>80</v>
      </c>
      <c r="C311">
        <v>81</v>
      </c>
      <c r="D311">
        <v>1</v>
      </c>
    </row>
    <row r="312" spans="1:4">
      <c r="A312" t="s">
        <v>244</v>
      </c>
      <c r="B312" t="s">
        <v>80</v>
      </c>
      <c r="C312">
        <v>81</v>
      </c>
      <c r="D312">
        <v>1</v>
      </c>
    </row>
    <row r="313" spans="1:4">
      <c r="A313" t="s">
        <v>241</v>
      </c>
      <c r="B313" t="s">
        <v>208</v>
      </c>
      <c r="C313">
        <v>81</v>
      </c>
      <c r="D313">
        <v>1</v>
      </c>
    </row>
    <row r="314" spans="1:4">
      <c r="A314" t="s">
        <v>244</v>
      </c>
      <c r="B314" t="s">
        <v>208</v>
      </c>
      <c r="C314">
        <v>81</v>
      </c>
      <c r="D314">
        <v>1</v>
      </c>
    </row>
    <row r="315" spans="1:4">
      <c r="A315" t="s">
        <v>243</v>
      </c>
      <c r="B315" t="s">
        <v>184</v>
      </c>
      <c r="C315">
        <v>82</v>
      </c>
      <c r="D315">
        <v>1</v>
      </c>
    </row>
    <row r="316" spans="1:4">
      <c r="A316" t="s">
        <v>238</v>
      </c>
      <c r="B316" t="s">
        <v>212</v>
      </c>
      <c r="C316">
        <v>82</v>
      </c>
      <c r="D316">
        <v>1</v>
      </c>
    </row>
    <row r="317" spans="1:4">
      <c r="A317" t="s">
        <v>244</v>
      </c>
      <c r="B317" t="s">
        <v>212</v>
      </c>
      <c r="C317">
        <v>82</v>
      </c>
      <c r="D317">
        <v>1</v>
      </c>
    </row>
    <row r="318" spans="1:4">
      <c r="A318" t="s">
        <v>238</v>
      </c>
      <c r="B318" t="s">
        <v>6</v>
      </c>
      <c r="C318">
        <v>83</v>
      </c>
      <c r="D318">
        <v>1</v>
      </c>
    </row>
    <row r="319" spans="1:4">
      <c r="A319" t="s">
        <v>244</v>
      </c>
      <c r="B319" t="s">
        <v>6</v>
      </c>
      <c r="C319">
        <v>83</v>
      </c>
      <c r="D319">
        <v>1</v>
      </c>
    </row>
    <row r="320" spans="1:4">
      <c r="A320" t="s">
        <v>243</v>
      </c>
      <c r="B320" t="s">
        <v>233</v>
      </c>
      <c r="C320">
        <v>83</v>
      </c>
      <c r="D320">
        <v>1</v>
      </c>
    </row>
    <row r="321" spans="1:4">
      <c r="A321" t="s">
        <v>238</v>
      </c>
      <c r="B321" t="s">
        <v>233</v>
      </c>
      <c r="C321">
        <v>83</v>
      </c>
      <c r="D321">
        <v>1</v>
      </c>
    </row>
    <row r="322" spans="1:4">
      <c r="A322" t="s">
        <v>242</v>
      </c>
      <c r="B322" t="s">
        <v>233</v>
      </c>
      <c r="C322">
        <v>83</v>
      </c>
      <c r="D322">
        <v>1</v>
      </c>
    </row>
    <row r="323" spans="1:4">
      <c r="A323" t="s">
        <v>240</v>
      </c>
      <c r="B323" t="s">
        <v>233</v>
      </c>
      <c r="C323">
        <v>83</v>
      </c>
      <c r="D323">
        <v>1</v>
      </c>
    </row>
    <row r="324" spans="1:4">
      <c r="A324" t="s">
        <v>241</v>
      </c>
      <c r="B324" t="s">
        <v>233</v>
      </c>
      <c r="C324">
        <v>83</v>
      </c>
      <c r="D324">
        <v>1</v>
      </c>
    </row>
    <row r="325" spans="1:4">
      <c r="A325" t="s">
        <v>238</v>
      </c>
      <c r="B325" t="s">
        <v>197</v>
      </c>
      <c r="C325">
        <v>84</v>
      </c>
      <c r="D325">
        <v>1</v>
      </c>
    </row>
    <row r="326" spans="1:4">
      <c r="A326" t="s">
        <v>240</v>
      </c>
      <c r="B326" t="s">
        <v>197</v>
      </c>
      <c r="C326">
        <v>84</v>
      </c>
      <c r="D326">
        <v>1</v>
      </c>
    </row>
    <row r="327" spans="1:4">
      <c r="A327" t="s">
        <v>244</v>
      </c>
      <c r="B327" t="s">
        <v>197</v>
      </c>
      <c r="C327">
        <v>84</v>
      </c>
      <c r="D327">
        <v>1</v>
      </c>
    </row>
    <row r="328" spans="1:4">
      <c r="A328" t="s">
        <v>243</v>
      </c>
      <c r="B328" t="s">
        <v>24</v>
      </c>
      <c r="C328">
        <v>85</v>
      </c>
      <c r="D328">
        <v>1</v>
      </c>
    </row>
    <row r="329" spans="1:4">
      <c r="A329" t="s">
        <v>244</v>
      </c>
      <c r="B329" t="s">
        <v>38</v>
      </c>
      <c r="C329">
        <v>85</v>
      </c>
      <c r="D329">
        <v>1</v>
      </c>
    </row>
    <row r="330" spans="1:4">
      <c r="A330" t="s">
        <v>240</v>
      </c>
      <c r="B330" t="s">
        <v>38</v>
      </c>
      <c r="C330">
        <v>85</v>
      </c>
      <c r="D330">
        <v>1</v>
      </c>
    </row>
    <row r="331" spans="1:4">
      <c r="A331" t="s">
        <v>241</v>
      </c>
      <c r="B331" t="s">
        <v>38</v>
      </c>
      <c r="C331">
        <v>85</v>
      </c>
      <c r="D331">
        <v>1</v>
      </c>
    </row>
    <row r="332" spans="1:4">
      <c r="A332" t="s">
        <v>238</v>
      </c>
      <c r="B332" t="s">
        <v>38</v>
      </c>
      <c r="C332">
        <v>85</v>
      </c>
      <c r="D332">
        <v>1</v>
      </c>
    </row>
    <row r="333" spans="1:4">
      <c r="A333" t="s">
        <v>245</v>
      </c>
      <c r="B333" t="s">
        <v>193</v>
      </c>
      <c r="C333">
        <v>85</v>
      </c>
      <c r="D333">
        <v>1</v>
      </c>
    </row>
    <row r="334" spans="1:4">
      <c r="A334" t="s">
        <v>244</v>
      </c>
      <c r="B334" t="s">
        <v>193</v>
      </c>
      <c r="C334">
        <v>85</v>
      </c>
      <c r="D334">
        <v>1</v>
      </c>
    </row>
    <row r="335" spans="1:4">
      <c r="A335" t="s">
        <v>249</v>
      </c>
      <c r="B335" t="s">
        <v>193</v>
      </c>
      <c r="C335">
        <v>85</v>
      </c>
      <c r="D335">
        <v>1</v>
      </c>
    </row>
    <row r="336" spans="1:4">
      <c r="A336" t="s">
        <v>242</v>
      </c>
      <c r="B336" t="s">
        <v>193</v>
      </c>
      <c r="C336">
        <v>85</v>
      </c>
      <c r="D336">
        <v>1</v>
      </c>
    </row>
    <row r="337" spans="1:4">
      <c r="A337" t="s">
        <v>241</v>
      </c>
      <c r="B337" t="s">
        <v>165</v>
      </c>
      <c r="C337">
        <v>86</v>
      </c>
      <c r="D337">
        <v>1</v>
      </c>
    </row>
    <row r="338" spans="1:4">
      <c r="A338" t="s">
        <v>240</v>
      </c>
      <c r="B338" t="s">
        <v>20</v>
      </c>
      <c r="C338">
        <v>87</v>
      </c>
      <c r="D338">
        <v>1</v>
      </c>
    </row>
    <row r="339" spans="1:4">
      <c r="A339" t="s">
        <v>244</v>
      </c>
      <c r="B339" t="s">
        <v>20</v>
      </c>
      <c r="C339">
        <v>87</v>
      </c>
      <c r="D339">
        <v>1</v>
      </c>
    </row>
    <row r="340" spans="1:4">
      <c r="A340" t="s">
        <v>249</v>
      </c>
      <c r="B340" t="s">
        <v>89</v>
      </c>
      <c r="C340">
        <v>87</v>
      </c>
      <c r="D340">
        <v>1</v>
      </c>
    </row>
    <row r="341" spans="1:4">
      <c r="A341" t="s">
        <v>246</v>
      </c>
      <c r="B341" t="s">
        <v>178</v>
      </c>
      <c r="C341">
        <v>87</v>
      </c>
      <c r="D341">
        <v>1</v>
      </c>
    </row>
    <row r="342" spans="1:4">
      <c r="A342" t="s">
        <v>238</v>
      </c>
      <c r="B342" t="s">
        <v>178</v>
      </c>
      <c r="C342">
        <v>87</v>
      </c>
      <c r="D342">
        <v>1</v>
      </c>
    </row>
    <row r="343" spans="1:4">
      <c r="A343" t="s">
        <v>244</v>
      </c>
      <c r="B343" t="s">
        <v>178</v>
      </c>
      <c r="C343">
        <v>87</v>
      </c>
      <c r="D343">
        <v>1</v>
      </c>
    </row>
    <row r="344" spans="1:4">
      <c r="A344" t="s">
        <v>249</v>
      </c>
      <c r="B344" t="s">
        <v>178</v>
      </c>
      <c r="C344">
        <v>87</v>
      </c>
      <c r="D344">
        <v>1</v>
      </c>
    </row>
    <row r="345" spans="1:4">
      <c r="A345" t="s">
        <v>242</v>
      </c>
      <c r="B345" t="s">
        <v>178</v>
      </c>
      <c r="C345">
        <v>87</v>
      </c>
      <c r="D345">
        <v>1</v>
      </c>
    </row>
    <row r="346" spans="1:4">
      <c r="A346" t="s">
        <v>251</v>
      </c>
      <c r="B346" t="s">
        <v>178</v>
      </c>
      <c r="C346">
        <v>87</v>
      </c>
      <c r="D346">
        <v>1</v>
      </c>
    </row>
    <row r="347" spans="1:4">
      <c r="A347" t="s">
        <v>240</v>
      </c>
      <c r="B347" t="s">
        <v>179</v>
      </c>
      <c r="C347">
        <v>87</v>
      </c>
      <c r="D347">
        <v>1</v>
      </c>
    </row>
    <row r="348" spans="1:4">
      <c r="A348" t="s">
        <v>241</v>
      </c>
      <c r="B348" t="s">
        <v>179</v>
      </c>
      <c r="C348">
        <v>87</v>
      </c>
      <c r="D348">
        <v>1</v>
      </c>
    </row>
    <row r="349" spans="1:4">
      <c r="A349" t="s">
        <v>244</v>
      </c>
      <c r="B349" t="s">
        <v>14</v>
      </c>
      <c r="C349">
        <v>88</v>
      </c>
      <c r="D349">
        <v>1</v>
      </c>
    </row>
    <row r="350" spans="1:4">
      <c r="A350" t="s">
        <v>238</v>
      </c>
      <c r="B350" t="s">
        <v>14</v>
      </c>
      <c r="C350">
        <v>88</v>
      </c>
      <c r="D350">
        <v>1</v>
      </c>
    </row>
    <row r="351" spans="1:4">
      <c r="A351" t="s">
        <v>240</v>
      </c>
      <c r="B351" t="s">
        <v>14</v>
      </c>
      <c r="C351">
        <v>88</v>
      </c>
      <c r="D351">
        <v>1</v>
      </c>
    </row>
    <row r="352" spans="1:4">
      <c r="A352" t="s">
        <v>244</v>
      </c>
      <c r="B352" t="s">
        <v>112</v>
      </c>
      <c r="C352">
        <v>88</v>
      </c>
      <c r="D352">
        <v>1</v>
      </c>
    </row>
    <row r="353" spans="1:4">
      <c r="A353" t="s">
        <v>239</v>
      </c>
      <c r="B353" t="s">
        <v>112</v>
      </c>
      <c r="C353">
        <v>88</v>
      </c>
      <c r="D353">
        <v>1</v>
      </c>
    </row>
    <row r="354" spans="1:4">
      <c r="A354" t="s">
        <v>243</v>
      </c>
      <c r="B354" t="s">
        <v>139</v>
      </c>
      <c r="C354">
        <v>89</v>
      </c>
      <c r="D354">
        <v>1</v>
      </c>
    </row>
    <row r="355" spans="1:4">
      <c r="A355" t="s">
        <v>246</v>
      </c>
      <c r="B355" t="s">
        <v>139</v>
      </c>
      <c r="C355">
        <v>89</v>
      </c>
      <c r="D355">
        <v>1</v>
      </c>
    </row>
    <row r="356" spans="1:4">
      <c r="A356" t="s">
        <v>244</v>
      </c>
      <c r="B356" t="s">
        <v>174</v>
      </c>
      <c r="C356">
        <v>90</v>
      </c>
      <c r="D356">
        <v>1</v>
      </c>
    </row>
    <row r="357" spans="1:4">
      <c r="A357" t="s">
        <v>240</v>
      </c>
      <c r="B357" t="s">
        <v>174</v>
      </c>
      <c r="C357">
        <v>90</v>
      </c>
      <c r="D357">
        <v>1</v>
      </c>
    </row>
    <row r="358" spans="1:4">
      <c r="A358" t="s">
        <v>243</v>
      </c>
      <c r="B358" t="s">
        <v>174</v>
      </c>
      <c r="C358">
        <v>90</v>
      </c>
      <c r="D358">
        <v>1</v>
      </c>
    </row>
    <row r="359" spans="1:4">
      <c r="A359" t="s">
        <v>239</v>
      </c>
      <c r="B359" t="s">
        <v>226</v>
      </c>
      <c r="C359">
        <v>90</v>
      </c>
      <c r="D359">
        <v>1</v>
      </c>
    </row>
    <row r="360" spans="1:4">
      <c r="A360" t="s">
        <v>243</v>
      </c>
      <c r="B360" t="s">
        <v>226</v>
      </c>
      <c r="C360">
        <v>90</v>
      </c>
      <c r="D360">
        <v>1</v>
      </c>
    </row>
    <row r="361" spans="1:4">
      <c r="A361" t="s">
        <v>249</v>
      </c>
      <c r="B361" t="s">
        <v>121</v>
      </c>
      <c r="C361">
        <v>91</v>
      </c>
      <c r="D361">
        <v>1</v>
      </c>
    </row>
    <row r="362" spans="1:4">
      <c r="A362" t="s">
        <v>238</v>
      </c>
      <c r="B362" t="s">
        <v>121</v>
      </c>
      <c r="C362">
        <v>91</v>
      </c>
      <c r="D362">
        <v>1</v>
      </c>
    </row>
    <row r="363" spans="1:4">
      <c r="A363" t="s">
        <v>239</v>
      </c>
      <c r="B363" t="s">
        <v>186</v>
      </c>
      <c r="C363">
        <v>92</v>
      </c>
      <c r="D363">
        <v>1</v>
      </c>
    </row>
    <row r="364" spans="1:4">
      <c r="A364" t="s">
        <v>238</v>
      </c>
      <c r="B364" t="s">
        <v>186</v>
      </c>
      <c r="C364">
        <v>92</v>
      </c>
      <c r="D364">
        <v>1</v>
      </c>
    </row>
    <row r="365" spans="1:4">
      <c r="A365" t="s">
        <v>241</v>
      </c>
      <c r="B365" t="s">
        <v>186</v>
      </c>
      <c r="C365">
        <v>92</v>
      </c>
      <c r="D365">
        <v>1</v>
      </c>
    </row>
    <row r="366" spans="1:4">
      <c r="A366" t="s">
        <v>238</v>
      </c>
      <c r="B366" t="s">
        <v>5</v>
      </c>
      <c r="C366">
        <v>93</v>
      </c>
      <c r="D366">
        <v>1</v>
      </c>
    </row>
    <row r="367" spans="1:4">
      <c r="A367" t="s">
        <v>246</v>
      </c>
      <c r="B367" t="s">
        <v>78</v>
      </c>
      <c r="C367">
        <v>93</v>
      </c>
      <c r="D367">
        <v>1</v>
      </c>
    </row>
    <row r="368" spans="1:4">
      <c r="A368" t="s">
        <v>244</v>
      </c>
      <c r="B368" t="s">
        <v>78</v>
      </c>
      <c r="C368">
        <v>93</v>
      </c>
      <c r="D368">
        <v>1</v>
      </c>
    </row>
    <row r="369" spans="1:4">
      <c r="A369" t="s">
        <v>238</v>
      </c>
      <c r="B369" t="s">
        <v>78</v>
      </c>
      <c r="C369">
        <v>93</v>
      </c>
      <c r="D369">
        <v>1</v>
      </c>
    </row>
    <row r="370" spans="1:4">
      <c r="A370" t="s">
        <v>245</v>
      </c>
      <c r="B370" t="s">
        <v>149</v>
      </c>
      <c r="C370">
        <v>93</v>
      </c>
      <c r="D370">
        <v>1</v>
      </c>
    </row>
    <row r="371" spans="1:4">
      <c r="A371" t="s">
        <v>244</v>
      </c>
      <c r="B371" t="s">
        <v>149</v>
      </c>
      <c r="C371">
        <v>93</v>
      </c>
      <c r="D371">
        <v>1</v>
      </c>
    </row>
    <row r="372" spans="1:4">
      <c r="A372" t="s">
        <v>244</v>
      </c>
      <c r="B372" t="s">
        <v>221</v>
      </c>
      <c r="C372">
        <v>93</v>
      </c>
      <c r="D372">
        <v>1</v>
      </c>
    </row>
    <row r="373" spans="1:4">
      <c r="A373" t="s">
        <v>238</v>
      </c>
      <c r="B373" t="s">
        <v>221</v>
      </c>
      <c r="C373">
        <v>93</v>
      </c>
      <c r="D373">
        <v>1</v>
      </c>
    </row>
    <row r="374" spans="1:4">
      <c r="A374" t="s">
        <v>242</v>
      </c>
      <c r="B374" t="s">
        <v>221</v>
      </c>
      <c r="C374">
        <v>93</v>
      </c>
      <c r="D374">
        <v>1</v>
      </c>
    </row>
    <row r="375" spans="1:4">
      <c r="A375" t="s">
        <v>238</v>
      </c>
      <c r="B375" t="s">
        <v>169</v>
      </c>
      <c r="C375">
        <v>94</v>
      </c>
      <c r="D375">
        <v>1</v>
      </c>
    </row>
    <row r="376" spans="1:4">
      <c r="A376" t="s">
        <v>238</v>
      </c>
      <c r="B376" t="s">
        <v>213</v>
      </c>
      <c r="C376">
        <v>94</v>
      </c>
      <c r="D376">
        <v>1</v>
      </c>
    </row>
    <row r="377" spans="1:4">
      <c r="A377" t="s">
        <v>239</v>
      </c>
      <c r="B377" t="s">
        <v>213</v>
      </c>
      <c r="C377">
        <v>94</v>
      </c>
      <c r="D377">
        <v>1</v>
      </c>
    </row>
    <row r="378" spans="1:4">
      <c r="A378" t="s">
        <v>240</v>
      </c>
      <c r="B378" t="s">
        <v>213</v>
      </c>
      <c r="C378">
        <v>94</v>
      </c>
      <c r="D378">
        <v>1</v>
      </c>
    </row>
    <row r="379" spans="1:4">
      <c r="A379" t="s">
        <v>238</v>
      </c>
      <c r="B379" t="s">
        <v>50</v>
      </c>
      <c r="C379">
        <v>95</v>
      </c>
      <c r="D379">
        <v>1</v>
      </c>
    </row>
    <row r="380" spans="1:4">
      <c r="A380" t="s">
        <v>244</v>
      </c>
      <c r="B380" t="s">
        <v>50</v>
      </c>
      <c r="C380">
        <v>95</v>
      </c>
      <c r="D380">
        <v>1</v>
      </c>
    </row>
    <row r="381" spans="1:4">
      <c r="A381" t="s">
        <v>240</v>
      </c>
      <c r="B381" t="s">
        <v>50</v>
      </c>
      <c r="C381">
        <v>95</v>
      </c>
      <c r="D381">
        <v>1</v>
      </c>
    </row>
    <row r="382" spans="1:4">
      <c r="A382" t="s">
        <v>242</v>
      </c>
      <c r="B382" t="s">
        <v>200</v>
      </c>
      <c r="C382">
        <v>95</v>
      </c>
      <c r="D382">
        <v>1</v>
      </c>
    </row>
    <row r="383" spans="1:4">
      <c r="A383" t="s">
        <v>244</v>
      </c>
      <c r="B383" t="s">
        <v>200</v>
      </c>
      <c r="C383">
        <v>95</v>
      </c>
      <c r="D383">
        <v>1</v>
      </c>
    </row>
    <row r="384" spans="1:4">
      <c r="A384" t="s">
        <v>238</v>
      </c>
      <c r="B384" t="s">
        <v>200</v>
      </c>
      <c r="C384">
        <v>95</v>
      </c>
      <c r="D384">
        <v>1</v>
      </c>
    </row>
    <row r="385" spans="1:4">
      <c r="A385" t="s">
        <v>244</v>
      </c>
      <c r="B385" t="s">
        <v>124</v>
      </c>
      <c r="C385">
        <v>97</v>
      </c>
      <c r="D385">
        <v>1</v>
      </c>
    </row>
    <row r="386" spans="1:4">
      <c r="A386" t="s">
        <v>243</v>
      </c>
      <c r="B386" t="s">
        <v>124</v>
      </c>
      <c r="C386">
        <v>97</v>
      </c>
      <c r="D386">
        <v>1</v>
      </c>
    </row>
    <row r="387" spans="1:4">
      <c r="A387" t="s">
        <v>242</v>
      </c>
      <c r="B387" t="s">
        <v>130</v>
      </c>
      <c r="C387">
        <v>97</v>
      </c>
      <c r="D387">
        <v>1</v>
      </c>
    </row>
    <row r="388" spans="1:4">
      <c r="A388" t="s">
        <v>240</v>
      </c>
      <c r="B388" t="s">
        <v>130</v>
      </c>
      <c r="C388">
        <v>97</v>
      </c>
      <c r="D388">
        <v>1</v>
      </c>
    </row>
    <row r="389" spans="1:4">
      <c r="A389" t="s">
        <v>238</v>
      </c>
      <c r="B389" t="s">
        <v>130</v>
      </c>
      <c r="C389">
        <v>97</v>
      </c>
      <c r="D389">
        <v>1</v>
      </c>
    </row>
    <row r="390" spans="1:4">
      <c r="A390" t="s">
        <v>238</v>
      </c>
      <c r="B390" t="s">
        <v>163</v>
      </c>
      <c r="C390">
        <v>98</v>
      </c>
      <c r="D390">
        <v>1</v>
      </c>
    </row>
    <row r="391" spans="1:4">
      <c r="A391" t="s">
        <v>245</v>
      </c>
      <c r="B391" t="s">
        <v>163</v>
      </c>
      <c r="C391">
        <v>98</v>
      </c>
      <c r="D391">
        <v>1</v>
      </c>
    </row>
    <row r="392" spans="1:4">
      <c r="A392" t="s">
        <v>243</v>
      </c>
      <c r="B392" t="s">
        <v>163</v>
      </c>
      <c r="C392">
        <v>98</v>
      </c>
      <c r="D392">
        <v>1</v>
      </c>
    </row>
    <row r="393" spans="1:4">
      <c r="A393" t="s">
        <v>244</v>
      </c>
      <c r="B393" t="s">
        <v>107</v>
      </c>
      <c r="C393">
        <v>100</v>
      </c>
      <c r="D393">
        <v>1</v>
      </c>
    </row>
    <row r="394" spans="1:4">
      <c r="A394" t="s">
        <v>240</v>
      </c>
      <c r="B394" t="s">
        <v>107</v>
      </c>
      <c r="C394">
        <v>100</v>
      </c>
      <c r="D394">
        <v>1</v>
      </c>
    </row>
    <row r="395" spans="1:4">
      <c r="A395" t="s">
        <v>238</v>
      </c>
      <c r="B395" t="s">
        <v>107</v>
      </c>
      <c r="C395">
        <v>100</v>
      </c>
      <c r="D395">
        <v>1</v>
      </c>
    </row>
    <row r="396" spans="1:4">
      <c r="A396" t="s">
        <v>247</v>
      </c>
      <c r="B396" t="s">
        <v>167</v>
      </c>
      <c r="C396">
        <v>100</v>
      </c>
      <c r="D396">
        <v>1</v>
      </c>
    </row>
    <row r="397" spans="1:4">
      <c r="A397" t="s">
        <v>248</v>
      </c>
      <c r="B397" t="s">
        <v>167</v>
      </c>
      <c r="C397">
        <v>100</v>
      </c>
      <c r="D397">
        <v>1</v>
      </c>
    </row>
    <row r="398" spans="1:4">
      <c r="A398" t="s">
        <v>240</v>
      </c>
      <c r="B398" t="s">
        <v>92</v>
      </c>
      <c r="C398">
        <v>101</v>
      </c>
      <c r="D398">
        <v>1</v>
      </c>
    </row>
    <row r="399" spans="1:4">
      <c r="A399" t="s">
        <v>249</v>
      </c>
      <c r="B399" t="s">
        <v>92</v>
      </c>
      <c r="C399">
        <v>101</v>
      </c>
      <c r="D399">
        <v>1</v>
      </c>
    </row>
    <row r="400" spans="1:4">
      <c r="A400" t="s">
        <v>249</v>
      </c>
      <c r="B400" t="s">
        <v>185</v>
      </c>
      <c r="C400">
        <v>101</v>
      </c>
      <c r="D400">
        <v>1</v>
      </c>
    </row>
    <row r="401" spans="1:4">
      <c r="A401" t="s">
        <v>240</v>
      </c>
      <c r="B401" t="s">
        <v>185</v>
      </c>
      <c r="C401">
        <v>101</v>
      </c>
      <c r="D401">
        <v>1</v>
      </c>
    </row>
    <row r="402" spans="1:4">
      <c r="A402" t="s">
        <v>247</v>
      </c>
      <c r="B402" t="s">
        <v>185</v>
      </c>
      <c r="C402">
        <v>101</v>
      </c>
      <c r="D402">
        <v>1</v>
      </c>
    </row>
    <row r="403" spans="1:4">
      <c r="A403" t="s">
        <v>245</v>
      </c>
      <c r="B403" t="s">
        <v>185</v>
      </c>
      <c r="C403">
        <v>101</v>
      </c>
      <c r="D403">
        <v>1</v>
      </c>
    </row>
    <row r="404" spans="1:4">
      <c r="A404" t="s">
        <v>248</v>
      </c>
      <c r="B404" t="s">
        <v>175</v>
      </c>
      <c r="C404">
        <v>102</v>
      </c>
      <c r="D404">
        <v>1</v>
      </c>
    </row>
    <row r="405" spans="1:4">
      <c r="A405" t="s">
        <v>252</v>
      </c>
      <c r="B405" t="s">
        <v>175</v>
      </c>
      <c r="C405">
        <v>102</v>
      </c>
      <c r="D405">
        <v>1</v>
      </c>
    </row>
    <row r="406" spans="1:4">
      <c r="A406" t="s">
        <v>239</v>
      </c>
      <c r="B406" t="s">
        <v>175</v>
      </c>
      <c r="C406">
        <v>102</v>
      </c>
      <c r="D406">
        <v>1</v>
      </c>
    </row>
    <row r="407" spans="1:4">
      <c r="A407" t="s">
        <v>246</v>
      </c>
      <c r="B407" t="s">
        <v>175</v>
      </c>
      <c r="C407">
        <v>102</v>
      </c>
      <c r="D407">
        <v>1</v>
      </c>
    </row>
    <row r="408" spans="1:4">
      <c r="A408" t="s">
        <v>238</v>
      </c>
      <c r="B408" t="s">
        <v>175</v>
      </c>
      <c r="C408">
        <v>102</v>
      </c>
      <c r="D408">
        <v>1</v>
      </c>
    </row>
    <row r="409" spans="1:4">
      <c r="A409" t="s">
        <v>240</v>
      </c>
      <c r="B409" t="s">
        <v>57</v>
      </c>
      <c r="C409">
        <v>103</v>
      </c>
      <c r="D409">
        <v>1</v>
      </c>
    </row>
    <row r="410" spans="1:4">
      <c r="A410" t="s">
        <v>238</v>
      </c>
      <c r="B410" t="s">
        <v>57</v>
      </c>
      <c r="C410">
        <v>103</v>
      </c>
      <c r="D410">
        <v>1</v>
      </c>
    </row>
    <row r="411" spans="1:4">
      <c r="A411" t="s">
        <v>242</v>
      </c>
      <c r="B411" t="s">
        <v>57</v>
      </c>
      <c r="C411">
        <v>103</v>
      </c>
      <c r="D411">
        <v>1</v>
      </c>
    </row>
    <row r="412" spans="1:4">
      <c r="A412" t="s">
        <v>243</v>
      </c>
      <c r="B412" t="s">
        <v>57</v>
      </c>
      <c r="C412">
        <v>103</v>
      </c>
      <c r="D412">
        <v>1</v>
      </c>
    </row>
    <row r="413" spans="1:4">
      <c r="A413" t="s">
        <v>240</v>
      </c>
      <c r="B413" t="s">
        <v>119</v>
      </c>
      <c r="C413">
        <v>103</v>
      </c>
      <c r="D413">
        <v>1</v>
      </c>
    </row>
    <row r="414" spans="1:4">
      <c r="A414" t="s">
        <v>238</v>
      </c>
      <c r="B414" t="s">
        <v>119</v>
      </c>
      <c r="C414">
        <v>103</v>
      </c>
      <c r="D414">
        <v>1</v>
      </c>
    </row>
    <row r="415" spans="1:4">
      <c r="A415" t="s">
        <v>242</v>
      </c>
      <c r="B415" t="s">
        <v>119</v>
      </c>
      <c r="C415">
        <v>103</v>
      </c>
      <c r="D415">
        <v>1</v>
      </c>
    </row>
    <row r="416" spans="1:4">
      <c r="A416" t="s">
        <v>244</v>
      </c>
      <c r="B416" t="s">
        <v>119</v>
      </c>
      <c r="C416">
        <v>103</v>
      </c>
      <c r="D416">
        <v>1</v>
      </c>
    </row>
    <row r="417" spans="1:4">
      <c r="A417" t="s">
        <v>239</v>
      </c>
      <c r="B417" t="s">
        <v>141</v>
      </c>
      <c r="C417">
        <v>103</v>
      </c>
      <c r="D417">
        <v>1</v>
      </c>
    </row>
    <row r="418" spans="1:4">
      <c r="A418" t="s">
        <v>246</v>
      </c>
      <c r="B418" t="s">
        <v>151</v>
      </c>
      <c r="C418">
        <v>103</v>
      </c>
      <c r="D418">
        <v>1</v>
      </c>
    </row>
    <row r="419" spans="1:4">
      <c r="A419" t="s">
        <v>244</v>
      </c>
      <c r="B419" t="s">
        <v>151</v>
      </c>
      <c r="C419">
        <v>103</v>
      </c>
      <c r="D419">
        <v>1</v>
      </c>
    </row>
    <row r="420" spans="1:4">
      <c r="A420" t="s">
        <v>241</v>
      </c>
      <c r="B420" t="s">
        <v>153</v>
      </c>
      <c r="C420">
        <v>104</v>
      </c>
      <c r="D420">
        <v>1</v>
      </c>
    </row>
    <row r="421" spans="1:4">
      <c r="A421" t="s">
        <v>242</v>
      </c>
      <c r="B421" t="s">
        <v>153</v>
      </c>
      <c r="C421">
        <v>104</v>
      </c>
      <c r="D421">
        <v>1</v>
      </c>
    </row>
    <row r="422" spans="1:4">
      <c r="A422" t="s">
        <v>238</v>
      </c>
      <c r="B422" t="s">
        <v>153</v>
      </c>
      <c r="C422">
        <v>104</v>
      </c>
      <c r="D422">
        <v>1</v>
      </c>
    </row>
    <row r="423" spans="1:4">
      <c r="A423" t="s">
        <v>242</v>
      </c>
      <c r="B423" t="s">
        <v>172</v>
      </c>
      <c r="C423">
        <v>104</v>
      </c>
      <c r="D423">
        <v>1</v>
      </c>
    </row>
    <row r="424" spans="1:4">
      <c r="A424" t="s">
        <v>239</v>
      </c>
      <c r="B424" t="s">
        <v>10</v>
      </c>
      <c r="C424">
        <v>106</v>
      </c>
      <c r="D424">
        <v>1</v>
      </c>
    </row>
    <row r="425" spans="1:4">
      <c r="A425" t="s">
        <v>245</v>
      </c>
      <c r="B425" t="s">
        <v>10</v>
      </c>
      <c r="C425">
        <v>106</v>
      </c>
      <c r="D425">
        <v>1</v>
      </c>
    </row>
    <row r="426" spans="1:4">
      <c r="A426" t="s">
        <v>249</v>
      </c>
      <c r="B426" t="s">
        <v>10</v>
      </c>
      <c r="C426">
        <v>106</v>
      </c>
      <c r="D426">
        <v>1</v>
      </c>
    </row>
    <row r="427" spans="1:4">
      <c r="A427" t="s">
        <v>244</v>
      </c>
      <c r="B427" t="s">
        <v>148</v>
      </c>
      <c r="C427">
        <v>106</v>
      </c>
      <c r="D427">
        <v>1</v>
      </c>
    </row>
    <row r="428" spans="1:4">
      <c r="A428" t="s">
        <v>246</v>
      </c>
      <c r="B428" t="s">
        <v>148</v>
      </c>
      <c r="C428">
        <v>106</v>
      </c>
      <c r="D428">
        <v>1</v>
      </c>
    </row>
    <row r="429" spans="1:4">
      <c r="A429" t="s">
        <v>242</v>
      </c>
      <c r="B429" t="s">
        <v>202</v>
      </c>
      <c r="C429">
        <v>106</v>
      </c>
      <c r="D429">
        <v>1</v>
      </c>
    </row>
    <row r="430" spans="1:4">
      <c r="A430" t="s">
        <v>238</v>
      </c>
      <c r="B430" t="s">
        <v>202</v>
      </c>
      <c r="C430">
        <v>106</v>
      </c>
      <c r="D430">
        <v>1</v>
      </c>
    </row>
    <row r="431" spans="1:4">
      <c r="A431" t="s">
        <v>244</v>
      </c>
      <c r="B431" t="s">
        <v>67</v>
      </c>
      <c r="C431">
        <v>108</v>
      </c>
      <c r="D431">
        <v>1</v>
      </c>
    </row>
    <row r="432" spans="1:4">
      <c r="A432" t="s">
        <v>239</v>
      </c>
      <c r="B432" t="s">
        <v>67</v>
      </c>
      <c r="C432">
        <v>108</v>
      </c>
      <c r="D432">
        <v>1</v>
      </c>
    </row>
    <row r="433" spans="1:4">
      <c r="A433" t="s">
        <v>240</v>
      </c>
      <c r="B433" t="s">
        <v>127</v>
      </c>
      <c r="C433">
        <v>108</v>
      </c>
      <c r="D433">
        <v>1</v>
      </c>
    </row>
    <row r="434" spans="1:4">
      <c r="A434" t="s">
        <v>243</v>
      </c>
      <c r="B434" t="s">
        <v>127</v>
      </c>
      <c r="C434">
        <v>108</v>
      </c>
      <c r="D434">
        <v>1</v>
      </c>
    </row>
    <row r="435" spans="1:4">
      <c r="A435" t="s">
        <v>244</v>
      </c>
      <c r="B435" t="s">
        <v>132</v>
      </c>
      <c r="C435">
        <v>108</v>
      </c>
      <c r="D435">
        <v>1</v>
      </c>
    </row>
    <row r="436" spans="1:4">
      <c r="A436" t="s">
        <v>239</v>
      </c>
      <c r="B436" t="s">
        <v>204</v>
      </c>
      <c r="C436">
        <v>108</v>
      </c>
      <c r="D436">
        <v>1</v>
      </c>
    </row>
    <row r="437" spans="1:4">
      <c r="A437" t="s">
        <v>240</v>
      </c>
      <c r="B437" t="s">
        <v>39</v>
      </c>
      <c r="C437">
        <v>109</v>
      </c>
      <c r="D437">
        <v>1</v>
      </c>
    </row>
    <row r="438" spans="1:4">
      <c r="A438" t="s">
        <v>238</v>
      </c>
      <c r="B438" t="s">
        <v>39</v>
      </c>
      <c r="C438">
        <v>109</v>
      </c>
      <c r="D438">
        <v>1</v>
      </c>
    </row>
    <row r="439" spans="1:4">
      <c r="A439" t="s">
        <v>242</v>
      </c>
      <c r="B439" t="s">
        <v>39</v>
      </c>
      <c r="C439">
        <v>109</v>
      </c>
      <c r="D439">
        <v>1</v>
      </c>
    </row>
    <row r="440" spans="1:4">
      <c r="A440" t="s">
        <v>249</v>
      </c>
      <c r="B440" t="s">
        <v>199</v>
      </c>
      <c r="C440">
        <v>109</v>
      </c>
      <c r="D440">
        <v>1</v>
      </c>
    </row>
    <row r="441" spans="1:4">
      <c r="A441" t="s">
        <v>243</v>
      </c>
      <c r="B441" t="s">
        <v>199</v>
      </c>
      <c r="C441">
        <v>109</v>
      </c>
      <c r="D441">
        <v>1</v>
      </c>
    </row>
    <row r="442" spans="1:4">
      <c r="A442" t="s">
        <v>239</v>
      </c>
      <c r="B442" t="s">
        <v>199</v>
      </c>
      <c r="C442">
        <v>109</v>
      </c>
      <c r="D442">
        <v>1</v>
      </c>
    </row>
    <row r="443" spans="1:4">
      <c r="A443" t="s">
        <v>238</v>
      </c>
      <c r="B443" t="s">
        <v>199</v>
      </c>
      <c r="C443">
        <v>109</v>
      </c>
      <c r="D443">
        <v>1</v>
      </c>
    </row>
    <row r="444" spans="1:4">
      <c r="A444" t="s">
        <v>240</v>
      </c>
      <c r="B444" t="s">
        <v>199</v>
      </c>
      <c r="C444">
        <v>109</v>
      </c>
      <c r="D444">
        <v>1</v>
      </c>
    </row>
    <row r="445" spans="1:4">
      <c r="A445" t="s">
        <v>238</v>
      </c>
      <c r="B445" t="s">
        <v>214</v>
      </c>
      <c r="C445">
        <v>109</v>
      </c>
      <c r="D445">
        <v>1</v>
      </c>
    </row>
    <row r="446" spans="1:4">
      <c r="A446" t="s">
        <v>241</v>
      </c>
      <c r="B446" t="s">
        <v>214</v>
      </c>
      <c r="C446">
        <v>109</v>
      </c>
      <c r="D446">
        <v>1</v>
      </c>
    </row>
    <row r="447" spans="1:4">
      <c r="A447" t="s">
        <v>240</v>
      </c>
      <c r="B447" t="s">
        <v>195</v>
      </c>
      <c r="C447">
        <v>110</v>
      </c>
      <c r="D447">
        <v>1</v>
      </c>
    </row>
    <row r="448" spans="1:4">
      <c r="A448" t="s">
        <v>243</v>
      </c>
      <c r="B448" t="s">
        <v>230</v>
      </c>
      <c r="C448">
        <v>110</v>
      </c>
      <c r="D448">
        <v>1</v>
      </c>
    </row>
    <row r="449" spans="1:4">
      <c r="A449" t="s">
        <v>241</v>
      </c>
      <c r="B449" t="s">
        <v>230</v>
      </c>
      <c r="C449">
        <v>110</v>
      </c>
      <c r="D449">
        <v>1</v>
      </c>
    </row>
    <row r="450" spans="1:4">
      <c r="A450" t="s">
        <v>242</v>
      </c>
      <c r="B450" t="s">
        <v>230</v>
      </c>
      <c r="C450">
        <v>110</v>
      </c>
      <c r="D450">
        <v>1</v>
      </c>
    </row>
    <row r="451" spans="1:4">
      <c r="A451" t="s">
        <v>246</v>
      </c>
      <c r="B451" t="s">
        <v>191</v>
      </c>
      <c r="C451">
        <v>111</v>
      </c>
      <c r="D451">
        <v>1</v>
      </c>
    </row>
    <row r="452" spans="1:4">
      <c r="A452" t="s">
        <v>241</v>
      </c>
      <c r="B452" t="s">
        <v>206</v>
      </c>
      <c r="C452">
        <v>111</v>
      </c>
      <c r="D452">
        <v>1</v>
      </c>
    </row>
    <row r="453" spans="1:4">
      <c r="A453" t="s">
        <v>249</v>
      </c>
      <c r="B453" t="s">
        <v>19</v>
      </c>
      <c r="C453">
        <v>112</v>
      </c>
      <c r="D453">
        <v>1</v>
      </c>
    </row>
    <row r="454" spans="1:4">
      <c r="A454" t="s">
        <v>241</v>
      </c>
      <c r="B454" t="s">
        <v>19</v>
      </c>
      <c r="C454">
        <v>112</v>
      </c>
      <c r="D454">
        <v>1</v>
      </c>
    </row>
    <row r="455" spans="1:4">
      <c r="A455" t="s">
        <v>245</v>
      </c>
      <c r="B455" t="s">
        <v>215</v>
      </c>
      <c r="C455">
        <v>112</v>
      </c>
      <c r="D455">
        <v>1</v>
      </c>
    </row>
    <row r="456" spans="1:4">
      <c r="A456" t="s">
        <v>239</v>
      </c>
      <c r="B456" t="s">
        <v>215</v>
      </c>
      <c r="C456">
        <v>112</v>
      </c>
      <c r="D456">
        <v>1</v>
      </c>
    </row>
    <row r="457" spans="1:4">
      <c r="A457" t="s">
        <v>248</v>
      </c>
      <c r="B457" t="s">
        <v>215</v>
      </c>
      <c r="C457">
        <v>112</v>
      </c>
      <c r="D457">
        <v>1</v>
      </c>
    </row>
    <row r="458" spans="1:4">
      <c r="A458" t="s">
        <v>243</v>
      </c>
      <c r="B458" t="s">
        <v>215</v>
      </c>
      <c r="C458">
        <v>112</v>
      </c>
      <c r="D458">
        <v>1</v>
      </c>
    </row>
    <row r="459" spans="1:4">
      <c r="A459" t="s">
        <v>238</v>
      </c>
      <c r="B459" t="s">
        <v>231</v>
      </c>
      <c r="C459">
        <v>112</v>
      </c>
      <c r="D459">
        <v>1</v>
      </c>
    </row>
    <row r="460" spans="1:4">
      <c r="A460" t="s">
        <v>243</v>
      </c>
      <c r="B460" t="s">
        <v>231</v>
      </c>
      <c r="C460">
        <v>112</v>
      </c>
      <c r="D460">
        <v>1</v>
      </c>
    </row>
    <row r="461" spans="1:4">
      <c r="A461" t="s">
        <v>240</v>
      </c>
      <c r="B461" t="s">
        <v>231</v>
      </c>
      <c r="C461">
        <v>112</v>
      </c>
      <c r="D461">
        <v>1</v>
      </c>
    </row>
    <row r="462" spans="1:4">
      <c r="A462" t="s">
        <v>238</v>
      </c>
      <c r="B462" t="s">
        <v>207</v>
      </c>
      <c r="C462">
        <v>113</v>
      </c>
      <c r="D462">
        <v>1</v>
      </c>
    </row>
    <row r="463" spans="1:4">
      <c r="A463" t="s">
        <v>238</v>
      </c>
      <c r="B463" t="s">
        <v>216</v>
      </c>
      <c r="C463">
        <v>113</v>
      </c>
      <c r="D463">
        <v>1</v>
      </c>
    </row>
    <row r="464" spans="1:4">
      <c r="A464" t="s">
        <v>243</v>
      </c>
      <c r="B464" t="s">
        <v>216</v>
      </c>
      <c r="C464">
        <v>113</v>
      </c>
      <c r="D464">
        <v>1</v>
      </c>
    </row>
    <row r="465" spans="1:4">
      <c r="A465" t="s">
        <v>241</v>
      </c>
      <c r="B465" t="s">
        <v>216</v>
      </c>
      <c r="C465">
        <v>113</v>
      </c>
      <c r="D465">
        <v>1</v>
      </c>
    </row>
    <row r="466" spans="1:4">
      <c r="A466" t="s">
        <v>246</v>
      </c>
      <c r="B466" t="s">
        <v>234</v>
      </c>
      <c r="C466">
        <v>113</v>
      </c>
      <c r="D466">
        <v>1</v>
      </c>
    </row>
    <row r="467" spans="1:4">
      <c r="A467" t="s">
        <v>244</v>
      </c>
      <c r="B467" t="s">
        <v>234</v>
      </c>
      <c r="C467">
        <v>113</v>
      </c>
      <c r="D467">
        <v>1</v>
      </c>
    </row>
    <row r="468" spans="1:4">
      <c r="A468" t="s">
        <v>241</v>
      </c>
      <c r="B468" t="s">
        <v>145</v>
      </c>
      <c r="C468">
        <v>114</v>
      </c>
      <c r="D468">
        <v>1</v>
      </c>
    </row>
    <row r="469" spans="1:4">
      <c r="A469" t="s">
        <v>239</v>
      </c>
      <c r="B469" t="s">
        <v>218</v>
      </c>
      <c r="C469">
        <v>114</v>
      </c>
      <c r="D469">
        <v>1</v>
      </c>
    </row>
    <row r="470" spans="1:4">
      <c r="A470" t="s">
        <v>241</v>
      </c>
      <c r="B470" t="s">
        <v>218</v>
      </c>
      <c r="C470">
        <v>114</v>
      </c>
      <c r="D470">
        <v>1</v>
      </c>
    </row>
    <row r="471" spans="1:4">
      <c r="A471" t="s">
        <v>244</v>
      </c>
      <c r="B471" t="s">
        <v>218</v>
      </c>
      <c r="C471">
        <v>114</v>
      </c>
      <c r="D471">
        <v>1</v>
      </c>
    </row>
    <row r="472" spans="1:4">
      <c r="A472" t="s">
        <v>240</v>
      </c>
      <c r="B472" t="s">
        <v>218</v>
      </c>
      <c r="C472">
        <v>114</v>
      </c>
      <c r="D472">
        <v>1</v>
      </c>
    </row>
    <row r="473" spans="1:4">
      <c r="A473" t="s">
        <v>238</v>
      </c>
      <c r="B473" t="s">
        <v>71</v>
      </c>
      <c r="C473">
        <v>115</v>
      </c>
      <c r="D473">
        <v>1</v>
      </c>
    </row>
    <row r="474" spans="1:4">
      <c r="A474" t="s">
        <v>242</v>
      </c>
      <c r="B474" t="s">
        <v>71</v>
      </c>
      <c r="C474">
        <v>115</v>
      </c>
      <c r="D474">
        <v>1</v>
      </c>
    </row>
    <row r="475" spans="1:4">
      <c r="A475" t="s">
        <v>240</v>
      </c>
      <c r="B475" t="s">
        <v>71</v>
      </c>
      <c r="C475">
        <v>115</v>
      </c>
      <c r="D475">
        <v>1</v>
      </c>
    </row>
    <row r="476" spans="1:4">
      <c r="A476" t="s">
        <v>240</v>
      </c>
      <c r="B476" t="s">
        <v>106</v>
      </c>
      <c r="C476">
        <v>115</v>
      </c>
      <c r="D476">
        <v>1</v>
      </c>
    </row>
    <row r="477" spans="1:4">
      <c r="A477" t="s">
        <v>238</v>
      </c>
      <c r="B477" t="s">
        <v>106</v>
      </c>
      <c r="C477">
        <v>115</v>
      </c>
      <c r="D477">
        <v>1</v>
      </c>
    </row>
    <row r="478" spans="1:4">
      <c r="A478" t="s">
        <v>249</v>
      </c>
      <c r="B478" t="s">
        <v>152</v>
      </c>
      <c r="C478">
        <v>115</v>
      </c>
      <c r="D478">
        <v>1</v>
      </c>
    </row>
    <row r="479" spans="1:4">
      <c r="A479" t="s">
        <v>244</v>
      </c>
      <c r="B479" t="s">
        <v>152</v>
      </c>
      <c r="C479">
        <v>115</v>
      </c>
      <c r="D479">
        <v>1</v>
      </c>
    </row>
    <row r="480" spans="1:4">
      <c r="A480" t="s">
        <v>240</v>
      </c>
      <c r="B480" t="s">
        <v>27</v>
      </c>
      <c r="C480">
        <v>116</v>
      </c>
      <c r="D480">
        <v>1</v>
      </c>
    </row>
    <row r="481" spans="1:4">
      <c r="A481" t="s">
        <v>239</v>
      </c>
      <c r="B481" t="s">
        <v>27</v>
      </c>
      <c r="C481">
        <v>116</v>
      </c>
      <c r="D481">
        <v>1</v>
      </c>
    </row>
    <row r="482" spans="1:4">
      <c r="A482" t="s">
        <v>244</v>
      </c>
      <c r="B482" t="s">
        <v>27</v>
      </c>
      <c r="C482">
        <v>116</v>
      </c>
      <c r="D482">
        <v>1</v>
      </c>
    </row>
    <row r="483" spans="1:4">
      <c r="A483" t="s">
        <v>238</v>
      </c>
      <c r="B483" t="s">
        <v>27</v>
      </c>
      <c r="C483">
        <v>116</v>
      </c>
      <c r="D483">
        <v>1</v>
      </c>
    </row>
    <row r="484" spans="1:4">
      <c r="A484" t="s">
        <v>239</v>
      </c>
      <c r="B484" t="s">
        <v>88</v>
      </c>
      <c r="C484">
        <v>116</v>
      </c>
      <c r="D484">
        <v>1</v>
      </c>
    </row>
    <row r="485" spans="1:4">
      <c r="A485" t="s">
        <v>240</v>
      </c>
      <c r="B485" t="s">
        <v>88</v>
      </c>
      <c r="C485">
        <v>116</v>
      </c>
      <c r="D485">
        <v>1</v>
      </c>
    </row>
    <row r="486" spans="1:4">
      <c r="A486" t="s">
        <v>245</v>
      </c>
      <c r="B486" t="s">
        <v>113</v>
      </c>
      <c r="C486">
        <v>116</v>
      </c>
      <c r="D486">
        <v>1</v>
      </c>
    </row>
    <row r="487" spans="1:4">
      <c r="A487" t="s">
        <v>239</v>
      </c>
      <c r="B487" t="s">
        <v>113</v>
      </c>
      <c r="C487">
        <v>116</v>
      </c>
      <c r="D487">
        <v>1</v>
      </c>
    </row>
    <row r="488" spans="1:4">
      <c r="A488" t="s">
        <v>244</v>
      </c>
      <c r="B488" t="s">
        <v>46</v>
      </c>
      <c r="C488">
        <v>117</v>
      </c>
      <c r="D488">
        <v>1</v>
      </c>
    </row>
    <row r="489" spans="1:4">
      <c r="A489" t="s">
        <v>241</v>
      </c>
      <c r="B489" t="s">
        <v>46</v>
      </c>
      <c r="C489">
        <v>117</v>
      </c>
      <c r="D489">
        <v>1</v>
      </c>
    </row>
    <row r="490" spans="1:4">
      <c r="A490" t="s">
        <v>240</v>
      </c>
      <c r="B490" t="s">
        <v>46</v>
      </c>
      <c r="C490">
        <v>117</v>
      </c>
      <c r="D490">
        <v>1</v>
      </c>
    </row>
    <row r="491" spans="1:4">
      <c r="A491" t="s">
        <v>246</v>
      </c>
      <c r="B491" t="s">
        <v>46</v>
      </c>
      <c r="C491">
        <v>117</v>
      </c>
      <c r="D491">
        <v>1</v>
      </c>
    </row>
    <row r="492" spans="1:4">
      <c r="A492" t="s">
        <v>244</v>
      </c>
      <c r="B492" t="s">
        <v>142</v>
      </c>
      <c r="C492">
        <v>117</v>
      </c>
      <c r="D492">
        <v>1</v>
      </c>
    </row>
    <row r="493" spans="1:4">
      <c r="A493" t="s">
        <v>243</v>
      </c>
      <c r="B493" t="s">
        <v>142</v>
      </c>
      <c r="C493">
        <v>117</v>
      </c>
      <c r="D493">
        <v>1</v>
      </c>
    </row>
    <row r="494" spans="1:4">
      <c r="A494" t="s">
        <v>249</v>
      </c>
      <c r="B494" t="s">
        <v>11</v>
      </c>
      <c r="C494">
        <v>118</v>
      </c>
      <c r="D494">
        <v>1</v>
      </c>
    </row>
    <row r="495" spans="1:4">
      <c r="A495" t="s">
        <v>242</v>
      </c>
      <c r="B495" t="s">
        <v>11</v>
      </c>
      <c r="C495">
        <v>118</v>
      </c>
      <c r="D495">
        <v>1</v>
      </c>
    </row>
    <row r="496" spans="1:4">
      <c r="A496" t="s">
        <v>245</v>
      </c>
      <c r="B496" t="s">
        <v>11</v>
      </c>
      <c r="C496">
        <v>118</v>
      </c>
      <c r="D496">
        <v>1</v>
      </c>
    </row>
    <row r="497" spans="1:4">
      <c r="A497" t="s">
        <v>244</v>
      </c>
      <c r="B497" t="s">
        <v>11</v>
      </c>
      <c r="C497">
        <v>118</v>
      </c>
      <c r="D497">
        <v>1</v>
      </c>
    </row>
    <row r="498" spans="1:4">
      <c r="A498" t="s">
        <v>241</v>
      </c>
      <c r="B498" t="s">
        <v>123</v>
      </c>
      <c r="C498">
        <v>118</v>
      </c>
      <c r="D498">
        <v>1</v>
      </c>
    </row>
    <row r="499" spans="1:4">
      <c r="A499" t="s">
        <v>240</v>
      </c>
      <c r="B499" t="s">
        <v>16</v>
      </c>
      <c r="C499">
        <v>119</v>
      </c>
      <c r="D499">
        <v>1</v>
      </c>
    </row>
    <row r="500" spans="1:4">
      <c r="A500" t="s">
        <v>239</v>
      </c>
      <c r="B500" t="s">
        <v>16</v>
      </c>
      <c r="C500">
        <v>119</v>
      </c>
      <c r="D500">
        <v>1</v>
      </c>
    </row>
    <row r="501" spans="1:4">
      <c r="A501" t="s">
        <v>239</v>
      </c>
      <c r="B501" t="s">
        <v>37</v>
      </c>
      <c r="C501">
        <v>119</v>
      </c>
      <c r="D501">
        <v>1</v>
      </c>
    </row>
    <row r="502" spans="1:4">
      <c r="A502" t="s">
        <v>238</v>
      </c>
      <c r="B502" t="s">
        <v>37</v>
      </c>
      <c r="C502">
        <v>119</v>
      </c>
      <c r="D502">
        <v>1</v>
      </c>
    </row>
    <row r="503" spans="1:4">
      <c r="A503" t="s">
        <v>244</v>
      </c>
      <c r="B503" t="s">
        <v>45</v>
      </c>
      <c r="C503">
        <v>119</v>
      </c>
      <c r="D503">
        <v>1</v>
      </c>
    </row>
    <row r="504" spans="1:4">
      <c r="A504" t="s">
        <v>238</v>
      </c>
      <c r="B504" t="s">
        <v>45</v>
      </c>
      <c r="C504">
        <v>119</v>
      </c>
      <c r="D504">
        <v>1</v>
      </c>
    </row>
    <row r="505" spans="1:4">
      <c r="A505" t="s">
        <v>240</v>
      </c>
      <c r="B505" t="s">
        <v>95</v>
      </c>
      <c r="C505">
        <v>119</v>
      </c>
      <c r="D505">
        <v>1</v>
      </c>
    </row>
    <row r="506" spans="1:4">
      <c r="A506" t="s">
        <v>240</v>
      </c>
      <c r="B506" t="s">
        <v>183</v>
      </c>
      <c r="C506">
        <v>119</v>
      </c>
      <c r="D506">
        <v>1</v>
      </c>
    </row>
    <row r="507" spans="1:4">
      <c r="A507" t="s">
        <v>238</v>
      </c>
      <c r="B507" t="s">
        <v>183</v>
      </c>
      <c r="C507">
        <v>119</v>
      </c>
      <c r="D507">
        <v>1</v>
      </c>
    </row>
    <row r="508" spans="1:4">
      <c r="A508" t="s">
        <v>244</v>
      </c>
      <c r="B508" t="s">
        <v>183</v>
      </c>
      <c r="C508">
        <v>119</v>
      </c>
      <c r="D508">
        <v>1</v>
      </c>
    </row>
    <row r="509" spans="1:4">
      <c r="A509" t="s">
        <v>245</v>
      </c>
      <c r="B509" t="s">
        <v>13</v>
      </c>
      <c r="C509">
        <v>120</v>
      </c>
      <c r="D509">
        <v>1</v>
      </c>
    </row>
    <row r="510" spans="1:4">
      <c r="A510" t="s">
        <v>244</v>
      </c>
      <c r="B510" t="s">
        <v>13</v>
      </c>
      <c r="C510">
        <v>120</v>
      </c>
      <c r="D510">
        <v>1</v>
      </c>
    </row>
    <row r="511" spans="1:4">
      <c r="A511" t="s">
        <v>242</v>
      </c>
      <c r="B511" t="s">
        <v>25</v>
      </c>
      <c r="C511">
        <v>120</v>
      </c>
      <c r="D511">
        <v>1</v>
      </c>
    </row>
    <row r="512" spans="1:4">
      <c r="A512" t="s">
        <v>241</v>
      </c>
      <c r="B512" t="s">
        <v>25</v>
      </c>
      <c r="C512">
        <v>120</v>
      </c>
      <c r="D512">
        <v>1</v>
      </c>
    </row>
    <row r="513" spans="1:4">
      <c r="A513" t="s">
        <v>243</v>
      </c>
      <c r="B513" t="s">
        <v>36</v>
      </c>
      <c r="C513">
        <v>120</v>
      </c>
      <c r="D513">
        <v>1</v>
      </c>
    </row>
    <row r="514" spans="1:4">
      <c r="A514" t="s">
        <v>240</v>
      </c>
      <c r="B514" t="s">
        <v>36</v>
      </c>
      <c r="C514">
        <v>120</v>
      </c>
      <c r="D514">
        <v>1</v>
      </c>
    </row>
    <row r="515" spans="1:4">
      <c r="A515" t="s">
        <v>240</v>
      </c>
      <c r="B515" t="s">
        <v>58</v>
      </c>
      <c r="C515">
        <v>120</v>
      </c>
      <c r="D515">
        <v>1</v>
      </c>
    </row>
    <row r="516" spans="1:4">
      <c r="A516" t="s">
        <v>238</v>
      </c>
      <c r="B516" t="s">
        <v>58</v>
      </c>
      <c r="C516">
        <v>120</v>
      </c>
      <c r="D516">
        <v>1</v>
      </c>
    </row>
    <row r="517" spans="1:4">
      <c r="A517" t="s">
        <v>238</v>
      </c>
      <c r="B517" t="s">
        <v>79</v>
      </c>
      <c r="C517">
        <v>120</v>
      </c>
      <c r="D517">
        <v>1</v>
      </c>
    </row>
    <row r="518" spans="1:4">
      <c r="A518" t="s">
        <v>243</v>
      </c>
      <c r="B518" t="s">
        <v>125</v>
      </c>
      <c r="C518">
        <v>30</v>
      </c>
      <c r="D518">
        <v>2</v>
      </c>
    </row>
    <row r="519" spans="1:4">
      <c r="A519" t="s">
        <v>241</v>
      </c>
      <c r="B519" t="s">
        <v>134</v>
      </c>
      <c r="C519">
        <v>30</v>
      </c>
      <c r="D519">
        <v>2</v>
      </c>
    </row>
    <row r="520" spans="1:4">
      <c r="A520" t="s">
        <v>238</v>
      </c>
      <c r="B520" t="s">
        <v>134</v>
      </c>
      <c r="C520">
        <v>30</v>
      </c>
      <c r="D520">
        <v>2</v>
      </c>
    </row>
    <row r="521" spans="1:4">
      <c r="A521" t="s">
        <v>242</v>
      </c>
      <c r="B521" t="s">
        <v>134</v>
      </c>
      <c r="C521">
        <v>30</v>
      </c>
      <c r="D521">
        <v>2</v>
      </c>
    </row>
    <row r="522" spans="1:4">
      <c r="A522" t="s">
        <v>243</v>
      </c>
      <c r="B522" t="s">
        <v>140</v>
      </c>
      <c r="C522">
        <v>30</v>
      </c>
      <c r="D522">
        <v>2</v>
      </c>
    </row>
    <row r="523" spans="1:4">
      <c r="A523" t="s">
        <v>251</v>
      </c>
      <c r="B523" t="s">
        <v>2</v>
      </c>
      <c r="C523">
        <v>31</v>
      </c>
      <c r="D523">
        <v>2</v>
      </c>
    </row>
    <row r="524" spans="1:4">
      <c r="A524" t="s">
        <v>246</v>
      </c>
      <c r="B524" t="s">
        <v>2</v>
      </c>
      <c r="C524">
        <v>31</v>
      </c>
      <c r="D524">
        <v>2</v>
      </c>
    </row>
    <row r="525" spans="1:4">
      <c r="A525" t="s">
        <v>240</v>
      </c>
      <c r="B525" t="s">
        <v>115</v>
      </c>
      <c r="C525">
        <v>31</v>
      </c>
      <c r="D525">
        <v>2</v>
      </c>
    </row>
    <row r="526" spans="1:4">
      <c r="A526" t="s">
        <v>247</v>
      </c>
      <c r="B526" t="s">
        <v>166</v>
      </c>
      <c r="C526">
        <v>31</v>
      </c>
      <c r="D526">
        <v>2</v>
      </c>
    </row>
    <row r="527" spans="1:4">
      <c r="A527" t="s">
        <v>241</v>
      </c>
      <c r="B527" t="s">
        <v>23</v>
      </c>
      <c r="C527">
        <v>32</v>
      </c>
      <c r="D527">
        <v>2</v>
      </c>
    </row>
    <row r="528" spans="1:4">
      <c r="A528" t="s">
        <v>240</v>
      </c>
      <c r="B528" t="s">
        <v>23</v>
      </c>
      <c r="C528">
        <v>32</v>
      </c>
      <c r="D528">
        <v>2</v>
      </c>
    </row>
    <row r="529" spans="1:4">
      <c r="A529" t="s">
        <v>238</v>
      </c>
      <c r="B529" t="s">
        <v>114</v>
      </c>
      <c r="C529">
        <v>32</v>
      </c>
      <c r="D529">
        <v>2</v>
      </c>
    </row>
    <row r="530" spans="1:4">
      <c r="A530" t="s">
        <v>243</v>
      </c>
      <c r="B530" t="s">
        <v>114</v>
      </c>
      <c r="C530">
        <v>32</v>
      </c>
      <c r="D530">
        <v>2</v>
      </c>
    </row>
    <row r="531" spans="1:4">
      <c r="A531" t="s">
        <v>241</v>
      </c>
      <c r="B531" t="s">
        <v>114</v>
      </c>
      <c r="C531">
        <v>32</v>
      </c>
      <c r="D531">
        <v>2</v>
      </c>
    </row>
    <row r="532" spans="1:4">
      <c r="A532" t="s">
        <v>249</v>
      </c>
      <c r="B532" t="s">
        <v>122</v>
      </c>
      <c r="C532">
        <v>32</v>
      </c>
      <c r="D532">
        <v>2</v>
      </c>
    </row>
    <row r="533" spans="1:4">
      <c r="A533" t="s">
        <v>240</v>
      </c>
      <c r="B533" t="s">
        <v>51</v>
      </c>
      <c r="C533">
        <v>33</v>
      </c>
      <c r="D533">
        <v>2</v>
      </c>
    </row>
    <row r="534" spans="1:4">
      <c r="A534" t="s">
        <v>243</v>
      </c>
      <c r="B534" t="s">
        <v>81</v>
      </c>
      <c r="C534">
        <v>33</v>
      </c>
      <c r="D534">
        <v>2</v>
      </c>
    </row>
    <row r="535" spans="1:4">
      <c r="A535" t="s">
        <v>240</v>
      </c>
      <c r="B535" t="s">
        <v>194</v>
      </c>
      <c r="C535">
        <v>33</v>
      </c>
      <c r="D535">
        <v>2</v>
      </c>
    </row>
    <row r="536" spans="1:4">
      <c r="A536" t="s">
        <v>242</v>
      </c>
      <c r="B536" t="s">
        <v>194</v>
      </c>
      <c r="C536">
        <v>33</v>
      </c>
      <c r="D536">
        <v>2</v>
      </c>
    </row>
    <row r="537" spans="1:4">
      <c r="A537" t="s">
        <v>243</v>
      </c>
      <c r="B537" t="s">
        <v>210</v>
      </c>
      <c r="C537">
        <v>33</v>
      </c>
      <c r="D537">
        <v>2</v>
      </c>
    </row>
    <row r="538" spans="1:4">
      <c r="A538" t="s">
        <v>249</v>
      </c>
      <c r="B538" t="s">
        <v>210</v>
      </c>
      <c r="C538">
        <v>33</v>
      </c>
      <c r="D538">
        <v>2</v>
      </c>
    </row>
    <row r="539" spans="1:4">
      <c r="A539" t="s">
        <v>238</v>
      </c>
      <c r="B539" t="s">
        <v>210</v>
      </c>
      <c r="C539">
        <v>33</v>
      </c>
      <c r="D539">
        <v>2</v>
      </c>
    </row>
    <row r="540" spans="1:4">
      <c r="A540" t="s">
        <v>241</v>
      </c>
      <c r="B540" t="s">
        <v>56</v>
      </c>
      <c r="C540">
        <v>34</v>
      </c>
      <c r="D540">
        <v>2</v>
      </c>
    </row>
    <row r="541" spans="1:4">
      <c r="A541" t="s">
        <v>239</v>
      </c>
      <c r="B541" t="s">
        <v>76</v>
      </c>
      <c r="C541">
        <v>34</v>
      </c>
      <c r="D541">
        <v>2</v>
      </c>
    </row>
    <row r="542" spans="1:4">
      <c r="A542" t="s">
        <v>243</v>
      </c>
      <c r="B542" t="s">
        <v>40</v>
      </c>
      <c r="C542">
        <v>35</v>
      </c>
      <c r="D542">
        <v>2</v>
      </c>
    </row>
    <row r="543" spans="1:4">
      <c r="A543" t="s">
        <v>239</v>
      </c>
      <c r="B543" t="s">
        <v>133</v>
      </c>
      <c r="C543">
        <v>35</v>
      </c>
      <c r="D543">
        <v>2</v>
      </c>
    </row>
    <row r="544" spans="1:4">
      <c r="A544" t="s">
        <v>246</v>
      </c>
      <c r="B544" t="s">
        <v>162</v>
      </c>
      <c r="C544">
        <v>36</v>
      </c>
      <c r="D544">
        <v>2</v>
      </c>
    </row>
    <row r="545" spans="1:4">
      <c r="A545" t="s">
        <v>240</v>
      </c>
      <c r="B545" t="s">
        <v>85</v>
      </c>
      <c r="C545">
        <v>37</v>
      </c>
      <c r="D545">
        <v>2</v>
      </c>
    </row>
    <row r="546" spans="1:4">
      <c r="A546" t="s">
        <v>242</v>
      </c>
      <c r="B546" t="s">
        <v>53</v>
      </c>
      <c r="C546">
        <v>38</v>
      </c>
      <c r="D546">
        <v>2</v>
      </c>
    </row>
    <row r="547" spans="1:4">
      <c r="A547" t="s">
        <v>241</v>
      </c>
      <c r="B547" t="s">
        <v>94</v>
      </c>
      <c r="C547">
        <v>38</v>
      </c>
      <c r="D547">
        <v>2</v>
      </c>
    </row>
    <row r="548" spans="1:4">
      <c r="A548" t="s">
        <v>242</v>
      </c>
      <c r="B548" t="s">
        <v>26</v>
      </c>
      <c r="C548">
        <v>39</v>
      </c>
      <c r="D548">
        <v>2</v>
      </c>
    </row>
    <row r="549" spans="1:4">
      <c r="A549" t="s">
        <v>240</v>
      </c>
      <c r="B549" t="s">
        <v>60</v>
      </c>
      <c r="C549">
        <v>39</v>
      </c>
      <c r="D549">
        <v>2</v>
      </c>
    </row>
    <row r="550" spans="1:4">
      <c r="A550" t="s">
        <v>242</v>
      </c>
      <c r="B550" t="s">
        <v>146</v>
      </c>
      <c r="C550">
        <v>39</v>
      </c>
      <c r="D550">
        <v>2</v>
      </c>
    </row>
    <row r="551" spans="1:4">
      <c r="A551" t="s">
        <v>244</v>
      </c>
      <c r="B551" t="s">
        <v>75</v>
      </c>
      <c r="C551">
        <v>40</v>
      </c>
      <c r="D551">
        <v>2</v>
      </c>
    </row>
    <row r="552" spans="1:4">
      <c r="A552" t="s">
        <v>240</v>
      </c>
      <c r="B552" t="s">
        <v>83</v>
      </c>
      <c r="C552">
        <v>41</v>
      </c>
      <c r="D552">
        <v>2</v>
      </c>
    </row>
    <row r="553" spans="1:4">
      <c r="A553" t="s">
        <v>240</v>
      </c>
      <c r="B553" t="s">
        <v>110</v>
      </c>
      <c r="C553">
        <v>42</v>
      </c>
      <c r="D553">
        <v>2</v>
      </c>
    </row>
    <row r="554" spans="1:4">
      <c r="A554" t="s">
        <v>238</v>
      </c>
      <c r="B554" t="s">
        <v>201</v>
      </c>
      <c r="C554">
        <v>42</v>
      </c>
      <c r="D554">
        <v>2</v>
      </c>
    </row>
    <row r="555" spans="1:4">
      <c r="A555" t="s">
        <v>239</v>
      </c>
      <c r="B555" t="s">
        <v>65</v>
      </c>
      <c r="C555">
        <v>43</v>
      </c>
      <c r="D555">
        <v>2</v>
      </c>
    </row>
    <row r="556" spans="1:4">
      <c r="A556" t="s">
        <v>241</v>
      </c>
      <c r="B556" t="s">
        <v>219</v>
      </c>
      <c r="C556">
        <v>43</v>
      </c>
      <c r="D556">
        <v>2</v>
      </c>
    </row>
    <row r="557" spans="1:4">
      <c r="A557" t="s">
        <v>240</v>
      </c>
      <c r="B557" t="s">
        <v>170</v>
      </c>
      <c r="C557">
        <v>45</v>
      </c>
      <c r="D557">
        <v>2</v>
      </c>
    </row>
    <row r="558" spans="1:4">
      <c r="A558" t="s">
        <v>241</v>
      </c>
      <c r="B558" t="s">
        <v>29</v>
      </c>
      <c r="C558">
        <v>46</v>
      </c>
      <c r="D558">
        <v>2</v>
      </c>
    </row>
    <row r="559" spans="1:4">
      <c r="A559" t="s">
        <v>243</v>
      </c>
      <c r="B559" t="s">
        <v>150</v>
      </c>
      <c r="C559">
        <v>46</v>
      </c>
      <c r="D559">
        <v>2</v>
      </c>
    </row>
    <row r="560" spans="1:4">
      <c r="A560" t="s">
        <v>241</v>
      </c>
      <c r="B560" t="s">
        <v>205</v>
      </c>
      <c r="C560">
        <v>47</v>
      </c>
      <c r="D560">
        <v>2</v>
      </c>
    </row>
    <row r="561" spans="1:4">
      <c r="A561" t="s">
        <v>241</v>
      </c>
      <c r="B561" t="s">
        <v>31</v>
      </c>
      <c r="C561">
        <v>48</v>
      </c>
      <c r="D561">
        <v>2</v>
      </c>
    </row>
    <row r="562" spans="1:4">
      <c r="A562" t="s">
        <v>239</v>
      </c>
      <c r="B562" t="s">
        <v>7</v>
      </c>
      <c r="C562">
        <v>49</v>
      </c>
      <c r="D562">
        <v>2</v>
      </c>
    </row>
    <row r="563" spans="1:4">
      <c r="A563" t="s">
        <v>241</v>
      </c>
      <c r="B563" t="s">
        <v>35</v>
      </c>
      <c r="C563">
        <v>49</v>
      </c>
      <c r="D563">
        <v>2</v>
      </c>
    </row>
    <row r="564" spans="1:4">
      <c r="A564" t="s">
        <v>240</v>
      </c>
      <c r="B564" t="s">
        <v>105</v>
      </c>
      <c r="C564">
        <v>49</v>
      </c>
      <c r="D564">
        <v>2</v>
      </c>
    </row>
    <row r="565" spans="1:4">
      <c r="A565" t="s">
        <v>241</v>
      </c>
      <c r="B565" t="s">
        <v>105</v>
      </c>
      <c r="C565">
        <v>49</v>
      </c>
      <c r="D565">
        <v>2</v>
      </c>
    </row>
    <row r="566" spans="1:4">
      <c r="A566" t="s">
        <v>242</v>
      </c>
      <c r="B566" t="s">
        <v>105</v>
      </c>
      <c r="C566">
        <v>49</v>
      </c>
      <c r="D566">
        <v>2</v>
      </c>
    </row>
    <row r="567" spans="1:4">
      <c r="A567" t="s">
        <v>242</v>
      </c>
      <c r="B567" t="s">
        <v>235</v>
      </c>
      <c r="C567">
        <v>50</v>
      </c>
      <c r="D567">
        <v>2</v>
      </c>
    </row>
    <row r="568" spans="1:4">
      <c r="A568" t="s">
        <v>241</v>
      </c>
      <c r="B568" t="s">
        <v>203</v>
      </c>
      <c r="C568">
        <v>51</v>
      </c>
      <c r="D568">
        <v>2</v>
      </c>
    </row>
    <row r="569" spans="1:4">
      <c r="A569" t="s">
        <v>239</v>
      </c>
      <c r="B569" t="s">
        <v>17</v>
      </c>
      <c r="C569">
        <v>52</v>
      </c>
      <c r="D569">
        <v>2</v>
      </c>
    </row>
    <row r="570" spans="1:4">
      <c r="A570" t="s">
        <v>243</v>
      </c>
      <c r="B570" t="s">
        <v>17</v>
      </c>
      <c r="C570">
        <v>52</v>
      </c>
      <c r="D570">
        <v>2</v>
      </c>
    </row>
    <row r="571" spans="1:4">
      <c r="A571" t="s">
        <v>243</v>
      </c>
      <c r="B571" t="s">
        <v>72</v>
      </c>
      <c r="C571">
        <v>52</v>
      </c>
      <c r="D571">
        <v>2</v>
      </c>
    </row>
    <row r="572" spans="1:4">
      <c r="A572" t="s">
        <v>246</v>
      </c>
      <c r="B572" t="s">
        <v>128</v>
      </c>
      <c r="C572">
        <v>53</v>
      </c>
      <c r="D572">
        <v>2</v>
      </c>
    </row>
    <row r="573" spans="1:4">
      <c r="A573" t="s">
        <v>245</v>
      </c>
      <c r="B573" t="s">
        <v>128</v>
      </c>
      <c r="C573">
        <v>53</v>
      </c>
      <c r="D573">
        <v>2</v>
      </c>
    </row>
    <row r="574" spans="1:4">
      <c r="A574" t="s">
        <v>239</v>
      </c>
      <c r="B574" t="s">
        <v>100</v>
      </c>
      <c r="C574">
        <v>54</v>
      </c>
      <c r="D574">
        <v>2</v>
      </c>
    </row>
    <row r="575" spans="1:4">
      <c r="A575" t="s">
        <v>243</v>
      </c>
      <c r="B575" t="s">
        <v>102</v>
      </c>
      <c r="C575">
        <v>54</v>
      </c>
      <c r="D575">
        <v>2</v>
      </c>
    </row>
    <row r="576" spans="1:4">
      <c r="A576" t="s">
        <v>238</v>
      </c>
      <c r="B576" t="s">
        <v>102</v>
      </c>
      <c r="C576">
        <v>54</v>
      </c>
      <c r="D576">
        <v>2</v>
      </c>
    </row>
    <row r="577" spans="1:4">
      <c r="A577" t="s">
        <v>239</v>
      </c>
      <c r="B577" t="s">
        <v>102</v>
      </c>
      <c r="C577">
        <v>54</v>
      </c>
      <c r="D577">
        <v>2</v>
      </c>
    </row>
    <row r="578" spans="1:4">
      <c r="A578" t="s">
        <v>243</v>
      </c>
      <c r="B578" t="s">
        <v>66</v>
      </c>
      <c r="C578">
        <v>55</v>
      </c>
      <c r="D578">
        <v>2</v>
      </c>
    </row>
    <row r="579" spans="1:4">
      <c r="A579" t="s">
        <v>242</v>
      </c>
      <c r="B579" t="s">
        <v>52</v>
      </c>
      <c r="C579">
        <v>56</v>
      </c>
      <c r="D579">
        <v>2</v>
      </c>
    </row>
    <row r="580" spans="1:4">
      <c r="A580" t="s">
        <v>241</v>
      </c>
      <c r="B580" t="s">
        <v>177</v>
      </c>
      <c r="C580">
        <v>56</v>
      </c>
      <c r="D580">
        <v>2</v>
      </c>
    </row>
    <row r="581" spans="1:4">
      <c r="A581" t="s">
        <v>242</v>
      </c>
      <c r="B581" t="s">
        <v>209</v>
      </c>
      <c r="C581">
        <v>57</v>
      </c>
      <c r="D581">
        <v>2</v>
      </c>
    </row>
    <row r="582" spans="1:4">
      <c r="A582" t="s">
        <v>241</v>
      </c>
      <c r="B582" t="s">
        <v>209</v>
      </c>
      <c r="C582">
        <v>57</v>
      </c>
      <c r="D582">
        <v>2</v>
      </c>
    </row>
    <row r="583" spans="1:4">
      <c r="A583" t="s">
        <v>238</v>
      </c>
      <c r="B583" t="s">
        <v>93</v>
      </c>
      <c r="C583">
        <v>59</v>
      </c>
      <c r="D583">
        <v>2</v>
      </c>
    </row>
    <row r="584" spans="1:4">
      <c r="A584" t="s">
        <v>242</v>
      </c>
      <c r="B584" t="s">
        <v>93</v>
      </c>
      <c r="C584">
        <v>59</v>
      </c>
      <c r="D584">
        <v>2</v>
      </c>
    </row>
    <row r="585" spans="1:4">
      <c r="A585" t="s">
        <v>242</v>
      </c>
      <c r="B585" t="s">
        <v>77</v>
      </c>
      <c r="C585">
        <v>60</v>
      </c>
      <c r="D585">
        <v>2</v>
      </c>
    </row>
    <row r="586" spans="1:4">
      <c r="A586" t="s">
        <v>238</v>
      </c>
      <c r="B586" t="s">
        <v>33</v>
      </c>
      <c r="C586">
        <v>61</v>
      </c>
      <c r="D586">
        <v>2</v>
      </c>
    </row>
    <row r="587" spans="1:4">
      <c r="A587" t="s">
        <v>241</v>
      </c>
      <c r="B587" t="s">
        <v>33</v>
      </c>
      <c r="C587">
        <v>61</v>
      </c>
      <c r="D587">
        <v>2</v>
      </c>
    </row>
    <row r="588" spans="1:4">
      <c r="A588" t="s">
        <v>241</v>
      </c>
      <c r="B588" t="s">
        <v>156</v>
      </c>
      <c r="C588">
        <v>62</v>
      </c>
      <c r="D588">
        <v>2</v>
      </c>
    </row>
    <row r="589" spans="1:4">
      <c r="A589" t="s">
        <v>240</v>
      </c>
      <c r="B589" t="s">
        <v>156</v>
      </c>
      <c r="C589">
        <v>62</v>
      </c>
      <c r="D589">
        <v>2</v>
      </c>
    </row>
    <row r="590" spans="1:4">
      <c r="A590" t="s">
        <v>240</v>
      </c>
      <c r="B590" t="s">
        <v>159</v>
      </c>
      <c r="C590">
        <v>63</v>
      </c>
      <c r="D590">
        <v>2</v>
      </c>
    </row>
    <row r="591" spans="1:4">
      <c r="A591" t="s">
        <v>243</v>
      </c>
      <c r="B591" t="s">
        <v>159</v>
      </c>
      <c r="C591">
        <v>63</v>
      </c>
      <c r="D591">
        <v>2</v>
      </c>
    </row>
    <row r="592" spans="1:4">
      <c r="A592" t="s">
        <v>248</v>
      </c>
      <c r="B592" t="s">
        <v>9</v>
      </c>
      <c r="C592">
        <v>64</v>
      </c>
      <c r="D592">
        <v>2</v>
      </c>
    </row>
    <row r="593" spans="1:4">
      <c r="A593" t="s">
        <v>240</v>
      </c>
      <c r="B593" t="s">
        <v>9</v>
      </c>
      <c r="C593">
        <v>64</v>
      </c>
      <c r="D593">
        <v>2</v>
      </c>
    </row>
    <row r="594" spans="1:4">
      <c r="A594" t="s">
        <v>248</v>
      </c>
      <c r="B594" t="s">
        <v>28</v>
      </c>
      <c r="C594">
        <v>64</v>
      </c>
      <c r="D594">
        <v>2</v>
      </c>
    </row>
    <row r="595" spans="1:4">
      <c r="A595" t="s">
        <v>240</v>
      </c>
      <c r="B595" t="s">
        <v>225</v>
      </c>
      <c r="C595">
        <v>64</v>
      </c>
      <c r="D595">
        <v>2</v>
      </c>
    </row>
    <row r="596" spans="1:4">
      <c r="A596" t="s">
        <v>242</v>
      </c>
      <c r="B596" t="s">
        <v>173</v>
      </c>
      <c r="C596">
        <v>65</v>
      </c>
      <c r="D596">
        <v>2</v>
      </c>
    </row>
    <row r="597" spans="1:4">
      <c r="A597" t="s">
        <v>243</v>
      </c>
      <c r="B597" t="s">
        <v>173</v>
      </c>
      <c r="C597">
        <v>65</v>
      </c>
      <c r="D597">
        <v>2</v>
      </c>
    </row>
    <row r="598" spans="1:4">
      <c r="A598" t="s">
        <v>242</v>
      </c>
      <c r="B598" t="s">
        <v>55</v>
      </c>
      <c r="C598">
        <v>66</v>
      </c>
      <c r="D598">
        <v>2</v>
      </c>
    </row>
    <row r="599" spans="1:4">
      <c r="A599" t="s">
        <v>240</v>
      </c>
      <c r="B599" t="s">
        <v>144</v>
      </c>
      <c r="C599">
        <v>66</v>
      </c>
      <c r="D599">
        <v>2</v>
      </c>
    </row>
    <row r="600" spans="1:4">
      <c r="A600" t="s">
        <v>243</v>
      </c>
      <c r="B600" t="s">
        <v>144</v>
      </c>
      <c r="C600">
        <v>66</v>
      </c>
      <c r="D600">
        <v>2</v>
      </c>
    </row>
    <row r="601" spans="1:4">
      <c r="A601" t="s">
        <v>239</v>
      </c>
      <c r="B601" t="s">
        <v>182</v>
      </c>
      <c r="C601">
        <v>67</v>
      </c>
      <c r="D601">
        <v>2</v>
      </c>
    </row>
    <row r="602" spans="1:4">
      <c r="A602" t="s">
        <v>242</v>
      </c>
      <c r="B602" t="s">
        <v>86</v>
      </c>
      <c r="C602">
        <v>68</v>
      </c>
      <c r="D602">
        <v>2</v>
      </c>
    </row>
    <row r="603" spans="1:4">
      <c r="A603" t="s">
        <v>243</v>
      </c>
      <c r="B603" t="s">
        <v>223</v>
      </c>
      <c r="C603">
        <v>68</v>
      </c>
      <c r="D603">
        <v>2</v>
      </c>
    </row>
    <row r="604" spans="1:4">
      <c r="A604" t="s">
        <v>240</v>
      </c>
      <c r="B604" t="s">
        <v>131</v>
      </c>
      <c r="C604">
        <v>69</v>
      </c>
      <c r="D604">
        <v>2</v>
      </c>
    </row>
    <row r="605" spans="1:4">
      <c r="A605" t="s">
        <v>242</v>
      </c>
      <c r="B605" t="s">
        <v>147</v>
      </c>
      <c r="C605">
        <v>69</v>
      </c>
      <c r="D605">
        <v>2</v>
      </c>
    </row>
    <row r="606" spans="1:4">
      <c r="A606" t="s">
        <v>239</v>
      </c>
      <c r="B606" t="s">
        <v>147</v>
      </c>
      <c r="C606">
        <v>69</v>
      </c>
      <c r="D606">
        <v>2</v>
      </c>
    </row>
    <row r="607" spans="1:4">
      <c r="A607" t="s">
        <v>244</v>
      </c>
      <c r="B607" t="s">
        <v>147</v>
      </c>
      <c r="C607">
        <v>69</v>
      </c>
      <c r="D607">
        <v>2</v>
      </c>
    </row>
    <row r="608" spans="1:4">
      <c r="A608" t="s">
        <v>240</v>
      </c>
      <c r="B608" t="s">
        <v>155</v>
      </c>
      <c r="C608">
        <v>69</v>
      </c>
      <c r="D608">
        <v>2</v>
      </c>
    </row>
    <row r="609" spans="1:4">
      <c r="A609" t="s">
        <v>242</v>
      </c>
      <c r="B609" t="s">
        <v>196</v>
      </c>
      <c r="C609">
        <v>71</v>
      </c>
      <c r="D609">
        <v>2</v>
      </c>
    </row>
    <row r="610" spans="1:4">
      <c r="A610" t="s">
        <v>240</v>
      </c>
      <c r="B610" t="s">
        <v>59</v>
      </c>
      <c r="C610">
        <v>72</v>
      </c>
      <c r="D610">
        <v>2</v>
      </c>
    </row>
    <row r="611" spans="1:4">
      <c r="A611" t="s">
        <v>244</v>
      </c>
      <c r="B611" t="s">
        <v>59</v>
      </c>
      <c r="C611">
        <v>72</v>
      </c>
      <c r="D611">
        <v>2</v>
      </c>
    </row>
    <row r="612" spans="1:4">
      <c r="A612" t="s">
        <v>242</v>
      </c>
      <c r="B612" t="s">
        <v>82</v>
      </c>
      <c r="C612">
        <v>73</v>
      </c>
      <c r="D612">
        <v>2</v>
      </c>
    </row>
    <row r="613" spans="1:4">
      <c r="A613" t="s">
        <v>239</v>
      </c>
      <c r="B613" t="s">
        <v>82</v>
      </c>
      <c r="C613">
        <v>73</v>
      </c>
      <c r="D613">
        <v>2</v>
      </c>
    </row>
    <row r="614" spans="1:4">
      <c r="A614" t="s">
        <v>242</v>
      </c>
      <c r="B614" t="s">
        <v>87</v>
      </c>
      <c r="C614">
        <v>74</v>
      </c>
      <c r="D614">
        <v>2</v>
      </c>
    </row>
    <row r="615" spans="1:4">
      <c r="A615" t="s">
        <v>241</v>
      </c>
      <c r="B615" t="s">
        <v>87</v>
      </c>
      <c r="C615">
        <v>74</v>
      </c>
      <c r="D615">
        <v>2</v>
      </c>
    </row>
    <row r="616" spans="1:4">
      <c r="A616" t="s">
        <v>243</v>
      </c>
      <c r="B616" t="s">
        <v>229</v>
      </c>
      <c r="C616">
        <v>74</v>
      </c>
      <c r="D616">
        <v>2</v>
      </c>
    </row>
    <row r="617" spans="1:4">
      <c r="A617" t="s">
        <v>248</v>
      </c>
      <c r="B617" t="s">
        <v>229</v>
      </c>
      <c r="C617">
        <v>74</v>
      </c>
      <c r="D617">
        <v>2</v>
      </c>
    </row>
    <row r="618" spans="1:4">
      <c r="A618" t="s">
        <v>249</v>
      </c>
      <c r="B618" t="s">
        <v>229</v>
      </c>
      <c r="C618">
        <v>74</v>
      </c>
      <c r="D618">
        <v>2</v>
      </c>
    </row>
    <row r="619" spans="1:4">
      <c r="A619" t="s">
        <v>242</v>
      </c>
      <c r="B619" t="s">
        <v>18</v>
      </c>
      <c r="C619">
        <v>75</v>
      </c>
      <c r="D619">
        <v>2</v>
      </c>
    </row>
    <row r="620" spans="1:4">
      <c r="A620" t="s">
        <v>247</v>
      </c>
      <c r="B620" t="s">
        <v>161</v>
      </c>
      <c r="C620">
        <v>75</v>
      </c>
      <c r="D620">
        <v>2</v>
      </c>
    </row>
    <row r="621" spans="1:4">
      <c r="A621" t="s">
        <v>246</v>
      </c>
      <c r="B621" t="s">
        <v>161</v>
      </c>
      <c r="C621">
        <v>75</v>
      </c>
      <c r="D621">
        <v>2</v>
      </c>
    </row>
    <row r="622" spans="1:4">
      <c r="A622" t="s">
        <v>241</v>
      </c>
      <c r="B622" t="s">
        <v>198</v>
      </c>
      <c r="C622">
        <v>75</v>
      </c>
      <c r="D622">
        <v>2</v>
      </c>
    </row>
    <row r="623" spans="1:4">
      <c r="A623" t="s">
        <v>238</v>
      </c>
      <c r="B623" t="s">
        <v>116</v>
      </c>
      <c r="C623">
        <v>76</v>
      </c>
      <c r="D623">
        <v>2</v>
      </c>
    </row>
    <row r="624" spans="1:4">
      <c r="A624" t="s">
        <v>239</v>
      </c>
      <c r="B624" t="s">
        <v>116</v>
      </c>
      <c r="C624">
        <v>76</v>
      </c>
      <c r="D624">
        <v>2</v>
      </c>
    </row>
    <row r="625" spans="1:4">
      <c r="A625" t="s">
        <v>239</v>
      </c>
      <c r="B625" t="s">
        <v>117</v>
      </c>
      <c r="C625">
        <v>76</v>
      </c>
      <c r="D625">
        <v>2</v>
      </c>
    </row>
    <row r="626" spans="1:4">
      <c r="A626" t="s">
        <v>243</v>
      </c>
      <c r="B626" t="s">
        <v>117</v>
      </c>
      <c r="C626">
        <v>76</v>
      </c>
      <c r="D626">
        <v>2</v>
      </c>
    </row>
    <row r="627" spans="1:4">
      <c r="A627" t="s">
        <v>240</v>
      </c>
      <c r="B627" t="s">
        <v>181</v>
      </c>
      <c r="C627">
        <v>76</v>
      </c>
      <c r="D627">
        <v>2</v>
      </c>
    </row>
    <row r="628" spans="1:4">
      <c r="A628" t="s">
        <v>240</v>
      </c>
      <c r="B628" t="s">
        <v>4</v>
      </c>
      <c r="C628">
        <v>77</v>
      </c>
      <c r="D628">
        <v>2</v>
      </c>
    </row>
    <row r="629" spans="1:4">
      <c r="A629" t="s">
        <v>238</v>
      </c>
      <c r="B629" t="s">
        <v>154</v>
      </c>
      <c r="C629">
        <v>78</v>
      </c>
      <c r="D629">
        <v>2</v>
      </c>
    </row>
    <row r="630" spans="1:4">
      <c r="A630" t="s">
        <v>242</v>
      </c>
      <c r="B630" t="s">
        <v>217</v>
      </c>
      <c r="C630">
        <v>78</v>
      </c>
      <c r="D630">
        <v>2</v>
      </c>
    </row>
    <row r="631" spans="1:4">
      <c r="A631" t="s">
        <v>240</v>
      </c>
      <c r="B631" t="s">
        <v>217</v>
      </c>
      <c r="C631">
        <v>78</v>
      </c>
      <c r="D631">
        <v>2</v>
      </c>
    </row>
    <row r="632" spans="1:4">
      <c r="A632" t="s">
        <v>243</v>
      </c>
      <c r="B632" t="s">
        <v>217</v>
      </c>
      <c r="C632">
        <v>78</v>
      </c>
      <c r="D632">
        <v>2</v>
      </c>
    </row>
    <row r="633" spans="1:4">
      <c r="A633" t="s">
        <v>243</v>
      </c>
      <c r="B633" t="s">
        <v>180</v>
      </c>
      <c r="C633">
        <v>79</v>
      </c>
      <c r="D633">
        <v>2</v>
      </c>
    </row>
    <row r="634" spans="1:4">
      <c r="A634" t="s">
        <v>241</v>
      </c>
      <c r="B634" t="s">
        <v>176</v>
      </c>
      <c r="C634">
        <v>80</v>
      </c>
      <c r="D634">
        <v>2</v>
      </c>
    </row>
    <row r="635" spans="1:4">
      <c r="A635" t="s">
        <v>239</v>
      </c>
      <c r="B635" t="s">
        <v>80</v>
      </c>
      <c r="C635">
        <v>81</v>
      </c>
      <c r="D635">
        <v>2</v>
      </c>
    </row>
    <row r="636" spans="1:4">
      <c r="A636" t="s">
        <v>240</v>
      </c>
      <c r="B636" t="s">
        <v>208</v>
      </c>
      <c r="C636">
        <v>81</v>
      </c>
      <c r="D636">
        <v>2</v>
      </c>
    </row>
    <row r="637" spans="1:4">
      <c r="A637" t="s">
        <v>238</v>
      </c>
      <c r="B637" t="s">
        <v>184</v>
      </c>
      <c r="C637">
        <v>82</v>
      </c>
      <c r="D637">
        <v>2</v>
      </c>
    </row>
    <row r="638" spans="1:4">
      <c r="A638" t="s">
        <v>240</v>
      </c>
      <c r="B638" t="s">
        <v>184</v>
      </c>
      <c r="C638">
        <v>82</v>
      </c>
      <c r="D638">
        <v>2</v>
      </c>
    </row>
    <row r="639" spans="1:4">
      <c r="A639" t="s">
        <v>242</v>
      </c>
      <c r="B639" t="s">
        <v>212</v>
      </c>
      <c r="C639">
        <v>82</v>
      </c>
      <c r="D639">
        <v>2</v>
      </c>
    </row>
    <row r="640" spans="1:4">
      <c r="A640" t="s">
        <v>240</v>
      </c>
      <c r="B640" t="s">
        <v>212</v>
      </c>
      <c r="C640">
        <v>82</v>
      </c>
      <c r="D640">
        <v>2</v>
      </c>
    </row>
    <row r="641" spans="1:4">
      <c r="A641" t="s">
        <v>239</v>
      </c>
      <c r="B641" t="s">
        <v>6</v>
      </c>
      <c r="C641">
        <v>83</v>
      </c>
      <c r="D641">
        <v>2</v>
      </c>
    </row>
    <row r="642" spans="1:4">
      <c r="A642" t="s">
        <v>243</v>
      </c>
      <c r="B642" t="s">
        <v>6</v>
      </c>
      <c r="C642">
        <v>83</v>
      </c>
      <c r="D642">
        <v>2</v>
      </c>
    </row>
    <row r="643" spans="1:4">
      <c r="A643" t="s">
        <v>242</v>
      </c>
      <c r="B643" t="s">
        <v>6</v>
      </c>
      <c r="C643">
        <v>83</v>
      </c>
      <c r="D643">
        <v>2</v>
      </c>
    </row>
    <row r="644" spans="1:4">
      <c r="A644" t="s">
        <v>246</v>
      </c>
      <c r="B644" t="s">
        <v>41</v>
      </c>
      <c r="C644">
        <v>86</v>
      </c>
      <c r="D644">
        <v>2</v>
      </c>
    </row>
    <row r="645" spans="1:4">
      <c r="A645" t="s">
        <v>238</v>
      </c>
      <c r="B645" t="s">
        <v>89</v>
      </c>
      <c r="C645">
        <v>87</v>
      </c>
      <c r="D645">
        <v>2</v>
      </c>
    </row>
    <row r="646" spans="1:4">
      <c r="A646" t="s">
        <v>248</v>
      </c>
      <c r="B646" t="s">
        <v>89</v>
      </c>
      <c r="C646">
        <v>87</v>
      </c>
      <c r="D646">
        <v>2</v>
      </c>
    </row>
    <row r="647" spans="1:4">
      <c r="A647" t="s">
        <v>239</v>
      </c>
      <c r="B647" t="s">
        <v>178</v>
      </c>
      <c r="C647">
        <v>87</v>
      </c>
      <c r="D647">
        <v>2</v>
      </c>
    </row>
    <row r="648" spans="1:4">
      <c r="A648" t="s">
        <v>241</v>
      </c>
      <c r="B648" t="s">
        <v>139</v>
      </c>
      <c r="C648">
        <v>89</v>
      </c>
      <c r="D648">
        <v>2</v>
      </c>
    </row>
    <row r="649" spans="1:4">
      <c r="A649" t="s">
        <v>240</v>
      </c>
      <c r="B649" t="s">
        <v>139</v>
      </c>
      <c r="C649">
        <v>89</v>
      </c>
      <c r="D649">
        <v>2</v>
      </c>
    </row>
    <row r="650" spans="1:4">
      <c r="A650" t="s">
        <v>242</v>
      </c>
      <c r="B650" t="s">
        <v>139</v>
      </c>
      <c r="C650">
        <v>89</v>
      </c>
      <c r="D650">
        <v>2</v>
      </c>
    </row>
    <row r="651" spans="1:4">
      <c r="A651" t="s">
        <v>242</v>
      </c>
      <c r="B651" t="s">
        <v>54</v>
      </c>
      <c r="C651">
        <v>90</v>
      </c>
      <c r="D651">
        <v>2</v>
      </c>
    </row>
    <row r="652" spans="1:4">
      <c r="A652" t="s">
        <v>240</v>
      </c>
      <c r="B652" t="s">
        <v>226</v>
      </c>
      <c r="C652">
        <v>90</v>
      </c>
      <c r="D652">
        <v>2</v>
      </c>
    </row>
    <row r="653" spans="1:4">
      <c r="A653" t="s">
        <v>241</v>
      </c>
      <c r="B653" t="s">
        <v>121</v>
      </c>
      <c r="C653">
        <v>91</v>
      </c>
      <c r="D653">
        <v>2</v>
      </c>
    </row>
    <row r="654" spans="1:4">
      <c r="A654" t="s">
        <v>247</v>
      </c>
      <c r="B654" t="s">
        <v>186</v>
      </c>
      <c r="C654">
        <v>92</v>
      </c>
      <c r="D654">
        <v>2</v>
      </c>
    </row>
    <row r="655" spans="1:4">
      <c r="A655" t="s">
        <v>243</v>
      </c>
      <c r="B655" t="s">
        <v>5</v>
      </c>
      <c r="C655">
        <v>93</v>
      </c>
      <c r="D655">
        <v>2</v>
      </c>
    </row>
    <row r="656" spans="1:4">
      <c r="A656" t="s">
        <v>241</v>
      </c>
      <c r="B656" t="s">
        <v>5</v>
      </c>
      <c r="C656">
        <v>93</v>
      </c>
      <c r="D656">
        <v>2</v>
      </c>
    </row>
    <row r="657" spans="1:4">
      <c r="A657" t="s">
        <v>240</v>
      </c>
      <c r="B657" t="s">
        <v>5</v>
      </c>
      <c r="C657">
        <v>93</v>
      </c>
      <c r="D657">
        <v>2</v>
      </c>
    </row>
    <row r="658" spans="1:4">
      <c r="A658" t="s">
        <v>242</v>
      </c>
      <c r="B658" t="s">
        <v>78</v>
      </c>
      <c r="C658">
        <v>93</v>
      </c>
      <c r="D658">
        <v>2</v>
      </c>
    </row>
    <row r="659" spans="1:4">
      <c r="A659" t="s">
        <v>238</v>
      </c>
      <c r="B659" t="s">
        <v>149</v>
      </c>
      <c r="C659">
        <v>93</v>
      </c>
      <c r="D659">
        <v>2</v>
      </c>
    </row>
    <row r="660" spans="1:4">
      <c r="A660" t="s">
        <v>242</v>
      </c>
      <c r="B660" t="s">
        <v>124</v>
      </c>
      <c r="C660">
        <v>97</v>
      </c>
      <c r="D660">
        <v>2</v>
      </c>
    </row>
    <row r="661" spans="1:4">
      <c r="A661" t="s">
        <v>241</v>
      </c>
      <c r="B661" t="s">
        <v>107</v>
      </c>
      <c r="C661">
        <v>100</v>
      </c>
      <c r="D661">
        <v>2</v>
      </c>
    </row>
    <row r="662" spans="1:4">
      <c r="A662" t="s">
        <v>245</v>
      </c>
      <c r="B662" t="s">
        <v>167</v>
      </c>
      <c r="C662">
        <v>100</v>
      </c>
      <c r="D662">
        <v>2</v>
      </c>
    </row>
    <row r="663" spans="1:4">
      <c r="A663" t="s">
        <v>238</v>
      </c>
      <c r="B663" t="s">
        <v>92</v>
      </c>
      <c r="C663">
        <v>101</v>
      </c>
      <c r="D663">
        <v>2</v>
      </c>
    </row>
    <row r="664" spans="1:4">
      <c r="A664" t="s">
        <v>243</v>
      </c>
      <c r="B664" t="s">
        <v>92</v>
      </c>
      <c r="C664">
        <v>101</v>
      </c>
      <c r="D664">
        <v>2</v>
      </c>
    </row>
    <row r="665" spans="1:4">
      <c r="A665" t="s">
        <v>242</v>
      </c>
      <c r="B665" t="s">
        <v>92</v>
      </c>
      <c r="C665">
        <v>101</v>
      </c>
      <c r="D665">
        <v>2</v>
      </c>
    </row>
    <row r="666" spans="1:4">
      <c r="A666" t="s">
        <v>242</v>
      </c>
      <c r="B666" t="s">
        <v>185</v>
      </c>
      <c r="C666">
        <v>101</v>
      </c>
      <c r="D666">
        <v>2</v>
      </c>
    </row>
    <row r="667" spans="1:4">
      <c r="A667" t="s">
        <v>242</v>
      </c>
      <c r="B667" t="s">
        <v>222</v>
      </c>
      <c r="C667">
        <v>101</v>
      </c>
      <c r="D667">
        <v>2</v>
      </c>
    </row>
    <row r="668" spans="1:4">
      <c r="A668" t="s">
        <v>241</v>
      </c>
      <c r="B668" t="s">
        <v>141</v>
      </c>
      <c r="C668">
        <v>103</v>
      </c>
      <c r="D668">
        <v>2</v>
      </c>
    </row>
    <row r="669" spans="1:4">
      <c r="A669" t="s">
        <v>242</v>
      </c>
      <c r="B669" t="s">
        <v>141</v>
      </c>
      <c r="C669">
        <v>103</v>
      </c>
      <c r="D669">
        <v>2</v>
      </c>
    </row>
    <row r="670" spans="1:4">
      <c r="A670" t="s">
        <v>245</v>
      </c>
      <c r="B670" t="s">
        <v>151</v>
      </c>
      <c r="C670">
        <v>103</v>
      </c>
      <c r="D670">
        <v>2</v>
      </c>
    </row>
    <row r="671" spans="1:4">
      <c r="A671" t="s">
        <v>240</v>
      </c>
      <c r="B671" t="s">
        <v>151</v>
      </c>
      <c r="C671">
        <v>103</v>
      </c>
      <c r="D671">
        <v>2</v>
      </c>
    </row>
    <row r="672" spans="1:4">
      <c r="A672" t="s">
        <v>239</v>
      </c>
      <c r="B672" t="s">
        <v>153</v>
      </c>
      <c r="C672">
        <v>104</v>
      </c>
      <c r="D672">
        <v>2</v>
      </c>
    </row>
    <row r="673" spans="1:4">
      <c r="A673" t="s">
        <v>241</v>
      </c>
      <c r="B673" t="s">
        <v>172</v>
      </c>
      <c r="C673">
        <v>104</v>
      </c>
      <c r="D673">
        <v>2</v>
      </c>
    </row>
    <row r="674" spans="1:4">
      <c r="A674" t="s">
        <v>240</v>
      </c>
      <c r="B674" t="s">
        <v>172</v>
      </c>
      <c r="C674">
        <v>104</v>
      </c>
      <c r="D674">
        <v>2</v>
      </c>
    </row>
    <row r="675" spans="1:4">
      <c r="A675" t="s">
        <v>242</v>
      </c>
      <c r="B675" t="s">
        <v>10</v>
      </c>
      <c r="C675">
        <v>106</v>
      </c>
      <c r="D675">
        <v>2</v>
      </c>
    </row>
    <row r="676" spans="1:4">
      <c r="A676" t="s">
        <v>241</v>
      </c>
      <c r="B676" t="s">
        <v>10</v>
      </c>
      <c r="C676">
        <v>106</v>
      </c>
      <c r="D676">
        <v>2</v>
      </c>
    </row>
    <row r="677" spans="1:4">
      <c r="A677" t="s">
        <v>238</v>
      </c>
      <c r="B677" t="s">
        <v>10</v>
      </c>
      <c r="C677">
        <v>106</v>
      </c>
      <c r="D677">
        <v>2</v>
      </c>
    </row>
    <row r="678" spans="1:4">
      <c r="A678" t="s">
        <v>240</v>
      </c>
      <c r="B678" t="s">
        <v>10</v>
      </c>
      <c r="C678">
        <v>106</v>
      </c>
      <c r="D678">
        <v>2</v>
      </c>
    </row>
    <row r="679" spans="1:4">
      <c r="A679" t="s">
        <v>243</v>
      </c>
      <c r="B679" t="s">
        <v>126</v>
      </c>
      <c r="C679">
        <v>106</v>
      </c>
      <c r="D679">
        <v>2</v>
      </c>
    </row>
    <row r="680" spans="1:4">
      <c r="A680" t="s">
        <v>238</v>
      </c>
      <c r="B680" t="s">
        <v>126</v>
      </c>
      <c r="C680">
        <v>106</v>
      </c>
      <c r="D680">
        <v>2</v>
      </c>
    </row>
    <row r="681" spans="1:4">
      <c r="A681" t="s">
        <v>239</v>
      </c>
      <c r="B681" t="s">
        <v>34</v>
      </c>
      <c r="C681">
        <v>107</v>
      </c>
      <c r="D681">
        <v>2</v>
      </c>
    </row>
    <row r="682" spans="1:4">
      <c r="A682" t="s">
        <v>242</v>
      </c>
      <c r="B682" t="s">
        <v>67</v>
      </c>
      <c r="C682">
        <v>108</v>
      </c>
      <c r="D682">
        <v>2</v>
      </c>
    </row>
    <row r="683" spans="1:4">
      <c r="A683" t="s">
        <v>243</v>
      </c>
      <c r="B683" t="s">
        <v>39</v>
      </c>
      <c r="C683">
        <v>109</v>
      </c>
      <c r="D683">
        <v>2</v>
      </c>
    </row>
    <row r="684" spans="1:4">
      <c r="A684" t="s">
        <v>239</v>
      </c>
      <c r="B684" t="s">
        <v>39</v>
      </c>
      <c r="C684">
        <v>109</v>
      </c>
      <c r="D684">
        <v>2</v>
      </c>
    </row>
    <row r="685" spans="1:4">
      <c r="A685" t="s">
        <v>242</v>
      </c>
      <c r="B685" t="s">
        <v>199</v>
      </c>
      <c r="C685">
        <v>109</v>
      </c>
      <c r="D685">
        <v>2</v>
      </c>
    </row>
    <row r="686" spans="1:4">
      <c r="A686" t="s">
        <v>250</v>
      </c>
      <c r="B686" t="s">
        <v>199</v>
      </c>
      <c r="C686">
        <v>109</v>
      </c>
      <c r="D686">
        <v>2</v>
      </c>
    </row>
    <row r="687" spans="1:4">
      <c r="A687" t="s">
        <v>242</v>
      </c>
      <c r="B687" t="s">
        <v>195</v>
      </c>
      <c r="C687">
        <v>110</v>
      </c>
      <c r="D687">
        <v>2</v>
      </c>
    </row>
    <row r="688" spans="1:4">
      <c r="A688" t="s">
        <v>240</v>
      </c>
      <c r="B688" t="s">
        <v>191</v>
      </c>
      <c r="C688">
        <v>111</v>
      </c>
      <c r="D688">
        <v>2</v>
      </c>
    </row>
    <row r="689" spans="1:4">
      <c r="A689" t="s">
        <v>241</v>
      </c>
      <c r="B689" t="s">
        <v>207</v>
      </c>
      <c r="C689">
        <v>113</v>
      </c>
      <c r="D689">
        <v>2</v>
      </c>
    </row>
    <row r="690" spans="1:4">
      <c r="A690" t="s">
        <v>241</v>
      </c>
      <c r="B690" t="s">
        <v>234</v>
      </c>
      <c r="C690">
        <v>113</v>
      </c>
      <c r="D690">
        <v>2</v>
      </c>
    </row>
    <row r="691" spans="1:4">
      <c r="A691" t="s">
        <v>242</v>
      </c>
      <c r="B691" t="s">
        <v>218</v>
      </c>
      <c r="C691">
        <v>114</v>
      </c>
      <c r="D691">
        <v>2</v>
      </c>
    </row>
    <row r="692" spans="1:4">
      <c r="A692" t="s">
        <v>239</v>
      </c>
      <c r="B692" t="s">
        <v>106</v>
      </c>
      <c r="C692">
        <v>115</v>
      </c>
      <c r="D692">
        <v>2</v>
      </c>
    </row>
    <row r="693" spans="1:4">
      <c r="A693" t="s">
        <v>246</v>
      </c>
      <c r="B693" t="s">
        <v>152</v>
      </c>
      <c r="C693">
        <v>115</v>
      </c>
      <c r="D693">
        <v>2</v>
      </c>
    </row>
    <row r="694" spans="1:4">
      <c r="A694" t="s">
        <v>243</v>
      </c>
      <c r="B694" t="s">
        <v>27</v>
      </c>
      <c r="C694">
        <v>116</v>
      </c>
      <c r="D694">
        <v>2</v>
      </c>
    </row>
    <row r="695" spans="1:4">
      <c r="A695" t="s">
        <v>241</v>
      </c>
      <c r="B695" t="s">
        <v>27</v>
      </c>
      <c r="C695">
        <v>116</v>
      </c>
      <c r="D695">
        <v>2</v>
      </c>
    </row>
    <row r="696" spans="1:4">
      <c r="A696" t="s">
        <v>243</v>
      </c>
      <c r="B696" t="s">
        <v>88</v>
      </c>
      <c r="C696">
        <v>116</v>
      </c>
      <c r="D696">
        <v>2</v>
      </c>
    </row>
    <row r="697" spans="1:4">
      <c r="A697" t="s">
        <v>242</v>
      </c>
      <c r="B697" t="s">
        <v>113</v>
      </c>
      <c r="C697">
        <v>116</v>
      </c>
      <c r="D697">
        <v>2</v>
      </c>
    </row>
    <row r="698" spans="1:4">
      <c r="A698" t="s">
        <v>241</v>
      </c>
      <c r="B698" t="s">
        <v>113</v>
      </c>
      <c r="C698">
        <v>116</v>
      </c>
      <c r="D698">
        <v>2</v>
      </c>
    </row>
    <row r="699" spans="1:4">
      <c r="A699" t="s">
        <v>247</v>
      </c>
      <c r="B699" t="s">
        <v>46</v>
      </c>
      <c r="C699">
        <v>117</v>
      </c>
      <c r="D699">
        <v>2</v>
      </c>
    </row>
    <row r="700" spans="1:4">
      <c r="A700" t="s">
        <v>243</v>
      </c>
      <c r="B700" t="s">
        <v>46</v>
      </c>
      <c r="C700">
        <v>117</v>
      </c>
      <c r="D700">
        <v>2</v>
      </c>
    </row>
    <row r="701" spans="1:4">
      <c r="A701" t="s">
        <v>241</v>
      </c>
      <c r="B701" t="s">
        <v>142</v>
      </c>
      <c r="C701">
        <v>117</v>
      </c>
      <c r="D701">
        <v>2</v>
      </c>
    </row>
    <row r="702" spans="1:4">
      <c r="A702" t="s">
        <v>242</v>
      </c>
      <c r="B702" t="s">
        <v>16</v>
      </c>
      <c r="C702">
        <v>119</v>
      </c>
      <c r="D702">
        <v>2</v>
      </c>
    </row>
    <row r="703" spans="1:4">
      <c r="A703" t="s">
        <v>240</v>
      </c>
      <c r="B703" t="s">
        <v>37</v>
      </c>
      <c r="C703">
        <v>119</v>
      </c>
      <c r="D703">
        <v>2</v>
      </c>
    </row>
    <row r="704" spans="1:4">
      <c r="A704" t="s">
        <v>241</v>
      </c>
      <c r="B704" t="s">
        <v>37</v>
      </c>
      <c r="C704">
        <v>119</v>
      </c>
      <c r="D704">
        <v>2</v>
      </c>
    </row>
    <row r="705" spans="1:4">
      <c r="A705" t="s">
        <v>243</v>
      </c>
      <c r="B705" t="s">
        <v>45</v>
      </c>
      <c r="C705">
        <v>119</v>
      </c>
      <c r="D705">
        <v>2</v>
      </c>
    </row>
    <row r="706" spans="1:4">
      <c r="A706" t="s">
        <v>242</v>
      </c>
      <c r="B706" t="s">
        <v>95</v>
      </c>
      <c r="C706">
        <v>119</v>
      </c>
      <c r="D706">
        <v>2</v>
      </c>
    </row>
    <row r="707" spans="1:4">
      <c r="A707" t="s">
        <v>239</v>
      </c>
      <c r="B707" t="s">
        <v>36</v>
      </c>
      <c r="C707">
        <v>120</v>
      </c>
      <c r="D707">
        <v>2</v>
      </c>
    </row>
    <row r="708" spans="1:4">
      <c r="A708" t="s">
        <v>241</v>
      </c>
      <c r="B708" t="s">
        <v>36</v>
      </c>
      <c r="C708">
        <v>120</v>
      </c>
      <c r="D708">
        <v>2</v>
      </c>
    </row>
    <row r="709" spans="1:4">
      <c r="A709" t="s">
        <v>242</v>
      </c>
      <c r="B709" t="s">
        <v>36</v>
      </c>
      <c r="C709">
        <v>120</v>
      </c>
      <c r="D709">
        <v>2</v>
      </c>
    </row>
    <row r="710" spans="1:4">
      <c r="A710" t="s">
        <v>242</v>
      </c>
      <c r="B710" t="s">
        <v>58</v>
      </c>
      <c r="C710">
        <v>120</v>
      </c>
      <c r="D710">
        <v>2</v>
      </c>
    </row>
    <row r="711" spans="1:4">
      <c r="A711" t="s">
        <v>242</v>
      </c>
      <c r="B711" t="s">
        <v>125</v>
      </c>
      <c r="C711">
        <v>30</v>
      </c>
      <c r="D711">
        <v>3</v>
      </c>
    </row>
    <row r="712" spans="1:4">
      <c r="A712" t="s">
        <v>240</v>
      </c>
      <c r="B712" t="s">
        <v>166</v>
      </c>
      <c r="C712">
        <v>31</v>
      </c>
      <c r="D712">
        <v>3</v>
      </c>
    </row>
    <row r="713" spans="1:4">
      <c r="A713" t="s">
        <v>243</v>
      </c>
      <c r="B713" t="s">
        <v>168</v>
      </c>
      <c r="C713">
        <v>31</v>
      </c>
      <c r="D713">
        <v>3</v>
      </c>
    </row>
    <row r="714" spans="1:4">
      <c r="A714" t="s">
        <v>242</v>
      </c>
      <c r="B714" t="s">
        <v>23</v>
      </c>
      <c r="C714">
        <v>32</v>
      </c>
      <c r="D714">
        <v>3</v>
      </c>
    </row>
    <row r="715" spans="1:4">
      <c r="A715" t="s">
        <v>238</v>
      </c>
      <c r="B715" t="s">
        <v>91</v>
      </c>
      <c r="C715">
        <v>32</v>
      </c>
      <c r="D715">
        <v>3</v>
      </c>
    </row>
    <row r="716" spans="1:4">
      <c r="A716" t="s">
        <v>243</v>
      </c>
      <c r="B716" t="s">
        <v>91</v>
      </c>
      <c r="C716">
        <v>32</v>
      </c>
      <c r="D716">
        <v>3</v>
      </c>
    </row>
    <row r="717" spans="1:4">
      <c r="A717" t="s">
        <v>240</v>
      </c>
      <c r="B717" t="s">
        <v>114</v>
      </c>
      <c r="C717">
        <v>32</v>
      </c>
      <c r="D717">
        <v>3</v>
      </c>
    </row>
    <row r="718" spans="1:4">
      <c r="A718" t="s">
        <v>241</v>
      </c>
      <c r="B718" t="s">
        <v>122</v>
      </c>
      <c r="C718">
        <v>32</v>
      </c>
      <c r="D718">
        <v>3</v>
      </c>
    </row>
    <row r="719" spans="1:4">
      <c r="A719" t="s">
        <v>241</v>
      </c>
      <c r="B719" t="s">
        <v>81</v>
      </c>
      <c r="C719">
        <v>33</v>
      </c>
      <c r="D719">
        <v>3</v>
      </c>
    </row>
    <row r="720" spans="1:4">
      <c r="A720" t="s">
        <v>242</v>
      </c>
      <c r="B720" t="s">
        <v>81</v>
      </c>
      <c r="C720">
        <v>33</v>
      </c>
      <c r="D720">
        <v>3</v>
      </c>
    </row>
    <row r="721" spans="1:4">
      <c r="A721" t="s">
        <v>240</v>
      </c>
      <c r="B721" t="s">
        <v>81</v>
      </c>
      <c r="C721">
        <v>33</v>
      </c>
      <c r="D721">
        <v>3</v>
      </c>
    </row>
    <row r="722" spans="1:4">
      <c r="A722" t="s">
        <v>242</v>
      </c>
      <c r="B722" t="s">
        <v>111</v>
      </c>
      <c r="C722">
        <v>33</v>
      </c>
      <c r="D722">
        <v>3</v>
      </c>
    </row>
    <row r="723" spans="1:4">
      <c r="A723" t="s">
        <v>240</v>
      </c>
      <c r="B723" t="s">
        <v>56</v>
      </c>
      <c r="C723">
        <v>34</v>
      </c>
      <c r="D723">
        <v>3</v>
      </c>
    </row>
    <row r="724" spans="1:4">
      <c r="A724" t="s">
        <v>246</v>
      </c>
      <c r="B724" t="s">
        <v>62</v>
      </c>
      <c r="C724">
        <v>34</v>
      </c>
      <c r="D724">
        <v>3</v>
      </c>
    </row>
    <row r="725" spans="1:4">
      <c r="A725" t="s">
        <v>238</v>
      </c>
      <c r="B725" t="s">
        <v>62</v>
      </c>
      <c r="C725">
        <v>34</v>
      </c>
      <c r="D725">
        <v>3</v>
      </c>
    </row>
    <row r="726" spans="1:4">
      <c r="A726" t="s">
        <v>240</v>
      </c>
      <c r="B726" t="s">
        <v>76</v>
      </c>
      <c r="C726">
        <v>34</v>
      </c>
      <c r="D726">
        <v>3</v>
      </c>
    </row>
    <row r="727" spans="1:4">
      <c r="A727" t="s">
        <v>238</v>
      </c>
      <c r="B727" t="s">
        <v>190</v>
      </c>
      <c r="C727">
        <v>34</v>
      </c>
      <c r="D727">
        <v>3</v>
      </c>
    </row>
    <row r="728" spans="1:4">
      <c r="A728" t="s">
        <v>242</v>
      </c>
      <c r="B728" t="s">
        <v>12</v>
      </c>
      <c r="C728">
        <v>36</v>
      </c>
      <c r="D728">
        <v>3</v>
      </c>
    </row>
    <row r="729" spans="1:4">
      <c r="A729" t="s">
        <v>243</v>
      </c>
      <c r="B729" t="s">
        <v>162</v>
      </c>
      <c r="C729">
        <v>36</v>
      </c>
      <c r="D729">
        <v>3</v>
      </c>
    </row>
    <row r="730" spans="1:4">
      <c r="A730" t="s">
        <v>242</v>
      </c>
      <c r="B730" t="s">
        <v>74</v>
      </c>
      <c r="C730">
        <v>39</v>
      </c>
      <c r="D730">
        <v>3</v>
      </c>
    </row>
    <row r="731" spans="1:4">
      <c r="A731" t="s">
        <v>239</v>
      </c>
      <c r="B731" t="s">
        <v>201</v>
      </c>
      <c r="C731">
        <v>42</v>
      </c>
      <c r="D731">
        <v>3</v>
      </c>
    </row>
    <row r="732" spans="1:4">
      <c r="A732" t="s">
        <v>248</v>
      </c>
      <c r="B732" t="s">
        <v>201</v>
      </c>
      <c r="C732">
        <v>42</v>
      </c>
      <c r="D732">
        <v>3</v>
      </c>
    </row>
    <row r="733" spans="1:4">
      <c r="A733" t="s">
        <v>242</v>
      </c>
      <c r="B733" t="s">
        <v>109</v>
      </c>
      <c r="C733">
        <v>44</v>
      </c>
      <c r="D733">
        <v>3</v>
      </c>
    </row>
    <row r="734" spans="1:4">
      <c r="A734" t="s">
        <v>242</v>
      </c>
      <c r="B734" t="s">
        <v>138</v>
      </c>
      <c r="C734">
        <v>46</v>
      </c>
      <c r="D734">
        <v>3</v>
      </c>
    </row>
    <row r="735" spans="1:4">
      <c r="A735" t="s">
        <v>243</v>
      </c>
      <c r="B735" t="s">
        <v>63</v>
      </c>
      <c r="C735">
        <v>49</v>
      </c>
      <c r="D735">
        <v>3</v>
      </c>
    </row>
    <row r="736" spans="1:4">
      <c r="A736" t="s">
        <v>240</v>
      </c>
      <c r="B736" t="s">
        <v>63</v>
      </c>
      <c r="C736">
        <v>49</v>
      </c>
      <c r="D736">
        <v>3</v>
      </c>
    </row>
    <row r="737" spans="1:4">
      <c r="A737" t="s">
        <v>242</v>
      </c>
      <c r="B737" t="s">
        <v>135</v>
      </c>
      <c r="C737">
        <v>49</v>
      </c>
      <c r="D737">
        <v>3</v>
      </c>
    </row>
    <row r="738" spans="1:4">
      <c r="A738" t="s">
        <v>249</v>
      </c>
      <c r="B738" t="s">
        <v>104</v>
      </c>
      <c r="C738">
        <v>50</v>
      </c>
      <c r="D738">
        <v>3</v>
      </c>
    </row>
    <row r="739" spans="1:4">
      <c r="A739" t="s">
        <v>238</v>
      </c>
      <c r="B739" t="s">
        <v>108</v>
      </c>
      <c r="C739">
        <v>50</v>
      </c>
      <c r="D739">
        <v>3</v>
      </c>
    </row>
    <row r="740" spans="1:4">
      <c r="A740" t="s">
        <v>242</v>
      </c>
      <c r="B740" t="s">
        <v>17</v>
      </c>
      <c r="C740">
        <v>52</v>
      </c>
      <c r="D740">
        <v>3</v>
      </c>
    </row>
    <row r="741" spans="1:4">
      <c r="A741" t="s">
        <v>238</v>
      </c>
      <c r="B741" t="s">
        <v>17</v>
      </c>
      <c r="C741">
        <v>52</v>
      </c>
      <c r="D741">
        <v>3</v>
      </c>
    </row>
    <row r="742" spans="1:4">
      <c r="A742" t="s">
        <v>241</v>
      </c>
      <c r="B742" t="s">
        <v>17</v>
      </c>
      <c r="C742">
        <v>52</v>
      </c>
      <c r="D742">
        <v>3</v>
      </c>
    </row>
    <row r="743" spans="1:4">
      <c r="A743" t="s">
        <v>240</v>
      </c>
      <c r="B743" t="s">
        <v>187</v>
      </c>
      <c r="C743">
        <v>52</v>
      </c>
      <c r="D743">
        <v>3</v>
      </c>
    </row>
    <row r="744" spans="1:4">
      <c r="A744" t="s">
        <v>243</v>
      </c>
      <c r="B744" t="s">
        <v>128</v>
      </c>
      <c r="C744">
        <v>53</v>
      </c>
      <c r="D744">
        <v>3</v>
      </c>
    </row>
    <row r="745" spans="1:4">
      <c r="A745" t="s">
        <v>238</v>
      </c>
      <c r="B745" t="s">
        <v>128</v>
      </c>
      <c r="C745">
        <v>53</v>
      </c>
      <c r="D745">
        <v>3</v>
      </c>
    </row>
    <row r="746" spans="1:4">
      <c r="A746" t="s">
        <v>241</v>
      </c>
      <c r="B746" t="s">
        <v>143</v>
      </c>
      <c r="C746">
        <v>53</v>
      </c>
      <c r="D746">
        <v>3</v>
      </c>
    </row>
    <row r="747" spans="1:4">
      <c r="A747" t="s">
        <v>242</v>
      </c>
      <c r="B747" t="s">
        <v>143</v>
      </c>
      <c r="C747">
        <v>53</v>
      </c>
      <c r="D747">
        <v>3</v>
      </c>
    </row>
    <row r="748" spans="1:4">
      <c r="A748" t="s">
        <v>241</v>
      </c>
      <c r="B748" t="s">
        <v>224</v>
      </c>
      <c r="C748">
        <v>53</v>
      </c>
      <c r="D748">
        <v>3</v>
      </c>
    </row>
    <row r="749" spans="1:4">
      <c r="A749" t="s">
        <v>240</v>
      </c>
      <c r="B749" t="s">
        <v>100</v>
      </c>
      <c r="C749">
        <v>54</v>
      </c>
      <c r="D749">
        <v>3</v>
      </c>
    </row>
    <row r="750" spans="1:4">
      <c r="A750" t="s">
        <v>241</v>
      </c>
      <c r="B750" t="s">
        <v>100</v>
      </c>
      <c r="C750">
        <v>54</v>
      </c>
      <c r="D750">
        <v>3</v>
      </c>
    </row>
    <row r="751" spans="1:4">
      <c r="A751" t="s">
        <v>238</v>
      </c>
      <c r="B751" t="s">
        <v>100</v>
      </c>
      <c r="C751">
        <v>54</v>
      </c>
      <c r="D751">
        <v>3</v>
      </c>
    </row>
    <row r="752" spans="1:4">
      <c r="A752" t="s">
        <v>242</v>
      </c>
      <c r="B752" t="s">
        <v>102</v>
      </c>
      <c r="C752">
        <v>54</v>
      </c>
      <c r="D752">
        <v>3</v>
      </c>
    </row>
    <row r="753" spans="1:4">
      <c r="A753" t="s">
        <v>241</v>
      </c>
      <c r="B753" t="s">
        <v>102</v>
      </c>
      <c r="C753">
        <v>54</v>
      </c>
      <c r="D753">
        <v>3</v>
      </c>
    </row>
    <row r="754" spans="1:4">
      <c r="A754" t="s">
        <v>240</v>
      </c>
      <c r="B754" t="s">
        <v>188</v>
      </c>
      <c r="C754">
        <v>54</v>
      </c>
      <c r="D754">
        <v>3</v>
      </c>
    </row>
    <row r="755" spans="1:4">
      <c r="A755" t="s">
        <v>243</v>
      </c>
      <c r="B755" t="s">
        <v>232</v>
      </c>
      <c r="C755">
        <v>54</v>
      </c>
      <c r="D755">
        <v>3</v>
      </c>
    </row>
    <row r="756" spans="1:4">
      <c r="A756" t="s">
        <v>239</v>
      </c>
      <c r="B756" t="s">
        <v>47</v>
      </c>
      <c r="C756">
        <v>56</v>
      </c>
      <c r="D756">
        <v>3</v>
      </c>
    </row>
    <row r="757" spans="1:4">
      <c r="A757" t="s">
        <v>238</v>
      </c>
      <c r="B757" t="s">
        <v>129</v>
      </c>
      <c r="C757">
        <v>57</v>
      </c>
      <c r="D757">
        <v>3</v>
      </c>
    </row>
    <row r="758" spans="1:4">
      <c r="A758" t="s">
        <v>240</v>
      </c>
      <c r="B758" t="s">
        <v>8</v>
      </c>
      <c r="C758">
        <v>58</v>
      </c>
      <c r="D758">
        <v>3</v>
      </c>
    </row>
    <row r="759" spans="1:4">
      <c r="A759" t="s">
        <v>241</v>
      </c>
      <c r="B759" t="s">
        <v>8</v>
      </c>
      <c r="C759">
        <v>58</v>
      </c>
      <c r="D759">
        <v>3</v>
      </c>
    </row>
    <row r="760" spans="1:4">
      <c r="A760" t="s">
        <v>242</v>
      </c>
      <c r="B760" t="s">
        <v>44</v>
      </c>
      <c r="C760">
        <v>58</v>
      </c>
      <c r="D760">
        <v>3</v>
      </c>
    </row>
    <row r="761" spans="1:4">
      <c r="A761" t="s">
        <v>238</v>
      </c>
      <c r="B761" t="s">
        <v>84</v>
      </c>
      <c r="C761">
        <v>58</v>
      </c>
      <c r="D761">
        <v>3</v>
      </c>
    </row>
    <row r="762" spans="1:4">
      <c r="A762" t="s">
        <v>242</v>
      </c>
      <c r="B762" t="s">
        <v>33</v>
      </c>
      <c r="C762">
        <v>61</v>
      </c>
      <c r="D762">
        <v>3</v>
      </c>
    </row>
    <row r="763" spans="1:4">
      <c r="A763" t="s">
        <v>241</v>
      </c>
      <c r="B763" t="s">
        <v>97</v>
      </c>
      <c r="C763">
        <v>61</v>
      </c>
      <c r="D763">
        <v>3</v>
      </c>
    </row>
    <row r="764" spans="1:4">
      <c r="A764" t="s">
        <v>242</v>
      </c>
      <c r="B764" t="s">
        <v>97</v>
      </c>
      <c r="C764">
        <v>61</v>
      </c>
      <c r="D764">
        <v>3</v>
      </c>
    </row>
    <row r="765" spans="1:4">
      <c r="A765" t="s">
        <v>240</v>
      </c>
      <c r="B765" t="s">
        <v>164</v>
      </c>
      <c r="C765">
        <v>61</v>
      </c>
      <c r="D765">
        <v>3</v>
      </c>
    </row>
    <row r="766" spans="1:4">
      <c r="A766" t="s">
        <v>243</v>
      </c>
      <c r="B766" t="s">
        <v>28</v>
      </c>
      <c r="C766">
        <v>64</v>
      </c>
      <c r="D766">
        <v>3</v>
      </c>
    </row>
    <row r="767" spans="1:4">
      <c r="A767" t="s">
        <v>249</v>
      </c>
      <c r="B767" t="s">
        <v>28</v>
      </c>
      <c r="C767">
        <v>64</v>
      </c>
      <c r="D767">
        <v>3</v>
      </c>
    </row>
    <row r="768" spans="1:4">
      <c r="A768" t="s">
        <v>250</v>
      </c>
      <c r="B768" t="s">
        <v>225</v>
      </c>
      <c r="C768">
        <v>64</v>
      </c>
      <c r="D768">
        <v>3</v>
      </c>
    </row>
    <row r="769" spans="1:4">
      <c r="A769" t="s">
        <v>240</v>
      </c>
      <c r="B769" t="s">
        <v>15</v>
      </c>
      <c r="C769">
        <v>66</v>
      </c>
      <c r="D769">
        <v>3</v>
      </c>
    </row>
    <row r="770" spans="1:4">
      <c r="A770" t="s">
        <v>238</v>
      </c>
      <c r="B770" t="s">
        <v>15</v>
      </c>
      <c r="C770">
        <v>66</v>
      </c>
      <c r="D770">
        <v>3</v>
      </c>
    </row>
    <row r="771" spans="1:4">
      <c r="A771" t="s">
        <v>243</v>
      </c>
      <c r="B771" t="s">
        <v>158</v>
      </c>
      <c r="C771">
        <v>66</v>
      </c>
      <c r="D771">
        <v>3</v>
      </c>
    </row>
    <row r="772" spans="1:4">
      <c r="A772" t="s">
        <v>238</v>
      </c>
      <c r="B772" t="s">
        <v>182</v>
      </c>
      <c r="C772">
        <v>67</v>
      </c>
      <c r="D772">
        <v>3</v>
      </c>
    </row>
    <row r="773" spans="1:4">
      <c r="A773" t="s">
        <v>238</v>
      </c>
      <c r="B773" t="s">
        <v>131</v>
      </c>
      <c r="C773">
        <v>69</v>
      </c>
      <c r="D773">
        <v>3</v>
      </c>
    </row>
    <row r="774" spans="1:4">
      <c r="A774" t="s">
        <v>241</v>
      </c>
      <c r="B774" t="s">
        <v>131</v>
      </c>
      <c r="C774">
        <v>69</v>
      </c>
      <c r="D774">
        <v>3</v>
      </c>
    </row>
    <row r="775" spans="1:4">
      <c r="A775" t="s">
        <v>243</v>
      </c>
      <c r="B775" t="s">
        <v>228</v>
      </c>
      <c r="C775">
        <v>70</v>
      </c>
      <c r="D775">
        <v>3</v>
      </c>
    </row>
    <row r="776" spans="1:4">
      <c r="A776" t="s">
        <v>241</v>
      </c>
      <c r="B776" t="s">
        <v>49</v>
      </c>
      <c r="C776">
        <v>71</v>
      </c>
      <c r="D776">
        <v>3</v>
      </c>
    </row>
    <row r="777" spans="1:4">
      <c r="A777" t="s">
        <v>249</v>
      </c>
      <c r="B777" t="s">
        <v>196</v>
      </c>
      <c r="C777">
        <v>71</v>
      </c>
      <c r="D777">
        <v>3</v>
      </c>
    </row>
    <row r="778" spans="1:4">
      <c r="A778" t="s">
        <v>241</v>
      </c>
      <c r="B778" t="s">
        <v>196</v>
      </c>
      <c r="C778">
        <v>71</v>
      </c>
      <c r="D778">
        <v>3</v>
      </c>
    </row>
    <row r="779" spans="1:4">
      <c r="A779" t="s">
        <v>241</v>
      </c>
      <c r="B779" t="s">
        <v>120</v>
      </c>
      <c r="C779">
        <v>72</v>
      </c>
      <c r="D779">
        <v>3</v>
      </c>
    </row>
    <row r="780" spans="1:4">
      <c r="A780" t="s">
        <v>238</v>
      </c>
      <c r="B780" t="s">
        <v>87</v>
      </c>
      <c r="C780">
        <v>74</v>
      </c>
      <c r="D780">
        <v>3</v>
      </c>
    </row>
    <row r="781" spans="1:4">
      <c r="A781" t="s">
        <v>241</v>
      </c>
      <c r="B781" t="s">
        <v>192</v>
      </c>
      <c r="C781">
        <v>74</v>
      </c>
      <c r="D781">
        <v>3</v>
      </c>
    </row>
    <row r="782" spans="1:4">
      <c r="A782" t="s">
        <v>241</v>
      </c>
      <c r="B782" t="s">
        <v>3</v>
      </c>
      <c r="C782">
        <v>75</v>
      </c>
      <c r="D782">
        <v>3</v>
      </c>
    </row>
    <row r="783" spans="1:4">
      <c r="A783" t="s">
        <v>238</v>
      </c>
      <c r="B783" t="s">
        <v>73</v>
      </c>
      <c r="C783">
        <v>75</v>
      </c>
      <c r="D783">
        <v>3</v>
      </c>
    </row>
    <row r="784" spans="1:4">
      <c r="A784" t="s">
        <v>240</v>
      </c>
      <c r="B784" t="s">
        <v>73</v>
      </c>
      <c r="C784">
        <v>75</v>
      </c>
      <c r="D784">
        <v>3</v>
      </c>
    </row>
    <row r="785" spans="1:4">
      <c r="A785" t="s">
        <v>241</v>
      </c>
      <c r="B785" t="s">
        <v>99</v>
      </c>
      <c r="C785">
        <v>75</v>
      </c>
      <c r="D785">
        <v>3</v>
      </c>
    </row>
    <row r="786" spans="1:4">
      <c r="A786" t="s">
        <v>242</v>
      </c>
      <c r="B786" t="s">
        <v>181</v>
      </c>
      <c r="C786">
        <v>76</v>
      </c>
      <c r="D786">
        <v>3</v>
      </c>
    </row>
    <row r="787" spans="1:4">
      <c r="A787" t="s">
        <v>242</v>
      </c>
      <c r="B787" t="s">
        <v>70</v>
      </c>
      <c r="C787">
        <v>78</v>
      </c>
      <c r="D787">
        <v>3</v>
      </c>
    </row>
    <row r="788" spans="1:4">
      <c r="A788" t="s">
        <v>241</v>
      </c>
      <c r="B788" t="s">
        <v>70</v>
      </c>
      <c r="C788">
        <v>78</v>
      </c>
      <c r="D788">
        <v>3</v>
      </c>
    </row>
    <row r="789" spans="1:4">
      <c r="A789" t="s">
        <v>238</v>
      </c>
      <c r="B789" t="s">
        <v>96</v>
      </c>
      <c r="C789">
        <v>79</v>
      </c>
      <c r="D789">
        <v>3</v>
      </c>
    </row>
    <row r="790" spans="1:4">
      <c r="A790" t="s">
        <v>241</v>
      </c>
      <c r="B790" t="s">
        <v>96</v>
      </c>
      <c r="C790">
        <v>79</v>
      </c>
      <c r="D790">
        <v>3</v>
      </c>
    </row>
    <row r="791" spans="1:4">
      <c r="A791" t="s">
        <v>238</v>
      </c>
      <c r="B791" t="s">
        <v>180</v>
      </c>
      <c r="C791">
        <v>79</v>
      </c>
      <c r="D791">
        <v>3</v>
      </c>
    </row>
    <row r="792" spans="1:4">
      <c r="A792" t="s">
        <v>241</v>
      </c>
      <c r="B792" t="s">
        <v>61</v>
      </c>
      <c r="C792">
        <v>81</v>
      </c>
      <c r="D792">
        <v>3</v>
      </c>
    </row>
    <row r="793" spans="1:4">
      <c r="A793" t="s">
        <v>241</v>
      </c>
      <c r="B793" t="s">
        <v>212</v>
      </c>
      <c r="C793">
        <v>82</v>
      </c>
      <c r="D793">
        <v>3</v>
      </c>
    </row>
    <row r="794" spans="1:4">
      <c r="A794" t="s">
        <v>239</v>
      </c>
      <c r="B794" t="s">
        <v>24</v>
      </c>
      <c r="C794">
        <v>85</v>
      </c>
      <c r="D794">
        <v>3</v>
      </c>
    </row>
    <row r="795" spans="1:4">
      <c r="A795" t="s">
        <v>242</v>
      </c>
      <c r="B795" t="s">
        <v>38</v>
      </c>
      <c r="C795">
        <v>85</v>
      </c>
      <c r="D795">
        <v>3</v>
      </c>
    </row>
    <row r="796" spans="1:4">
      <c r="A796" t="s">
        <v>238</v>
      </c>
      <c r="B796" t="s">
        <v>41</v>
      </c>
      <c r="C796">
        <v>86</v>
      </c>
      <c r="D796">
        <v>3</v>
      </c>
    </row>
    <row r="797" spans="1:4">
      <c r="A797" t="s">
        <v>242</v>
      </c>
      <c r="B797" t="s">
        <v>165</v>
      </c>
      <c r="C797">
        <v>86</v>
      </c>
      <c r="D797">
        <v>3</v>
      </c>
    </row>
    <row r="798" spans="1:4">
      <c r="A798" t="s">
        <v>242</v>
      </c>
      <c r="B798" t="s">
        <v>89</v>
      </c>
      <c r="C798">
        <v>87</v>
      </c>
      <c r="D798">
        <v>3</v>
      </c>
    </row>
    <row r="799" spans="1:4">
      <c r="A799" t="s">
        <v>252</v>
      </c>
      <c r="B799" t="s">
        <v>89</v>
      </c>
      <c r="C799">
        <v>87</v>
      </c>
      <c r="D799">
        <v>3</v>
      </c>
    </row>
    <row r="800" spans="1:4">
      <c r="A800" t="s">
        <v>243</v>
      </c>
      <c r="B800" t="s">
        <v>14</v>
      </c>
      <c r="C800">
        <v>88</v>
      </c>
      <c r="D800">
        <v>3</v>
      </c>
    </row>
    <row r="801" spans="1:4">
      <c r="A801" t="s">
        <v>239</v>
      </c>
      <c r="B801" t="s">
        <v>174</v>
      </c>
      <c r="C801">
        <v>90</v>
      </c>
      <c r="D801">
        <v>3</v>
      </c>
    </row>
    <row r="802" spans="1:4">
      <c r="A802" t="s">
        <v>243</v>
      </c>
      <c r="B802" t="s">
        <v>121</v>
      </c>
      <c r="C802">
        <v>91</v>
      </c>
      <c r="D802">
        <v>3</v>
      </c>
    </row>
    <row r="803" spans="1:4">
      <c r="A803" t="s">
        <v>243</v>
      </c>
      <c r="B803" t="s">
        <v>186</v>
      </c>
      <c r="C803">
        <v>92</v>
      </c>
      <c r="D803">
        <v>3</v>
      </c>
    </row>
    <row r="804" spans="1:4">
      <c r="A804" t="s">
        <v>241</v>
      </c>
      <c r="B804" t="s">
        <v>78</v>
      </c>
      <c r="C804">
        <v>93</v>
      </c>
      <c r="D804">
        <v>3</v>
      </c>
    </row>
    <row r="805" spans="1:4">
      <c r="A805" t="s">
        <v>243</v>
      </c>
      <c r="B805" t="s">
        <v>149</v>
      </c>
      <c r="C805">
        <v>93</v>
      </c>
      <c r="D805">
        <v>3</v>
      </c>
    </row>
    <row r="806" spans="1:4">
      <c r="A806" t="s">
        <v>239</v>
      </c>
      <c r="B806" t="s">
        <v>149</v>
      </c>
      <c r="C806">
        <v>93</v>
      </c>
      <c r="D806">
        <v>3</v>
      </c>
    </row>
    <row r="807" spans="1:4">
      <c r="A807" t="s">
        <v>243</v>
      </c>
      <c r="B807" t="s">
        <v>213</v>
      </c>
      <c r="C807">
        <v>94</v>
      </c>
      <c r="D807">
        <v>3</v>
      </c>
    </row>
    <row r="808" spans="1:4">
      <c r="A808" t="s">
        <v>241</v>
      </c>
      <c r="B808" t="s">
        <v>130</v>
      </c>
      <c r="C808">
        <v>97</v>
      </c>
      <c r="D808">
        <v>3</v>
      </c>
    </row>
    <row r="809" spans="1:4">
      <c r="A809" t="s">
        <v>239</v>
      </c>
      <c r="B809" t="s">
        <v>92</v>
      </c>
      <c r="C809">
        <v>101</v>
      </c>
      <c r="D809">
        <v>3</v>
      </c>
    </row>
    <row r="810" spans="1:4">
      <c r="A810" t="s">
        <v>241</v>
      </c>
      <c r="B810" t="s">
        <v>185</v>
      </c>
      <c r="C810">
        <v>101</v>
      </c>
      <c r="D810">
        <v>3</v>
      </c>
    </row>
    <row r="811" spans="1:4">
      <c r="A811" t="s">
        <v>241</v>
      </c>
      <c r="B811" t="s">
        <v>57</v>
      </c>
      <c r="C811">
        <v>103</v>
      </c>
      <c r="D811">
        <v>3</v>
      </c>
    </row>
    <row r="812" spans="1:4">
      <c r="A812" t="s">
        <v>241</v>
      </c>
      <c r="B812" t="s">
        <v>126</v>
      </c>
      <c r="C812">
        <v>106</v>
      </c>
      <c r="D812">
        <v>3</v>
      </c>
    </row>
    <row r="813" spans="1:4">
      <c r="A813" t="s">
        <v>241</v>
      </c>
      <c r="B813" t="s">
        <v>34</v>
      </c>
      <c r="C813">
        <v>107</v>
      </c>
      <c r="D813">
        <v>3</v>
      </c>
    </row>
    <row r="814" spans="1:4">
      <c r="A814" t="s">
        <v>242</v>
      </c>
      <c r="B814" t="s">
        <v>191</v>
      </c>
      <c r="C814">
        <v>111</v>
      </c>
      <c r="D814">
        <v>3</v>
      </c>
    </row>
    <row r="815" spans="1:4">
      <c r="A815" t="s">
        <v>241</v>
      </c>
      <c r="B815" t="s">
        <v>71</v>
      </c>
      <c r="C815">
        <v>115</v>
      </c>
      <c r="D815">
        <v>3</v>
      </c>
    </row>
    <row r="816" spans="1:4">
      <c r="A816" t="s">
        <v>242</v>
      </c>
      <c r="B816" t="s">
        <v>106</v>
      </c>
      <c r="C816">
        <v>115</v>
      </c>
      <c r="D816">
        <v>3</v>
      </c>
    </row>
    <row r="817" spans="1:4">
      <c r="A817" t="s">
        <v>241</v>
      </c>
      <c r="B817" t="s">
        <v>88</v>
      </c>
      <c r="C817">
        <v>116</v>
      </c>
      <c r="D817">
        <v>3</v>
      </c>
    </row>
    <row r="818" spans="1:4">
      <c r="A818" t="s">
        <v>238</v>
      </c>
      <c r="B818" t="s">
        <v>142</v>
      </c>
      <c r="C818">
        <v>117</v>
      </c>
      <c r="D818">
        <v>3</v>
      </c>
    </row>
    <row r="819" spans="1:4">
      <c r="A819" t="s">
        <v>241</v>
      </c>
      <c r="B819" t="s">
        <v>11</v>
      </c>
      <c r="C819">
        <v>118</v>
      </c>
      <c r="D819">
        <v>3</v>
      </c>
    </row>
    <row r="820" spans="1:4">
      <c r="A820" t="s">
        <v>243</v>
      </c>
      <c r="B820" t="s">
        <v>11</v>
      </c>
      <c r="C820">
        <v>118</v>
      </c>
      <c r="D820">
        <v>3</v>
      </c>
    </row>
    <row r="821" spans="1:4">
      <c r="A821" t="s">
        <v>239</v>
      </c>
      <c r="B821" t="s">
        <v>11</v>
      </c>
      <c r="C821">
        <v>118</v>
      </c>
      <c r="D821">
        <v>3</v>
      </c>
    </row>
    <row r="822" spans="1:4">
      <c r="A822" t="s">
        <v>242</v>
      </c>
      <c r="B822" t="s">
        <v>37</v>
      </c>
      <c r="C822">
        <v>119</v>
      </c>
      <c r="D822">
        <v>3</v>
      </c>
    </row>
    <row r="823" spans="1:4">
      <c r="A823" t="s">
        <v>241</v>
      </c>
      <c r="B823" t="s">
        <v>183</v>
      </c>
      <c r="C823">
        <v>119</v>
      </c>
      <c r="D823">
        <v>3</v>
      </c>
    </row>
    <row r="824" spans="1:4">
      <c r="A824" t="s">
        <v>238</v>
      </c>
      <c r="B824" t="s">
        <v>36</v>
      </c>
      <c r="C824">
        <v>120</v>
      </c>
      <c r="D824">
        <v>3</v>
      </c>
    </row>
    <row r="825" spans="1:4">
      <c r="A825" t="s">
        <v>242</v>
      </c>
      <c r="B825" t="s">
        <v>79</v>
      </c>
      <c r="C825">
        <v>120</v>
      </c>
      <c r="D825">
        <v>3</v>
      </c>
    </row>
    <row r="826" spans="1:4">
      <c r="A826" t="s">
        <v>242</v>
      </c>
      <c r="B826" t="s">
        <v>140</v>
      </c>
      <c r="C826">
        <v>30</v>
      </c>
      <c r="D826">
        <v>4</v>
      </c>
    </row>
    <row r="827" spans="1:4">
      <c r="A827" t="s">
        <v>240</v>
      </c>
      <c r="B827" t="s">
        <v>91</v>
      </c>
      <c r="C827">
        <v>32</v>
      </c>
      <c r="D827">
        <v>4</v>
      </c>
    </row>
    <row r="828" spans="1:4">
      <c r="A828" t="s">
        <v>242</v>
      </c>
      <c r="B828" t="s">
        <v>91</v>
      </c>
      <c r="C828">
        <v>32</v>
      </c>
      <c r="D828">
        <v>4</v>
      </c>
    </row>
    <row r="829" spans="1:4">
      <c r="A829" t="s">
        <v>242</v>
      </c>
      <c r="B829" t="s">
        <v>51</v>
      </c>
      <c r="C829">
        <v>33</v>
      </c>
      <c r="D829">
        <v>4</v>
      </c>
    </row>
    <row r="830" spans="1:4">
      <c r="A830" t="s">
        <v>241</v>
      </c>
      <c r="B830" t="s">
        <v>111</v>
      </c>
      <c r="C830">
        <v>33</v>
      </c>
      <c r="D830">
        <v>4</v>
      </c>
    </row>
    <row r="831" spans="1:4">
      <c r="A831" t="s">
        <v>242</v>
      </c>
      <c r="B831" t="s">
        <v>56</v>
      </c>
      <c r="C831">
        <v>34</v>
      </c>
      <c r="D831">
        <v>4</v>
      </c>
    </row>
    <row r="832" spans="1:4">
      <c r="A832" t="s">
        <v>238</v>
      </c>
      <c r="B832" t="s">
        <v>40</v>
      </c>
      <c r="C832">
        <v>35</v>
      </c>
      <c r="D832">
        <v>4</v>
      </c>
    </row>
    <row r="833" spans="1:4">
      <c r="A833" t="s">
        <v>243</v>
      </c>
      <c r="B833" t="s">
        <v>85</v>
      </c>
      <c r="C833">
        <v>37</v>
      </c>
      <c r="D833">
        <v>4</v>
      </c>
    </row>
    <row r="834" spans="1:4">
      <c r="A834" t="s">
        <v>243</v>
      </c>
      <c r="B834" t="s">
        <v>74</v>
      </c>
      <c r="C834">
        <v>39</v>
      </c>
      <c r="D834">
        <v>4</v>
      </c>
    </row>
    <row r="835" spans="1:4">
      <c r="A835" t="s">
        <v>241</v>
      </c>
      <c r="B835" t="s">
        <v>146</v>
      </c>
      <c r="C835">
        <v>39</v>
      </c>
      <c r="D835">
        <v>4</v>
      </c>
    </row>
    <row r="836" spans="1:4">
      <c r="A836" t="s">
        <v>241</v>
      </c>
      <c r="B836" t="s">
        <v>109</v>
      </c>
      <c r="C836">
        <v>44</v>
      </c>
      <c r="D836">
        <v>4</v>
      </c>
    </row>
    <row r="837" spans="1:4">
      <c r="A837" t="s">
        <v>242</v>
      </c>
      <c r="B837" t="s">
        <v>29</v>
      </c>
      <c r="C837">
        <v>46</v>
      </c>
      <c r="D837">
        <v>4</v>
      </c>
    </row>
    <row r="838" spans="1:4">
      <c r="A838" t="s">
        <v>239</v>
      </c>
      <c r="B838" t="s">
        <v>31</v>
      </c>
      <c r="C838">
        <v>48</v>
      </c>
      <c r="D838">
        <v>4</v>
      </c>
    </row>
    <row r="839" spans="1:4">
      <c r="A839" t="s">
        <v>241</v>
      </c>
      <c r="B839" t="s">
        <v>32</v>
      </c>
      <c r="C839">
        <v>51</v>
      </c>
      <c r="D839">
        <v>4</v>
      </c>
    </row>
    <row r="840" spans="1:4">
      <c r="A840" t="s">
        <v>238</v>
      </c>
      <c r="B840" t="s">
        <v>52</v>
      </c>
      <c r="C840">
        <v>56</v>
      </c>
      <c r="D840">
        <v>4</v>
      </c>
    </row>
    <row r="841" spans="1:4">
      <c r="A841" t="s">
        <v>240</v>
      </c>
      <c r="B841" t="s">
        <v>129</v>
      </c>
      <c r="C841">
        <v>57</v>
      </c>
      <c r="D841">
        <v>4</v>
      </c>
    </row>
    <row r="842" spans="1:4">
      <c r="A842" t="s">
        <v>243</v>
      </c>
      <c r="B842" t="s">
        <v>209</v>
      </c>
      <c r="C842">
        <v>57</v>
      </c>
      <c r="D842">
        <v>4</v>
      </c>
    </row>
    <row r="843" spans="1:4">
      <c r="A843" t="s">
        <v>241</v>
      </c>
      <c r="B843" t="s">
        <v>84</v>
      </c>
      <c r="C843">
        <v>58</v>
      </c>
      <c r="D843">
        <v>4</v>
      </c>
    </row>
    <row r="844" spans="1:4">
      <c r="A844" t="s">
        <v>242</v>
      </c>
      <c r="B844" t="s">
        <v>84</v>
      </c>
      <c r="C844">
        <v>58</v>
      </c>
      <c r="D844">
        <v>4</v>
      </c>
    </row>
    <row r="845" spans="1:4">
      <c r="A845" t="s">
        <v>241</v>
      </c>
      <c r="B845" t="s">
        <v>93</v>
      </c>
      <c r="C845">
        <v>59</v>
      </c>
      <c r="D845">
        <v>4</v>
      </c>
    </row>
    <row r="846" spans="1:4">
      <c r="A846" t="s">
        <v>242</v>
      </c>
      <c r="B846" t="s">
        <v>156</v>
      </c>
      <c r="C846">
        <v>62</v>
      </c>
      <c r="D846">
        <v>4</v>
      </c>
    </row>
    <row r="847" spans="1:4">
      <c r="A847" t="s">
        <v>242</v>
      </c>
      <c r="B847" t="s">
        <v>211</v>
      </c>
      <c r="C847">
        <v>62</v>
      </c>
      <c r="D847">
        <v>4</v>
      </c>
    </row>
    <row r="848" spans="1:4">
      <c r="A848" t="s">
        <v>238</v>
      </c>
      <c r="B848" t="s">
        <v>159</v>
      </c>
      <c r="C848">
        <v>63</v>
      </c>
      <c r="D848">
        <v>4</v>
      </c>
    </row>
    <row r="849" spans="1:4">
      <c r="A849" t="s">
        <v>239</v>
      </c>
      <c r="B849" t="s">
        <v>159</v>
      </c>
      <c r="C849">
        <v>63</v>
      </c>
      <c r="D849">
        <v>4</v>
      </c>
    </row>
    <row r="850" spans="1:4">
      <c r="A850" t="s">
        <v>241</v>
      </c>
      <c r="B850" t="s">
        <v>28</v>
      </c>
      <c r="C850">
        <v>64</v>
      </c>
      <c r="D850">
        <v>4</v>
      </c>
    </row>
    <row r="851" spans="1:4">
      <c r="A851" t="s">
        <v>241</v>
      </c>
      <c r="B851" t="s">
        <v>157</v>
      </c>
      <c r="C851">
        <v>64</v>
      </c>
      <c r="D851">
        <v>4</v>
      </c>
    </row>
    <row r="852" spans="1:4">
      <c r="A852" t="s">
        <v>242</v>
      </c>
      <c r="B852" t="s">
        <v>90</v>
      </c>
      <c r="C852">
        <v>65</v>
      </c>
      <c r="D852">
        <v>4</v>
      </c>
    </row>
    <row r="853" spans="1:4">
      <c r="A853" t="s">
        <v>240</v>
      </c>
      <c r="B853" t="s">
        <v>173</v>
      </c>
      <c r="C853">
        <v>65</v>
      </c>
      <c r="D853">
        <v>4</v>
      </c>
    </row>
    <row r="854" spans="1:4">
      <c r="A854" t="s">
        <v>250</v>
      </c>
      <c r="B854" t="s">
        <v>196</v>
      </c>
      <c r="C854">
        <v>71</v>
      </c>
      <c r="D854">
        <v>4</v>
      </c>
    </row>
    <row r="855" spans="1:4">
      <c r="A855" t="s">
        <v>242</v>
      </c>
      <c r="B855" t="s">
        <v>3</v>
      </c>
      <c r="C855">
        <v>75</v>
      </c>
      <c r="D855">
        <v>4</v>
      </c>
    </row>
    <row r="856" spans="1:4">
      <c r="A856" t="s">
        <v>241</v>
      </c>
      <c r="B856" t="s">
        <v>18</v>
      </c>
      <c r="C856">
        <v>75</v>
      </c>
      <c r="D856">
        <v>4</v>
      </c>
    </row>
    <row r="857" spans="1:4">
      <c r="A857" t="s">
        <v>243</v>
      </c>
      <c r="B857" t="s">
        <v>18</v>
      </c>
      <c r="C857">
        <v>75</v>
      </c>
      <c r="D857">
        <v>4</v>
      </c>
    </row>
    <row r="858" spans="1:4">
      <c r="A858" t="s">
        <v>242</v>
      </c>
      <c r="B858" t="s">
        <v>73</v>
      </c>
      <c r="C858">
        <v>75</v>
      </c>
      <c r="D858">
        <v>4</v>
      </c>
    </row>
    <row r="859" spans="1:4">
      <c r="A859" t="s">
        <v>240</v>
      </c>
      <c r="B859" t="s">
        <v>161</v>
      </c>
      <c r="C859">
        <v>75</v>
      </c>
      <c r="D859">
        <v>4</v>
      </c>
    </row>
    <row r="860" spans="1:4">
      <c r="A860" t="s">
        <v>241</v>
      </c>
      <c r="B860" t="s">
        <v>4</v>
      </c>
      <c r="C860">
        <v>77</v>
      </c>
      <c r="D860">
        <v>4</v>
      </c>
    </row>
    <row r="861" spans="1:4">
      <c r="A861" t="s">
        <v>243</v>
      </c>
      <c r="B861" t="s">
        <v>4</v>
      </c>
      <c r="C861">
        <v>77</v>
      </c>
      <c r="D861">
        <v>4</v>
      </c>
    </row>
    <row r="862" spans="1:4">
      <c r="A862" t="s">
        <v>241</v>
      </c>
      <c r="B862" t="s">
        <v>30</v>
      </c>
      <c r="C862">
        <v>78</v>
      </c>
      <c r="D862">
        <v>4</v>
      </c>
    </row>
    <row r="863" spans="1:4">
      <c r="A863" t="s">
        <v>242</v>
      </c>
      <c r="B863" t="s">
        <v>48</v>
      </c>
      <c r="C863">
        <v>78</v>
      </c>
      <c r="D863">
        <v>4</v>
      </c>
    </row>
    <row r="864" spans="1:4">
      <c r="A864" t="s">
        <v>242</v>
      </c>
      <c r="B864" t="s">
        <v>96</v>
      </c>
      <c r="C864">
        <v>79</v>
      </c>
      <c r="D864">
        <v>4</v>
      </c>
    </row>
    <row r="865" spans="1:4">
      <c r="A865" t="s">
        <v>242</v>
      </c>
      <c r="B865" t="s">
        <v>180</v>
      </c>
      <c r="C865">
        <v>79</v>
      </c>
      <c r="D865">
        <v>4</v>
      </c>
    </row>
    <row r="866" spans="1:4">
      <c r="A866" t="s">
        <v>241</v>
      </c>
      <c r="B866" t="s">
        <v>180</v>
      </c>
      <c r="C866">
        <v>79</v>
      </c>
      <c r="D866">
        <v>4</v>
      </c>
    </row>
    <row r="867" spans="1:4">
      <c r="A867" t="s">
        <v>250</v>
      </c>
      <c r="B867" t="s">
        <v>180</v>
      </c>
      <c r="C867">
        <v>79</v>
      </c>
      <c r="D867">
        <v>4</v>
      </c>
    </row>
    <row r="868" spans="1:4">
      <c r="A868" t="s">
        <v>240</v>
      </c>
      <c r="B868" t="s">
        <v>180</v>
      </c>
      <c r="C868">
        <v>79</v>
      </c>
      <c r="D868">
        <v>4</v>
      </c>
    </row>
    <row r="869" spans="1:4">
      <c r="A869" t="s">
        <v>243</v>
      </c>
      <c r="B869" t="s">
        <v>80</v>
      </c>
      <c r="C869">
        <v>81</v>
      </c>
      <c r="D869">
        <v>4</v>
      </c>
    </row>
    <row r="870" spans="1:4">
      <c r="A870" t="s">
        <v>238</v>
      </c>
      <c r="B870" t="s">
        <v>24</v>
      </c>
      <c r="C870">
        <v>85</v>
      </c>
      <c r="D870">
        <v>4</v>
      </c>
    </row>
    <row r="871" spans="1:4">
      <c r="A871" t="s">
        <v>246</v>
      </c>
      <c r="B871" t="s">
        <v>193</v>
      </c>
      <c r="C871">
        <v>85</v>
      </c>
      <c r="D871">
        <v>4</v>
      </c>
    </row>
    <row r="872" spans="1:4">
      <c r="A872" t="s">
        <v>249</v>
      </c>
      <c r="B872" t="s">
        <v>41</v>
      </c>
      <c r="C872">
        <v>86</v>
      </c>
      <c r="D872">
        <v>4</v>
      </c>
    </row>
    <row r="873" spans="1:4">
      <c r="A873" t="s">
        <v>246</v>
      </c>
      <c r="B873" t="s">
        <v>112</v>
      </c>
      <c r="C873">
        <v>88</v>
      </c>
      <c r="D873">
        <v>4</v>
      </c>
    </row>
    <row r="874" spans="1:4">
      <c r="A874" t="s">
        <v>240</v>
      </c>
      <c r="B874" t="s">
        <v>112</v>
      </c>
      <c r="C874">
        <v>88</v>
      </c>
      <c r="D874">
        <v>4</v>
      </c>
    </row>
    <row r="875" spans="1:4">
      <c r="A875" t="s">
        <v>241</v>
      </c>
      <c r="B875" t="s">
        <v>54</v>
      </c>
      <c r="C875">
        <v>90</v>
      </c>
      <c r="D875">
        <v>4</v>
      </c>
    </row>
    <row r="876" spans="1:4">
      <c r="A876" t="s">
        <v>242</v>
      </c>
      <c r="B876" t="s">
        <v>226</v>
      </c>
      <c r="C876">
        <v>90</v>
      </c>
      <c r="D876">
        <v>4</v>
      </c>
    </row>
    <row r="877" spans="1:4">
      <c r="A877" t="s">
        <v>240</v>
      </c>
      <c r="B877" t="s">
        <v>186</v>
      </c>
      <c r="C877">
        <v>92</v>
      </c>
      <c r="D877">
        <v>4</v>
      </c>
    </row>
    <row r="878" spans="1:4">
      <c r="A878" t="s">
        <v>239</v>
      </c>
      <c r="B878" t="s">
        <v>78</v>
      </c>
      <c r="C878">
        <v>93</v>
      </c>
      <c r="D878">
        <v>4</v>
      </c>
    </row>
    <row r="879" spans="1:4">
      <c r="A879" t="s">
        <v>240</v>
      </c>
      <c r="B879" t="s">
        <v>78</v>
      </c>
      <c r="C879">
        <v>93</v>
      </c>
      <c r="D879">
        <v>4</v>
      </c>
    </row>
    <row r="880" spans="1:4">
      <c r="A880" t="s">
        <v>241</v>
      </c>
      <c r="B880" t="s">
        <v>50</v>
      </c>
      <c r="C880">
        <v>95</v>
      </c>
      <c r="D880">
        <v>4</v>
      </c>
    </row>
    <row r="881" spans="1:4">
      <c r="A881" t="s">
        <v>241</v>
      </c>
      <c r="B881" t="s">
        <v>200</v>
      </c>
      <c r="C881">
        <v>95</v>
      </c>
      <c r="D881">
        <v>4</v>
      </c>
    </row>
    <row r="882" spans="1:4">
      <c r="A882" t="s">
        <v>242</v>
      </c>
      <c r="B882" t="s">
        <v>171</v>
      </c>
      <c r="C882">
        <v>96</v>
      </c>
      <c r="D882">
        <v>4</v>
      </c>
    </row>
    <row r="883" spans="1:4">
      <c r="A883" t="s">
        <v>241</v>
      </c>
      <c r="B883" t="s">
        <v>171</v>
      </c>
      <c r="C883">
        <v>96</v>
      </c>
      <c r="D883">
        <v>4</v>
      </c>
    </row>
    <row r="884" spans="1:4">
      <c r="A884" t="s">
        <v>242</v>
      </c>
      <c r="B884" t="s">
        <v>163</v>
      </c>
      <c r="C884">
        <v>98</v>
      </c>
      <c r="D884">
        <v>4</v>
      </c>
    </row>
    <row r="885" spans="1:4">
      <c r="A885" t="s">
        <v>238</v>
      </c>
      <c r="B885" t="s">
        <v>167</v>
      </c>
      <c r="C885">
        <v>100</v>
      </c>
      <c r="D885">
        <v>4</v>
      </c>
    </row>
    <row r="886" spans="1:4">
      <c r="A886" t="s">
        <v>242</v>
      </c>
      <c r="B886" t="s">
        <v>175</v>
      </c>
      <c r="C886">
        <v>102</v>
      </c>
      <c r="D886">
        <v>4</v>
      </c>
    </row>
    <row r="887" spans="1:4">
      <c r="A887" t="s">
        <v>242</v>
      </c>
      <c r="B887" t="s">
        <v>227</v>
      </c>
      <c r="C887">
        <v>105</v>
      </c>
      <c r="D887">
        <v>4</v>
      </c>
    </row>
    <row r="888" spans="1:4">
      <c r="A888" t="s">
        <v>238</v>
      </c>
      <c r="B888" t="s">
        <v>148</v>
      </c>
      <c r="C888">
        <v>106</v>
      </c>
      <c r="D888">
        <v>4</v>
      </c>
    </row>
    <row r="889" spans="1:4">
      <c r="A889" t="s">
        <v>249</v>
      </c>
      <c r="B889" t="s">
        <v>148</v>
      </c>
      <c r="C889">
        <v>106</v>
      </c>
      <c r="D889">
        <v>4</v>
      </c>
    </row>
    <row r="890" spans="1:4">
      <c r="A890" t="s">
        <v>240</v>
      </c>
      <c r="B890" t="s">
        <v>34</v>
      </c>
      <c r="C890">
        <v>107</v>
      </c>
      <c r="D890">
        <v>4</v>
      </c>
    </row>
    <row r="891" spans="1:4">
      <c r="A891" t="s">
        <v>242</v>
      </c>
      <c r="B891" t="s">
        <v>127</v>
      </c>
      <c r="C891">
        <v>108</v>
      </c>
      <c r="D891">
        <v>4</v>
      </c>
    </row>
    <row r="892" spans="1:4">
      <c r="A892" t="s">
        <v>239</v>
      </c>
      <c r="B892" t="s">
        <v>127</v>
      </c>
      <c r="C892">
        <v>108</v>
      </c>
      <c r="D892">
        <v>4</v>
      </c>
    </row>
    <row r="893" spans="1:4">
      <c r="A893" t="s">
        <v>243</v>
      </c>
      <c r="B893" t="s">
        <v>204</v>
      </c>
      <c r="C893">
        <v>108</v>
      </c>
      <c r="D893">
        <v>4</v>
      </c>
    </row>
    <row r="894" spans="1:4">
      <c r="A894" t="s">
        <v>243</v>
      </c>
      <c r="B894" t="s">
        <v>19</v>
      </c>
      <c r="C894">
        <v>112</v>
      </c>
      <c r="D894">
        <v>4</v>
      </c>
    </row>
    <row r="895" spans="1:4">
      <c r="A895" t="s">
        <v>242</v>
      </c>
      <c r="B895" t="s">
        <v>231</v>
      </c>
      <c r="C895">
        <v>112</v>
      </c>
      <c r="D895">
        <v>4</v>
      </c>
    </row>
    <row r="896" spans="1:4">
      <c r="A896" t="s">
        <v>242</v>
      </c>
      <c r="B896" t="s">
        <v>216</v>
      </c>
      <c r="C896">
        <v>113</v>
      </c>
      <c r="D896">
        <v>4</v>
      </c>
    </row>
    <row r="897" spans="1:4">
      <c r="A897" t="s">
        <v>243</v>
      </c>
      <c r="B897" t="s">
        <v>234</v>
      </c>
      <c r="C897">
        <v>113</v>
      </c>
      <c r="D897">
        <v>4</v>
      </c>
    </row>
    <row r="898" spans="1:4">
      <c r="A898" t="s">
        <v>238</v>
      </c>
      <c r="B898" t="s">
        <v>88</v>
      </c>
      <c r="C898">
        <v>116</v>
      </c>
      <c r="D898">
        <v>4</v>
      </c>
    </row>
    <row r="899" spans="1:4">
      <c r="A899" t="s">
        <v>238</v>
      </c>
      <c r="B899" t="s">
        <v>46</v>
      </c>
      <c r="C899">
        <v>117</v>
      </c>
      <c r="D899">
        <v>4</v>
      </c>
    </row>
    <row r="900" spans="1:4">
      <c r="A900" t="s">
        <v>242</v>
      </c>
      <c r="B900" t="s">
        <v>142</v>
      </c>
      <c r="C900">
        <v>117</v>
      </c>
      <c r="D900">
        <v>4</v>
      </c>
    </row>
    <row r="901" spans="1:4">
      <c r="A901" t="s">
        <v>240</v>
      </c>
      <c r="B901" t="s">
        <v>11</v>
      </c>
      <c r="C901">
        <v>118</v>
      </c>
      <c r="D901">
        <v>4</v>
      </c>
    </row>
    <row r="902" spans="1:4">
      <c r="A902" t="s">
        <v>241</v>
      </c>
      <c r="B902" t="s">
        <v>45</v>
      </c>
      <c r="C902">
        <v>119</v>
      </c>
      <c r="D902">
        <v>4</v>
      </c>
    </row>
    <row r="903" spans="1:4">
      <c r="A903" t="s">
        <v>242</v>
      </c>
      <c r="B903" t="s">
        <v>168</v>
      </c>
      <c r="C903">
        <v>31</v>
      </c>
      <c r="D903">
        <v>5</v>
      </c>
    </row>
    <row r="904" spans="1:4">
      <c r="A904" t="s">
        <v>241</v>
      </c>
      <c r="B904" t="s">
        <v>210</v>
      </c>
      <c r="C904">
        <v>33</v>
      </c>
      <c r="D904">
        <v>5</v>
      </c>
    </row>
    <row r="905" spans="1:4">
      <c r="A905" t="s">
        <v>239</v>
      </c>
      <c r="B905" t="s">
        <v>56</v>
      </c>
      <c r="C905">
        <v>34</v>
      </c>
      <c r="D905">
        <v>5</v>
      </c>
    </row>
    <row r="906" spans="1:4">
      <c r="A906" t="s">
        <v>240</v>
      </c>
      <c r="B906" t="s">
        <v>190</v>
      </c>
      <c r="C906">
        <v>34</v>
      </c>
      <c r="D906">
        <v>5</v>
      </c>
    </row>
    <row r="907" spans="1:4">
      <c r="A907" t="s">
        <v>240</v>
      </c>
      <c r="B907" t="s">
        <v>68</v>
      </c>
      <c r="C907">
        <v>37</v>
      </c>
      <c r="D907">
        <v>5</v>
      </c>
    </row>
    <row r="908" spans="1:4">
      <c r="A908" t="s">
        <v>241</v>
      </c>
      <c r="B908" t="s">
        <v>53</v>
      </c>
      <c r="C908">
        <v>38</v>
      </c>
      <c r="D908">
        <v>5</v>
      </c>
    </row>
    <row r="909" spans="1:4">
      <c r="A909" t="s">
        <v>239</v>
      </c>
      <c r="B909" t="s">
        <v>26</v>
      </c>
      <c r="C909">
        <v>39</v>
      </c>
      <c r="D909">
        <v>5</v>
      </c>
    </row>
    <row r="910" spans="1:4">
      <c r="A910" t="s">
        <v>239</v>
      </c>
      <c r="B910" t="s">
        <v>60</v>
      </c>
      <c r="C910">
        <v>39</v>
      </c>
      <c r="D910">
        <v>5</v>
      </c>
    </row>
    <row r="911" spans="1:4">
      <c r="A911" t="s">
        <v>238</v>
      </c>
      <c r="B911" t="s">
        <v>75</v>
      </c>
      <c r="C911">
        <v>40</v>
      </c>
      <c r="D911">
        <v>5</v>
      </c>
    </row>
    <row r="912" spans="1:4">
      <c r="A912" t="s">
        <v>239</v>
      </c>
      <c r="B912" t="s">
        <v>75</v>
      </c>
      <c r="C912">
        <v>40</v>
      </c>
      <c r="D912">
        <v>5</v>
      </c>
    </row>
    <row r="913" spans="1:4">
      <c r="A913" t="s">
        <v>238</v>
      </c>
      <c r="B913" t="s">
        <v>118</v>
      </c>
      <c r="C913">
        <v>40</v>
      </c>
      <c r="D913">
        <v>5</v>
      </c>
    </row>
    <row r="914" spans="1:4">
      <c r="A914" t="s">
        <v>242</v>
      </c>
      <c r="B914" t="s">
        <v>118</v>
      </c>
      <c r="C914">
        <v>40</v>
      </c>
      <c r="D914">
        <v>5</v>
      </c>
    </row>
    <row r="915" spans="1:4">
      <c r="A915" t="s">
        <v>241</v>
      </c>
      <c r="B915" t="s">
        <v>170</v>
      </c>
      <c r="C915">
        <v>45</v>
      </c>
      <c r="D915">
        <v>5</v>
      </c>
    </row>
    <row r="916" spans="1:4">
      <c r="A916" t="s">
        <v>242</v>
      </c>
      <c r="B916" t="s">
        <v>21</v>
      </c>
      <c r="C916">
        <v>46</v>
      </c>
      <c r="D916">
        <v>5</v>
      </c>
    </row>
    <row r="917" spans="1:4">
      <c r="A917" t="s">
        <v>239</v>
      </c>
      <c r="B917" t="s">
        <v>138</v>
      </c>
      <c r="C917">
        <v>46</v>
      </c>
      <c r="D917">
        <v>5</v>
      </c>
    </row>
    <row r="918" spans="1:4">
      <c r="A918" t="s">
        <v>238</v>
      </c>
      <c r="B918" t="s">
        <v>104</v>
      </c>
      <c r="C918">
        <v>50</v>
      </c>
      <c r="D918">
        <v>5</v>
      </c>
    </row>
    <row r="919" spans="1:4">
      <c r="A919" t="s">
        <v>242</v>
      </c>
      <c r="B919" t="s">
        <v>104</v>
      </c>
      <c r="C919">
        <v>50</v>
      </c>
      <c r="D919">
        <v>5</v>
      </c>
    </row>
    <row r="920" spans="1:4">
      <c r="A920" t="s">
        <v>240</v>
      </c>
      <c r="B920" t="s">
        <v>32</v>
      </c>
      <c r="C920">
        <v>51</v>
      </c>
      <c r="D920">
        <v>5</v>
      </c>
    </row>
    <row r="921" spans="1:4">
      <c r="A921" t="s">
        <v>241</v>
      </c>
      <c r="B921" t="s">
        <v>64</v>
      </c>
      <c r="C921">
        <v>52</v>
      </c>
      <c r="D921">
        <v>5</v>
      </c>
    </row>
    <row r="922" spans="1:4">
      <c r="A922" t="s">
        <v>242</v>
      </c>
      <c r="B922" t="s">
        <v>224</v>
      </c>
      <c r="C922">
        <v>53</v>
      </c>
      <c r="D922">
        <v>5</v>
      </c>
    </row>
    <row r="923" spans="1:4">
      <c r="A923" t="s">
        <v>242</v>
      </c>
      <c r="B923" t="s">
        <v>8</v>
      </c>
      <c r="C923">
        <v>58</v>
      </c>
      <c r="D923">
        <v>5</v>
      </c>
    </row>
    <row r="924" spans="1:4">
      <c r="A924" t="s">
        <v>248</v>
      </c>
      <c r="B924" t="s">
        <v>101</v>
      </c>
      <c r="C924">
        <v>59</v>
      </c>
      <c r="D924">
        <v>5</v>
      </c>
    </row>
    <row r="925" spans="1:4">
      <c r="A925" t="s">
        <v>241</v>
      </c>
      <c r="B925" t="s">
        <v>77</v>
      </c>
      <c r="C925">
        <v>60</v>
      </c>
      <c r="D925">
        <v>5</v>
      </c>
    </row>
    <row r="926" spans="1:4">
      <c r="A926" t="s">
        <v>241</v>
      </c>
      <c r="B926" t="s">
        <v>55</v>
      </c>
      <c r="C926">
        <v>66</v>
      </c>
      <c r="D926">
        <v>5</v>
      </c>
    </row>
    <row r="927" spans="1:4">
      <c r="A927" t="s">
        <v>241</v>
      </c>
      <c r="B927" t="s">
        <v>182</v>
      </c>
      <c r="C927">
        <v>67</v>
      </c>
      <c r="D927">
        <v>5</v>
      </c>
    </row>
    <row r="928" spans="1:4">
      <c r="A928" t="s">
        <v>238</v>
      </c>
      <c r="B928" t="s">
        <v>59</v>
      </c>
      <c r="C928">
        <v>72</v>
      </c>
      <c r="D928">
        <v>5</v>
      </c>
    </row>
    <row r="929" spans="1:4">
      <c r="A929" t="s">
        <v>240</v>
      </c>
      <c r="B929" t="s">
        <v>120</v>
      </c>
      <c r="C929">
        <v>72</v>
      </c>
      <c r="D929">
        <v>5</v>
      </c>
    </row>
    <row r="930" spans="1:4">
      <c r="A930" t="s">
        <v>240</v>
      </c>
      <c r="B930" t="s">
        <v>229</v>
      </c>
      <c r="C930">
        <v>74</v>
      </c>
      <c r="D930">
        <v>5</v>
      </c>
    </row>
    <row r="931" spans="1:4">
      <c r="A931" t="s">
        <v>240</v>
      </c>
      <c r="B931" t="s">
        <v>117</v>
      </c>
      <c r="C931">
        <v>76</v>
      </c>
      <c r="D931">
        <v>5</v>
      </c>
    </row>
    <row r="932" spans="1:4">
      <c r="A932" t="s">
        <v>243</v>
      </c>
      <c r="B932" t="s">
        <v>197</v>
      </c>
      <c r="C932">
        <v>84</v>
      </c>
      <c r="D932">
        <v>5</v>
      </c>
    </row>
    <row r="933" spans="1:4">
      <c r="A933" t="s">
        <v>241</v>
      </c>
      <c r="B933" t="s">
        <v>197</v>
      </c>
      <c r="C933">
        <v>84</v>
      </c>
      <c r="D933">
        <v>5</v>
      </c>
    </row>
    <row r="934" spans="1:4">
      <c r="A934" t="s">
        <v>242</v>
      </c>
      <c r="B934" t="s">
        <v>14</v>
      </c>
      <c r="C934">
        <v>88</v>
      </c>
      <c r="D934">
        <v>5</v>
      </c>
    </row>
    <row r="935" spans="1:4">
      <c r="A935" t="s">
        <v>241</v>
      </c>
      <c r="B935" t="s">
        <v>213</v>
      </c>
      <c r="C935">
        <v>94</v>
      </c>
      <c r="D935">
        <v>5</v>
      </c>
    </row>
    <row r="936" spans="1:4">
      <c r="A936" t="s">
        <v>242</v>
      </c>
      <c r="B936" t="s">
        <v>50</v>
      </c>
      <c r="C936">
        <v>95</v>
      </c>
      <c r="D936">
        <v>5</v>
      </c>
    </row>
    <row r="937" spans="1:4">
      <c r="A937" t="s">
        <v>240</v>
      </c>
      <c r="B937" t="s">
        <v>163</v>
      </c>
      <c r="C937">
        <v>98</v>
      </c>
      <c r="D937">
        <v>5</v>
      </c>
    </row>
    <row r="938" spans="1:4">
      <c r="A938" t="s">
        <v>242</v>
      </c>
      <c r="B938" t="s">
        <v>107</v>
      </c>
      <c r="C938">
        <v>100</v>
      </c>
      <c r="D938">
        <v>5</v>
      </c>
    </row>
    <row r="939" spans="1:4">
      <c r="A939" t="s">
        <v>242</v>
      </c>
      <c r="B939" t="s">
        <v>167</v>
      </c>
      <c r="C939">
        <v>100</v>
      </c>
      <c r="D939">
        <v>5</v>
      </c>
    </row>
    <row r="940" spans="1:4">
      <c r="A940" t="s">
        <v>241</v>
      </c>
      <c r="B940" t="s">
        <v>222</v>
      </c>
      <c r="C940">
        <v>101</v>
      </c>
      <c r="D940">
        <v>5</v>
      </c>
    </row>
    <row r="941" spans="1:4">
      <c r="A941" t="s">
        <v>238</v>
      </c>
      <c r="B941" t="s">
        <v>151</v>
      </c>
      <c r="C941">
        <v>103</v>
      </c>
      <c r="D941">
        <v>5</v>
      </c>
    </row>
    <row r="942" spans="1:4">
      <c r="A942" t="s">
        <v>242</v>
      </c>
      <c r="B942" t="s">
        <v>126</v>
      </c>
      <c r="C942">
        <v>106</v>
      </c>
      <c r="D942">
        <v>5</v>
      </c>
    </row>
    <row r="943" spans="1:4">
      <c r="A943" t="s">
        <v>240</v>
      </c>
      <c r="B943" t="s">
        <v>148</v>
      </c>
      <c r="C943">
        <v>106</v>
      </c>
      <c r="D943">
        <v>5</v>
      </c>
    </row>
    <row r="944" spans="1:4">
      <c r="A944" t="s">
        <v>238</v>
      </c>
      <c r="B944" t="s">
        <v>127</v>
      </c>
      <c r="C944">
        <v>108</v>
      </c>
      <c r="D944">
        <v>5</v>
      </c>
    </row>
    <row r="945" spans="1:4">
      <c r="A945" t="s">
        <v>241</v>
      </c>
      <c r="B945" t="s">
        <v>127</v>
      </c>
      <c r="C945">
        <v>108</v>
      </c>
      <c r="D945">
        <v>5</v>
      </c>
    </row>
    <row r="946" spans="1:4">
      <c r="A946" t="s">
        <v>241</v>
      </c>
      <c r="B946" t="s">
        <v>215</v>
      </c>
      <c r="C946">
        <v>112</v>
      </c>
      <c r="D946">
        <v>5</v>
      </c>
    </row>
    <row r="947" spans="1:4">
      <c r="A947" t="s">
        <v>241</v>
      </c>
      <c r="B947" t="s">
        <v>231</v>
      </c>
      <c r="C947">
        <v>112</v>
      </c>
      <c r="D947">
        <v>5</v>
      </c>
    </row>
    <row r="948" spans="1:4">
      <c r="A948" t="s">
        <v>242</v>
      </c>
      <c r="B948" t="s">
        <v>234</v>
      </c>
      <c r="C948">
        <v>113</v>
      </c>
      <c r="D948">
        <v>5</v>
      </c>
    </row>
    <row r="949" spans="1:4">
      <c r="A949" t="s">
        <v>240</v>
      </c>
      <c r="B949" t="s">
        <v>152</v>
      </c>
      <c r="C949">
        <v>115</v>
      </c>
      <c r="D949">
        <v>5</v>
      </c>
    </row>
    <row r="950" spans="1:4">
      <c r="A950" t="s">
        <v>242</v>
      </c>
      <c r="B950" t="s">
        <v>27</v>
      </c>
      <c r="C950">
        <v>116</v>
      </c>
      <c r="D950">
        <v>5</v>
      </c>
    </row>
    <row r="951" spans="1:4">
      <c r="A951" t="s">
        <v>241</v>
      </c>
      <c r="B951" t="s">
        <v>95</v>
      </c>
      <c r="C951">
        <v>119</v>
      </c>
      <c r="D951">
        <v>5</v>
      </c>
    </row>
    <row r="952" spans="1:4">
      <c r="A952" t="s">
        <v>240</v>
      </c>
      <c r="B952" t="s">
        <v>79</v>
      </c>
      <c r="C952">
        <v>120</v>
      </c>
      <c r="D952">
        <v>5</v>
      </c>
    </row>
    <row r="953" spans="1:4">
      <c r="A953" t="s">
        <v>241</v>
      </c>
      <c r="B953" t="s">
        <v>140</v>
      </c>
      <c r="C953">
        <v>30</v>
      </c>
      <c r="D953">
        <v>6</v>
      </c>
    </row>
    <row r="954" spans="1:4">
      <c r="A954" t="s">
        <v>239</v>
      </c>
      <c r="B954" t="s">
        <v>2</v>
      </c>
      <c r="C954">
        <v>31</v>
      </c>
      <c r="D954">
        <v>6</v>
      </c>
    </row>
    <row r="955" spans="1:4">
      <c r="A955" t="s">
        <v>241</v>
      </c>
      <c r="B955" t="s">
        <v>115</v>
      </c>
      <c r="C955">
        <v>31</v>
      </c>
      <c r="D955">
        <v>6</v>
      </c>
    </row>
    <row r="956" spans="1:4">
      <c r="A956" t="s">
        <v>242</v>
      </c>
      <c r="B956" t="s">
        <v>114</v>
      </c>
      <c r="C956">
        <v>32</v>
      </c>
      <c r="D956">
        <v>6</v>
      </c>
    </row>
    <row r="957" spans="1:4">
      <c r="A957" t="s">
        <v>241</v>
      </c>
      <c r="B957" t="s">
        <v>194</v>
      </c>
      <c r="C957">
        <v>33</v>
      </c>
      <c r="D957">
        <v>6</v>
      </c>
    </row>
    <row r="958" spans="1:4">
      <c r="A958" t="s">
        <v>242</v>
      </c>
      <c r="B958" t="s">
        <v>190</v>
      </c>
      <c r="C958">
        <v>34</v>
      </c>
      <c r="D958">
        <v>6</v>
      </c>
    </row>
    <row r="959" spans="1:4">
      <c r="A959" t="s">
        <v>242</v>
      </c>
      <c r="B959" t="s">
        <v>85</v>
      </c>
      <c r="C959">
        <v>37</v>
      </c>
      <c r="D959">
        <v>6</v>
      </c>
    </row>
    <row r="960" spans="1:4">
      <c r="A960" t="s">
        <v>241</v>
      </c>
      <c r="B960" t="s">
        <v>26</v>
      </c>
      <c r="C960">
        <v>39</v>
      </c>
      <c r="D960">
        <v>6</v>
      </c>
    </row>
    <row r="961" spans="1:4">
      <c r="A961" t="s">
        <v>252</v>
      </c>
      <c r="B961" t="s">
        <v>201</v>
      </c>
      <c r="C961">
        <v>42</v>
      </c>
      <c r="D961">
        <v>6</v>
      </c>
    </row>
    <row r="962" spans="1:4">
      <c r="A962" t="s">
        <v>240</v>
      </c>
      <c r="B962" t="s">
        <v>65</v>
      </c>
      <c r="C962">
        <v>43</v>
      </c>
      <c r="D962">
        <v>6</v>
      </c>
    </row>
    <row r="963" spans="1:4">
      <c r="A963" t="s">
        <v>241</v>
      </c>
      <c r="B963" t="s">
        <v>65</v>
      </c>
      <c r="C963">
        <v>43</v>
      </c>
      <c r="D963">
        <v>6</v>
      </c>
    </row>
    <row r="964" spans="1:4">
      <c r="A964" t="s">
        <v>242</v>
      </c>
      <c r="B964" t="s">
        <v>170</v>
      </c>
      <c r="C964">
        <v>45</v>
      </c>
      <c r="D964">
        <v>6</v>
      </c>
    </row>
    <row r="965" spans="1:4">
      <c r="A965" t="s">
        <v>238</v>
      </c>
      <c r="B965" t="s">
        <v>63</v>
      </c>
      <c r="C965">
        <v>49</v>
      </c>
      <c r="D965">
        <v>6</v>
      </c>
    </row>
    <row r="966" spans="1:4">
      <c r="A966" t="s">
        <v>250</v>
      </c>
      <c r="B966" t="s">
        <v>104</v>
      </c>
      <c r="C966">
        <v>50</v>
      </c>
      <c r="D966">
        <v>6</v>
      </c>
    </row>
    <row r="967" spans="1:4">
      <c r="A967" t="s">
        <v>242</v>
      </c>
      <c r="B967" t="s">
        <v>128</v>
      </c>
      <c r="C967">
        <v>53</v>
      </c>
      <c r="D967">
        <v>6</v>
      </c>
    </row>
    <row r="968" spans="1:4">
      <c r="A968" t="s">
        <v>241</v>
      </c>
      <c r="B968" t="s">
        <v>129</v>
      </c>
      <c r="C968">
        <v>57</v>
      </c>
      <c r="D968">
        <v>6</v>
      </c>
    </row>
    <row r="969" spans="1:4">
      <c r="A969" t="s">
        <v>242</v>
      </c>
      <c r="B969" t="s">
        <v>137</v>
      </c>
      <c r="C969">
        <v>58</v>
      </c>
      <c r="D969">
        <v>6</v>
      </c>
    </row>
    <row r="970" spans="1:4">
      <c r="A970" t="s">
        <v>241</v>
      </c>
      <c r="B970" t="s">
        <v>211</v>
      </c>
      <c r="C970">
        <v>62</v>
      </c>
      <c r="D970">
        <v>6</v>
      </c>
    </row>
    <row r="971" spans="1:4">
      <c r="A971" t="s">
        <v>238</v>
      </c>
      <c r="B971" t="s">
        <v>9</v>
      </c>
      <c r="C971">
        <v>64</v>
      </c>
      <c r="D971">
        <v>6</v>
      </c>
    </row>
    <row r="972" spans="1:4">
      <c r="A972" t="s">
        <v>241</v>
      </c>
      <c r="B972" t="s">
        <v>15</v>
      </c>
      <c r="C972">
        <v>66</v>
      </c>
      <c r="D972">
        <v>6</v>
      </c>
    </row>
    <row r="973" spans="1:4">
      <c r="A973" t="s">
        <v>240</v>
      </c>
      <c r="B973" t="s">
        <v>158</v>
      </c>
      <c r="C973">
        <v>66</v>
      </c>
      <c r="D973">
        <v>6</v>
      </c>
    </row>
    <row r="974" spans="1:4">
      <c r="A974" t="s">
        <v>241</v>
      </c>
      <c r="B974" t="s">
        <v>82</v>
      </c>
      <c r="C974">
        <v>73</v>
      </c>
      <c r="D974">
        <v>6</v>
      </c>
    </row>
    <row r="975" spans="1:4">
      <c r="A975" t="s">
        <v>240</v>
      </c>
      <c r="B975" t="s">
        <v>3</v>
      </c>
      <c r="C975">
        <v>75</v>
      </c>
      <c r="D975">
        <v>6</v>
      </c>
    </row>
    <row r="976" spans="1:4">
      <c r="A976" t="s">
        <v>238</v>
      </c>
      <c r="B976" t="s">
        <v>4</v>
      </c>
      <c r="C976">
        <v>77</v>
      </c>
      <c r="D976">
        <v>6</v>
      </c>
    </row>
    <row r="977" spans="1:4">
      <c r="A977" t="s">
        <v>239</v>
      </c>
      <c r="B977" t="s">
        <v>48</v>
      </c>
      <c r="C977">
        <v>78</v>
      </c>
      <c r="D977">
        <v>6</v>
      </c>
    </row>
    <row r="978" spans="1:4">
      <c r="A978" t="s">
        <v>242</v>
      </c>
      <c r="B978" t="s">
        <v>154</v>
      </c>
      <c r="C978">
        <v>78</v>
      </c>
      <c r="D978">
        <v>6</v>
      </c>
    </row>
    <row r="979" spans="1:4">
      <c r="A979" t="s">
        <v>241</v>
      </c>
      <c r="B979" t="s">
        <v>154</v>
      </c>
      <c r="C979">
        <v>78</v>
      </c>
      <c r="D979">
        <v>6</v>
      </c>
    </row>
    <row r="980" spans="1:4">
      <c r="A980" t="s">
        <v>241</v>
      </c>
      <c r="B980" t="s">
        <v>217</v>
      </c>
      <c r="C980">
        <v>78</v>
      </c>
      <c r="D980">
        <v>6</v>
      </c>
    </row>
    <row r="981" spans="1:4">
      <c r="A981" t="s">
        <v>239</v>
      </c>
      <c r="B981" t="s">
        <v>197</v>
      </c>
      <c r="C981">
        <v>84</v>
      </c>
      <c r="D981">
        <v>6</v>
      </c>
    </row>
    <row r="982" spans="1:4">
      <c r="A982" t="s">
        <v>241</v>
      </c>
      <c r="B982" t="s">
        <v>24</v>
      </c>
      <c r="C982">
        <v>85</v>
      </c>
      <c r="D982">
        <v>6</v>
      </c>
    </row>
    <row r="983" spans="1:4">
      <c r="A983" t="s">
        <v>243</v>
      </c>
      <c r="B983" t="s">
        <v>20</v>
      </c>
      <c r="C983">
        <v>87</v>
      </c>
      <c r="D983">
        <v>6</v>
      </c>
    </row>
    <row r="984" spans="1:4">
      <c r="A984" t="s">
        <v>248</v>
      </c>
      <c r="B984" t="s">
        <v>178</v>
      </c>
      <c r="C984">
        <v>87</v>
      </c>
      <c r="D984">
        <v>6</v>
      </c>
    </row>
    <row r="985" spans="1:4">
      <c r="A985" t="s">
        <v>242</v>
      </c>
      <c r="B985" t="s">
        <v>174</v>
      </c>
      <c r="C985">
        <v>90</v>
      </c>
      <c r="D985">
        <v>6</v>
      </c>
    </row>
    <row r="986" spans="1:4">
      <c r="A986" t="s">
        <v>240</v>
      </c>
      <c r="B986" t="s">
        <v>149</v>
      </c>
      <c r="C986">
        <v>93</v>
      </c>
      <c r="D986">
        <v>6</v>
      </c>
    </row>
    <row r="987" spans="1:4">
      <c r="A987" t="s">
        <v>241</v>
      </c>
      <c r="B987" t="s">
        <v>169</v>
      </c>
      <c r="C987">
        <v>94</v>
      </c>
      <c r="D987">
        <v>6</v>
      </c>
    </row>
    <row r="988" spans="1:4">
      <c r="A988" t="s">
        <v>246</v>
      </c>
      <c r="B988" t="s">
        <v>167</v>
      </c>
      <c r="C988">
        <v>100</v>
      </c>
      <c r="D988">
        <v>6</v>
      </c>
    </row>
    <row r="989" spans="1:4">
      <c r="A989" t="s">
        <v>241</v>
      </c>
      <c r="B989" t="s">
        <v>175</v>
      </c>
      <c r="C989">
        <v>102</v>
      </c>
      <c r="D989">
        <v>6</v>
      </c>
    </row>
    <row r="990" spans="1:4">
      <c r="A990" t="s">
        <v>243</v>
      </c>
      <c r="B990" t="s">
        <v>151</v>
      </c>
      <c r="C990">
        <v>103</v>
      </c>
      <c r="D990">
        <v>6</v>
      </c>
    </row>
    <row r="991" spans="1:4">
      <c r="A991" t="s">
        <v>243</v>
      </c>
      <c r="B991" t="s">
        <v>148</v>
      </c>
      <c r="C991">
        <v>106</v>
      </c>
      <c r="D991">
        <v>6</v>
      </c>
    </row>
    <row r="992" spans="1:4">
      <c r="A992" t="s">
        <v>242</v>
      </c>
      <c r="B992" t="s">
        <v>204</v>
      </c>
      <c r="C992">
        <v>108</v>
      </c>
      <c r="D992">
        <v>6</v>
      </c>
    </row>
    <row r="993" spans="1:4">
      <c r="A993" t="s">
        <v>238</v>
      </c>
      <c r="B993" t="s">
        <v>152</v>
      </c>
      <c r="C993">
        <v>115</v>
      </c>
      <c r="D993">
        <v>6</v>
      </c>
    </row>
    <row r="994" spans="1:4">
      <c r="A994" t="s">
        <v>242</v>
      </c>
      <c r="B994" t="s">
        <v>183</v>
      </c>
      <c r="C994">
        <v>119</v>
      </c>
      <c r="D994">
        <v>6</v>
      </c>
    </row>
    <row r="995" spans="1:4">
      <c r="A995" t="s">
        <v>243</v>
      </c>
      <c r="B995" t="s">
        <v>58</v>
      </c>
      <c r="C995">
        <v>120</v>
      </c>
      <c r="D995">
        <v>6</v>
      </c>
    </row>
    <row r="996" spans="1:4">
      <c r="A996" t="s">
        <v>242</v>
      </c>
      <c r="B996" t="s">
        <v>210</v>
      </c>
      <c r="C996">
        <v>33</v>
      </c>
      <c r="D996">
        <v>7</v>
      </c>
    </row>
    <row r="997" spans="1:4">
      <c r="A997" t="s">
        <v>241</v>
      </c>
      <c r="B997" t="s">
        <v>133</v>
      </c>
      <c r="C997">
        <v>35</v>
      </c>
      <c r="D997">
        <v>7</v>
      </c>
    </row>
    <row r="998" spans="1:4">
      <c r="A998" t="s">
        <v>241</v>
      </c>
      <c r="B998" t="s">
        <v>12</v>
      </c>
      <c r="C998">
        <v>36</v>
      </c>
      <c r="D998">
        <v>7</v>
      </c>
    </row>
    <row r="999" spans="1:4">
      <c r="A999" t="s">
        <v>241</v>
      </c>
      <c r="B999" t="s">
        <v>85</v>
      </c>
      <c r="C999">
        <v>37</v>
      </c>
      <c r="D999">
        <v>7</v>
      </c>
    </row>
    <row r="1000" spans="1:4">
      <c r="A1000" t="s">
        <v>241</v>
      </c>
      <c r="B1000" t="s">
        <v>60</v>
      </c>
      <c r="C1000">
        <v>39</v>
      </c>
      <c r="D1000">
        <v>7</v>
      </c>
    </row>
    <row r="1001" spans="1:4">
      <c r="A1001" t="s">
        <v>239</v>
      </c>
      <c r="B1001" t="s">
        <v>74</v>
      </c>
      <c r="C1001">
        <v>39</v>
      </c>
      <c r="D1001">
        <v>7</v>
      </c>
    </row>
    <row r="1002" spans="1:4">
      <c r="A1002" t="s">
        <v>240</v>
      </c>
      <c r="B1002" t="s">
        <v>201</v>
      </c>
      <c r="C1002">
        <v>42</v>
      </c>
      <c r="D1002">
        <v>7</v>
      </c>
    </row>
    <row r="1003" spans="1:4">
      <c r="A1003" t="s">
        <v>241</v>
      </c>
      <c r="B1003" t="s">
        <v>135</v>
      </c>
      <c r="C1003">
        <v>49</v>
      </c>
      <c r="D1003">
        <v>7</v>
      </c>
    </row>
    <row r="1004" spans="1:4">
      <c r="A1004" t="s">
        <v>241</v>
      </c>
      <c r="B1004" t="s">
        <v>187</v>
      </c>
      <c r="C1004">
        <v>52</v>
      </c>
      <c r="D1004">
        <v>7</v>
      </c>
    </row>
    <row r="1005" spans="1:4">
      <c r="A1005" t="s">
        <v>240</v>
      </c>
      <c r="B1005" t="s">
        <v>128</v>
      </c>
      <c r="C1005">
        <v>53</v>
      </c>
      <c r="D1005">
        <v>7</v>
      </c>
    </row>
    <row r="1006" spans="1:4">
      <c r="A1006" t="s">
        <v>243</v>
      </c>
      <c r="B1006" t="s">
        <v>100</v>
      </c>
      <c r="C1006">
        <v>54</v>
      </c>
      <c r="D1006">
        <v>7</v>
      </c>
    </row>
    <row r="1007" spans="1:4">
      <c r="A1007" t="s">
        <v>241</v>
      </c>
      <c r="B1007" t="s">
        <v>90</v>
      </c>
      <c r="C1007">
        <v>65</v>
      </c>
      <c r="D1007">
        <v>7</v>
      </c>
    </row>
    <row r="1008" spans="1:4">
      <c r="A1008" t="s">
        <v>242</v>
      </c>
      <c r="B1008" t="s">
        <v>15</v>
      </c>
      <c r="C1008">
        <v>66</v>
      </c>
      <c r="D1008">
        <v>7</v>
      </c>
    </row>
    <row r="1009" spans="1:4">
      <c r="A1009" t="s">
        <v>241</v>
      </c>
      <c r="B1009" t="s">
        <v>161</v>
      </c>
      <c r="C1009">
        <v>75</v>
      </c>
      <c r="D1009">
        <v>7</v>
      </c>
    </row>
    <row r="1010" spans="1:4">
      <c r="A1010" t="s">
        <v>241</v>
      </c>
      <c r="B1010" t="s">
        <v>181</v>
      </c>
      <c r="C1010">
        <v>76</v>
      </c>
      <c r="D1010">
        <v>7</v>
      </c>
    </row>
    <row r="1011" spans="1:4">
      <c r="A1011" t="s">
        <v>243</v>
      </c>
      <c r="B1011" t="s">
        <v>154</v>
      </c>
      <c r="C1011">
        <v>78</v>
      </c>
      <c r="D1011">
        <v>7</v>
      </c>
    </row>
    <row r="1012" spans="1:4">
      <c r="A1012" t="s">
        <v>239</v>
      </c>
      <c r="B1012" t="s">
        <v>154</v>
      </c>
      <c r="C1012">
        <v>78</v>
      </c>
      <c r="D1012">
        <v>7</v>
      </c>
    </row>
    <row r="1013" spans="1:4">
      <c r="A1013" t="s">
        <v>242</v>
      </c>
      <c r="B1013" t="s">
        <v>24</v>
      </c>
      <c r="C1013">
        <v>85</v>
      </c>
      <c r="D1013">
        <v>7</v>
      </c>
    </row>
    <row r="1014" spans="1:4">
      <c r="A1014" t="s">
        <v>238</v>
      </c>
      <c r="B1014" t="s">
        <v>112</v>
      </c>
      <c r="C1014">
        <v>88</v>
      </c>
      <c r="D1014">
        <v>7</v>
      </c>
    </row>
    <row r="1015" spans="1:4">
      <c r="A1015" t="s">
        <v>241</v>
      </c>
      <c r="B1015" t="s">
        <v>174</v>
      </c>
      <c r="C1015">
        <v>90</v>
      </c>
      <c r="D1015">
        <v>7</v>
      </c>
    </row>
    <row r="1016" spans="1:4">
      <c r="A1016" t="s">
        <v>243</v>
      </c>
      <c r="B1016" t="s">
        <v>175</v>
      </c>
      <c r="C1016">
        <v>102</v>
      </c>
      <c r="D1016">
        <v>7</v>
      </c>
    </row>
    <row r="1017" spans="1:4">
      <c r="A1017" t="s">
        <v>249</v>
      </c>
      <c r="B1017" t="s">
        <v>175</v>
      </c>
      <c r="C1017">
        <v>102</v>
      </c>
      <c r="D1017">
        <v>7</v>
      </c>
    </row>
    <row r="1018" spans="1:4">
      <c r="A1018" t="s">
        <v>241</v>
      </c>
      <c r="B1018" t="s">
        <v>151</v>
      </c>
      <c r="C1018">
        <v>103</v>
      </c>
      <c r="D1018">
        <v>7</v>
      </c>
    </row>
    <row r="1019" spans="1:4">
      <c r="A1019" t="s">
        <v>242</v>
      </c>
      <c r="B1019" t="s">
        <v>215</v>
      </c>
      <c r="C1019">
        <v>112</v>
      </c>
      <c r="D1019">
        <v>7</v>
      </c>
    </row>
    <row r="1020" spans="1:4">
      <c r="A1020" t="s">
        <v>242</v>
      </c>
      <c r="B1020" t="s">
        <v>46</v>
      </c>
      <c r="C1020">
        <v>117</v>
      </c>
      <c r="D1020">
        <v>7</v>
      </c>
    </row>
    <row r="1021" spans="1:4">
      <c r="A1021" t="s">
        <v>246</v>
      </c>
      <c r="B1021" t="s">
        <v>13</v>
      </c>
      <c r="C1021">
        <v>120</v>
      </c>
      <c r="D1021">
        <v>7</v>
      </c>
    </row>
    <row r="1022" spans="1:4">
      <c r="A1022" t="s">
        <v>238</v>
      </c>
      <c r="B1022" t="s">
        <v>13</v>
      </c>
      <c r="C1022">
        <v>120</v>
      </c>
      <c r="D1022">
        <v>7</v>
      </c>
    </row>
    <row r="1023" spans="1:4">
      <c r="A1023" t="s">
        <v>251</v>
      </c>
      <c r="B1023" t="s">
        <v>13</v>
      </c>
      <c r="C1023">
        <v>120</v>
      </c>
      <c r="D1023">
        <v>7</v>
      </c>
    </row>
    <row r="1024" spans="1:4">
      <c r="A1024" t="s">
        <v>243</v>
      </c>
      <c r="B1024" t="s">
        <v>79</v>
      </c>
      <c r="C1024">
        <v>120</v>
      </c>
      <c r="D1024">
        <v>7</v>
      </c>
    </row>
    <row r="1025" spans="1:4">
      <c r="A1025" t="s">
        <v>242</v>
      </c>
      <c r="B1025" t="s">
        <v>122</v>
      </c>
      <c r="C1025">
        <v>32</v>
      </c>
      <c r="D1025">
        <v>8</v>
      </c>
    </row>
    <row r="1026" spans="1:4">
      <c r="A1026" t="s">
        <v>241</v>
      </c>
      <c r="B1026" t="s">
        <v>40</v>
      </c>
      <c r="C1026">
        <v>35</v>
      </c>
      <c r="D1026">
        <v>8</v>
      </c>
    </row>
    <row r="1027" spans="1:4">
      <c r="A1027" t="s">
        <v>249</v>
      </c>
      <c r="B1027" t="s">
        <v>201</v>
      </c>
      <c r="C1027">
        <v>42</v>
      </c>
      <c r="D1027">
        <v>8</v>
      </c>
    </row>
    <row r="1028" spans="1:4">
      <c r="A1028" t="s">
        <v>241</v>
      </c>
      <c r="B1028" t="s">
        <v>138</v>
      </c>
      <c r="C1028">
        <v>46</v>
      </c>
      <c r="D1028">
        <v>8</v>
      </c>
    </row>
    <row r="1029" spans="1:4">
      <c r="A1029" t="s">
        <v>242</v>
      </c>
      <c r="B1029" t="s">
        <v>100</v>
      </c>
      <c r="C1029">
        <v>54</v>
      </c>
      <c r="D1029">
        <v>8</v>
      </c>
    </row>
    <row r="1030" spans="1:4">
      <c r="A1030" t="s">
        <v>242</v>
      </c>
      <c r="B1030" t="s">
        <v>232</v>
      </c>
      <c r="C1030">
        <v>54</v>
      </c>
      <c r="D1030">
        <v>8</v>
      </c>
    </row>
    <row r="1031" spans="1:4">
      <c r="A1031" t="s">
        <v>242</v>
      </c>
      <c r="B1031" t="s">
        <v>129</v>
      </c>
      <c r="C1031">
        <v>57</v>
      </c>
      <c r="D1031">
        <v>8</v>
      </c>
    </row>
    <row r="1032" spans="1:4">
      <c r="A1032" t="s">
        <v>240</v>
      </c>
      <c r="B1032" t="s">
        <v>147</v>
      </c>
      <c r="C1032">
        <v>69</v>
      </c>
      <c r="D1032">
        <v>8</v>
      </c>
    </row>
    <row r="1033" spans="1:4">
      <c r="A1033" t="s">
        <v>249</v>
      </c>
      <c r="B1033" t="s">
        <v>147</v>
      </c>
      <c r="C1033">
        <v>69</v>
      </c>
      <c r="D1033">
        <v>8</v>
      </c>
    </row>
    <row r="1034" spans="1:4">
      <c r="A1034" t="s">
        <v>242</v>
      </c>
      <c r="B1034" t="s">
        <v>116</v>
      </c>
      <c r="C1034">
        <v>76</v>
      </c>
      <c r="D1034">
        <v>8</v>
      </c>
    </row>
    <row r="1035" spans="1:4">
      <c r="A1035" t="s">
        <v>242</v>
      </c>
      <c r="B1035" t="s">
        <v>117</v>
      </c>
      <c r="C1035">
        <v>76</v>
      </c>
      <c r="D1035">
        <v>8</v>
      </c>
    </row>
    <row r="1036" spans="1:4">
      <c r="A1036" t="s">
        <v>241</v>
      </c>
      <c r="B1036" t="s">
        <v>48</v>
      </c>
      <c r="C1036">
        <v>78</v>
      </c>
      <c r="D1036">
        <v>8</v>
      </c>
    </row>
    <row r="1037" spans="1:4">
      <c r="A1037" t="s">
        <v>242</v>
      </c>
      <c r="B1037" t="s">
        <v>184</v>
      </c>
      <c r="C1037">
        <v>82</v>
      </c>
      <c r="D1037">
        <v>8</v>
      </c>
    </row>
    <row r="1038" spans="1:4">
      <c r="A1038" t="s">
        <v>242</v>
      </c>
      <c r="B1038" t="s">
        <v>197</v>
      </c>
      <c r="C1038">
        <v>84</v>
      </c>
      <c r="D1038">
        <v>8</v>
      </c>
    </row>
    <row r="1039" spans="1:4">
      <c r="A1039" t="s">
        <v>239</v>
      </c>
      <c r="B1039" t="s">
        <v>193</v>
      </c>
      <c r="C1039">
        <v>85</v>
      </c>
      <c r="D1039">
        <v>8</v>
      </c>
    </row>
    <row r="1040" spans="1:4">
      <c r="A1040" t="s">
        <v>239</v>
      </c>
      <c r="B1040" t="s">
        <v>20</v>
      </c>
      <c r="C1040">
        <v>87</v>
      </c>
      <c r="D1040">
        <v>8</v>
      </c>
    </row>
    <row r="1041" spans="1:4">
      <c r="A1041" t="s">
        <v>243</v>
      </c>
      <c r="B1041" t="s">
        <v>112</v>
      </c>
      <c r="C1041">
        <v>88</v>
      </c>
      <c r="D1041">
        <v>8</v>
      </c>
    </row>
    <row r="1042" spans="1:4">
      <c r="A1042" t="s">
        <v>246</v>
      </c>
      <c r="B1042" t="s">
        <v>186</v>
      </c>
      <c r="C1042">
        <v>92</v>
      </c>
      <c r="D1042">
        <v>8</v>
      </c>
    </row>
    <row r="1043" spans="1:4">
      <c r="A1043" t="s">
        <v>242</v>
      </c>
      <c r="B1043" t="s">
        <v>149</v>
      </c>
      <c r="C1043">
        <v>93</v>
      </c>
      <c r="D1043">
        <v>8</v>
      </c>
    </row>
    <row r="1044" spans="1:4">
      <c r="A1044" t="s">
        <v>242</v>
      </c>
      <c r="B1044" t="s">
        <v>148</v>
      </c>
      <c r="C1044">
        <v>106</v>
      </c>
      <c r="D1044">
        <v>8</v>
      </c>
    </row>
    <row r="1045" spans="1:4">
      <c r="A1045" t="s">
        <v>248</v>
      </c>
      <c r="B1045" t="s">
        <v>19</v>
      </c>
      <c r="C1045">
        <v>112</v>
      </c>
      <c r="D1045">
        <v>8</v>
      </c>
    </row>
    <row r="1046" spans="1:4">
      <c r="A1046" t="s">
        <v>239</v>
      </c>
      <c r="B1046" t="s">
        <v>152</v>
      </c>
      <c r="C1046">
        <v>115</v>
      </c>
      <c r="D1046">
        <v>8</v>
      </c>
    </row>
    <row r="1047" spans="1:4">
      <c r="A1047" t="s">
        <v>242</v>
      </c>
      <c r="B1047" t="s">
        <v>152</v>
      </c>
      <c r="C1047">
        <v>115</v>
      </c>
      <c r="D1047">
        <v>8</v>
      </c>
    </row>
    <row r="1048" spans="1:4">
      <c r="A1048" t="s">
        <v>243</v>
      </c>
      <c r="B1048" t="s">
        <v>2</v>
      </c>
      <c r="C1048">
        <v>31</v>
      </c>
      <c r="D1048">
        <v>9</v>
      </c>
    </row>
    <row r="1049" spans="1:4">
      <c r="A1049" t="s">
        <v>241</v>
      </c>
      <c r="B1049" t="s">
        <v>51</v>
      </c>
      <c r="C1049">
        <v>33</v>
      </c>
      <c r="D1049">
        <v>9</v>
      </c>
    </row>
    <row r="1050" spans="1:4">
      <c r="A1050" t="s">
        <v>241</v>
      </c>
      <c r="B1050" t="s">
        <v>76</v>
      </c>
      <c r="C1050">
        <v>34</v>
      </c>
      <c r="D1050">
        <v>9</v>
      </c>
    </row>
    <row r="1051" spans="1:4">
      <c r="A1051" t="s">
        <v>243</v>
      </c>
      <c r="B1051" t="s">
        <v>76</v>
      </c>
      <c r="C1051">
        <v>34</v>
      </c>
      <c r="D1051">
        <v>9</v>
      </c>
    </row>
    <row r="1052" spans="1:4">
      <c r="A1052" t="s">
        <v>243</v>
      </c>
      <c r="B1052" t="s">
        <v>75</v>
      </c>
      <c r="C1052">
        <v>40</v>
      </c>
      <c r="D1052">
        <v>9</v>
      </c>
    </row>
    <row r="1053" spans="1:4">
      <c r="A1053" t="s">
        <v>242</v>
      </c>
      <c r="B1053" t="s">
        <v>103</v>
      </c>
      <c r="C1053">
        <v>51</v>
      </c>
      <c r="D1053">
        <v>9</v>
      </c>
    </row>
    <row r="1054" spans="1:4">
      <c r="A1054" t="s">
        <v>242</v>
      </c>
      <c r="B1054" t="s">
        <v>188</v>
      </c>
      <c r="C1054">
        <v>54</v>
      </c>
      <c r="D1054">
        <v>9</v>
      </c>
    </row>
    <row r="1055" spans="1:4">
      <c r="A1055" t="s">
        <v>239</v>
      </c>
      <c r="B1055" t="s">
        <v>188</v>
      </c>
      <c r="C1055">
        <v>54</v>
      </c>
      <c r="D1055">
        <v>9</v>
      </c>
    </row>
    <row r="1056" spans="1:4">
      <c r="A1056" t="s">
        <v>243</v>
      </c>
      <c r="B1056" t="s">
        <v>188</v>
      </c>
      <c r="C1056">
        <v>54</v>
      </c>
      <c r="D1056">
        <v>9</v>
      </c>
    </row>
    <row r="1057" spans="1:4">
      <c r="A1057" t="s">
        <v>241</v>
      </c>
      <c r="B1057" t="s">
        <v>159</v>
      </c>
      <c r="C1057">
        <v>63</v>
      </c>
      <c r="D1057">
        <v>9</v>
      </c>
    </row>
    <row r="1058" spans="1:4">
      <c r="A1058" t="s">
        <v>243</v>
      </c>
      <c r="B1058" t="s">
        <v>9</v>
      </c>
      <c r="C1058">
        <v>64</v>
      </c>
      <c r="D1058">
        <v>9</v>
      </c>
    </row>
    <row r="1059" spans="1:4">
      <c r="A1059" t="s">
        <v>242</v>
      </c>
      <c r="B1059" t="s">
        <v>158</v>
      </c>
      <c r="C1059">
        <v>66</v>
      </c>
      <c r="D1059">
        <v>9</v>
      </c>
    </row>
    <row r="1060" spans="1:4">
      <c r="A1060" t="s">
        <v>239</v>
      </c>
      <c r="B1060" t="s">
        <v>3</v>
      </c>
      <c r="C1060">
        <v>75</v>
      </c>
      <c r="D1060">
        <v>9</v>
      </c>
    </row>
    <row r="1061" spans="1:4">
      <c r="A1061" t="s">
        <v>241</v>
      </c>
      <c r="B1061" t="s">
        <v>184</v>
      </c>
      <c r="C1061">
        <v>82</v>
      </c>
      <c r="D1061">
        <v>9</v>
      </c>
    </row>
    <row r="1062" spans="1:4">
      <c r="A1062" t="s">
        <v>243</v>
      </c>
      <c r="B1062" t="s">
        <v>41</v>
      </c>
      <c r="C1062">
        <v>86</v>
      </c>
      <c r="D1062">
        <v>9</v>
      </c>
    </row>
    <row r="1063" spans="1:4">
      <c r="A1063" t="s">
        <v>243</v>
      </c>
      <c r="B1063" t="s">
        <v>178</v>
      </c>
      <c r="C1063">
        <v>87</v>
      </c>
      <c r="D1063">
        <v>9</v>
      </c>
    </row>
    <row r="1064" spans="1:4">
      <c r="A1064" t="s">
        <v>242</v>
      </c>
      <c r="B1064" t="s">
        <v>112</v>
      </c>
      <c r="C1064">
        <v>88</v>
      </c>
      <c r="D1064">
        <v>9</v>
      </c>
    </row>
    <row r="1065" spans="1:4">
      <c r="A1065" t="s">
        <v>240</v>
      </c>
      <c r="B1065" t="s">
        <v>167</v>
      </c>
      <c r="C1065">
        <v>100</v>
      </c>
      <c r="D1065">
        <v>9</v>
      </c>
    </row>
    <row r="1066" spans="1:4">
      <c r="A1066" t="s">
        <v>243</v>
      </c>
      <c r="B1066" t="s">
        <v>167</v>
      </c>
      <c r="C1066">
        <v>100</v>
      </c>
      <c r="D1066">
        <v>9</v>
      </c>
    </row>
    <row r="1067" spans="1:4">
      <c r="A1067" t="s">
        <v>241</v>
      </c>
      <c r="B1067" t="s">
        <v>199</v>
      </c>
      <c r="C1067">
        <v>109</v>
      </c>
      <c r="D1067">
        <v>9</v>
      </c>
    </row>
    <row r="1068" spans="1:4">
      <c r="A1068" t="s">
        <v>243</v>
      </c>
      <c r="B1068" t="s">
        <v>152</v>
      </c>
      <c r="C1068">
        <v>115</v>
      </c>
      <c r="D1068">
        <v>9</v>
      </c>
    </row>
    <row r="1069" spans="1:4">
      <c r="A1069" t="s">
        <v>249</v>
      </c>
      <c r="B1069" t="s">
        <v>13</v>
      </c>
      <c r="C1069">
        <v>120</v>
      </c>
      <c r="D1069">
        <v>9</v>
      </c>
    </row>
    <row r="1070" spans="1:4">
      <c r="A1070" t="s">
        <v>241</v>
      </c>
      <c r="B1070" t="s">
        <v>162</v>
      </c>
      <c r="C1070">
        <v>36</v>
      </c>
      <c r="D1070">
        <v>10</v>
      </c>
    </row>
    <row r="1071" spans="1:4">
      <c r="A1071" t="s">
        <v>240</v>
      </c>
      <c r="B1071" t="s">
        <v>75</v>
      </c>
      <c r="C1071">
        <v>40</v>
      </c>
      <c r="D1071">
        <v>10</v>
      </c>
    </row>
    <row r="1072" spans="1:4">
      <c r="A1072" t="s">
        <v>243</v>
      </c>
      <c r="B1072" t="s">
        <v>118</v>
      </c>
      <c r="C1072">
        <v>40</v>
      </c>
      <c r="D1072">
        <v>10</v>
      </c>
    </row>
    <row r="1073" spans="1:4">
      <c r="A1073" t="s">
        <v>240</v>
      </c>
      <c r="B1073" t="s">
        <v>118</v>
      </c>
      <c r="C1073">
        <v>40</v>
      </c>
      <c r="D1073">
        <v>10</v>
      </c>
    </row>
    <row r="1074" spans="1:4">
      <c r="A1074" t="s">
        <v>241</v>
      </c>
      <c r="B1074" t="s">
        <v>103</v>
      </c>
      <c r="C1074">
        <v>51</v>
      </c>
      <c r="D1074">
        <v>10</v>
      </c>
    </row>
    <row r="1075" spans="1:4">
      <c r="A1075" t="s">
        <v>242</v>
      </c>
      <c r="B1075" t="s">
        <v>101</v>
      </c>
      <c r="C1075">
        <v>59</v>
      </c>
      <c r="D1075">
        <v>10</v>
      </c>
    </row>
    <row r="1076" spans="1:4">
      <c r="A1076" t="s">
        <v>243</v>
      </c>
      <c r="B1076" t="s">
        <v>101</v>
      </c>
      <c r="C1076">
        <v>59</v>
      </c>
      <c r="D1076">
        <v>10</v>
      </c>
    </row>
    <row r="1077" spans="1:4">
      <c r="A1077" t="s">
        <v>239</v>
      </c>
      <c r="B1077" t="s">
        <v>73</v>
      </c>
      <c r="C1077">
        <v>75</v>
      </c>
      <c r="D1077">
        <v>10</v>
      </c>
    </row>
    <row r="1078" spans="1:4">
      <c r="A1078" t="s">
        <v>238</v>
      </c>
      <c r="B1078" t="s">
        <v>117</v>
      </c>
      <c r="C1078">
        <v>76</v>
      </c>
      <c r="D1078">
        <v>10</v>
      </c>
    </row>
    <row r="1079" spans="1:4">
      <c r="A1079" t="s">
        <v>240</v>
      </c>
      <c r="B1079" t="s">
        <v>154</v>
      </c>
      <c r="C1079">
        <v>78</v>
      </c>
      <c r="D1079">
        <v>10</v>
      </c>
    </row>
    <row r="1080" spans="1:4">
      <c r="A1080" t="s">
        <v>239</v>
      </c>
      <c r="B1080" t="s">
        <v>89</v>
      </c>
      <c r="C1080">
        <v>87</v>
      </c>
      <c r="D1080">
        <v>10</v>
      </c>
    </row>
    <row r="1081" spans="1:4">
      <c r="A1081" t="s">
        <v>241</v>
      </c>
      <c r="B1081" t="s">
        <v>14</v>
      </c>
      <c r="C1081">
        <v>88</v>
      </c>
      <c r="D1081">
        <v>10</v>
      </c>
    </row>
    <row r="1082" spans="1:4">
      <c r="A1082" t="s">
        <v>241</v>
      </c>
      <c r="B1082" t="s">
        <v>226</v>
      </c>
      <c r="C1082">
        <v>90</v>
      </c>
      <c r="D1082">
        <v>10</v>
      </c>
    </row>
    <row r="1083" spans="1:4">
      <c r="A1083" t="s">
        <v>239</v>
      </c>
      <c r="B1083" t="s">
        <v>130</v>
      </c>
      <c r="C1083">
        <v>97</v>
      </c>
      <c r="D1083">
        <v>10</v>
      </c>
    </row>
    <row r="1084" spans="1:4">
      <c r="A1084" t="s">
        <v>241</v>
      </c>
      <c r="B1084" t="s">
        <v>92</v>
      </c>
      <c r="C1084">
        <v>101</v>
      </c>
      <c r="D1084">
        <v>10</v>
      </c>
    </row>
    <row r="1085" spans="1:4">
      <c r="A1085" t="s">
        <v>242</v>
      </c>
      <c r="B1085" t="s">
        <v>151</v>
      </c>
      <c r="C1085">
        <v>103</v>
      </c>
      <c r="D1085">
        <v>10</v>
      </c>
    </row>
    <row r="1086" spans="1:4">
      <c r="A1086" t="s">
        <v>241</v>
      </c>
      <c r="B1086" t="s">
        <v>106</v>
      </c>
      <c r="C1086">
        <v>115</v>
      </c>
      <c r="D1086">
        <v>10</v>
      </c>
    </row>
    <row r="1087" spans="1:4">
      <c r="A1087" t="s">
        <v>242</v>
      </c>
      <c r="B1087" t="s">
        <v>13</v>
      </c>
      <c r="C1087">
        <v>120</v>
      </c>
      <c r="D1087">
        <v>10</v>
      </c>
    </row>
    <row r="1088" spans="1:4">
      <c r="A1088" t="s">
        <v>241</v>
      </c>
      <c r="B1088" t="s">
        <v>58</v>
      </c>
      <c r="C1088">
        <v>120</v>
      </c>
      <c r="D1088">
        <v>10</v>
      </c>
    </row>
    <row r="1089" spans="1:4">
      <c r="A1089" t="s">
        <v>240</v>
      </c>
      <c r="B1089" t="s">
        <v>2</v>
      </c>
      <c r="C1089">
        <v>31</v>
      </c>
      <c r="D1089">
        <v>11</v>
      </c>
    </row>
    <row r="1090" spans="1:4">
      <c r="A1090" t="s">
        <v>243</v>
      </c>
      <c r="B1090" t="s">
        <v>201</v>
      </c>
      <c r="C1090">
        <v>42</v>
      </c>
      <c r="D1090">
        <v>11</v>
      </c>
    </row>
    <row r="1091" spans="1:4">
      <c r="A1091" t="s">
        <v>241</v>
      </c>
      <c r="B1091" t="s">
        <v>232</v>
      </c>
      <c r="C1091">
        <v>54</v>
      </c>
      <c r="D1091">
        <v>11</v>
      </c>
    </row>
    <row r="1092" spans="1:4">
      <c r="A1092" t="s">
        <v>242</v>
      </c>
      <c r="B1092" t="s">
        <v>186</v>
      </c>
      <c r="C1092">
        <v>92</v>
      </c>
      <c r="D1092">
        <v>11</v>
      </c>
    </row>
    <row r="1093" spans="1:4">
      <c r="A1093" t="s">
        <v>241</v>
      </c>
      <c r="B1093" t="s">
        <v>204</v>
      </c>
      <c r="C1093">
        <v>108</v>
      </c>
      <c r="D1093">
        <v>11</v>
      </c>
    </row>
    <row r="1094" spans="1:4">
      <c r="A1094" t="s">
        <v>241</v>
      </c>
      <c r="B1094" t="s">
        <v>191</v>
      </c>
      <c r="C1094">
        <v>111</v>
      </c>
      <c r="D1094">
        <v>11</v>
      </c>
    </row>
    <row r="1095" spans="1:4">
      <c r="A1095" t="s">
        <v>250</v>
      </c>
      <c r="B1095" t="s">
        <v>85</v>
      </c>
      <c r="C1095">
        <v>37</v>
      </c>
      <c r="D1095">
        <v>12</v>
      </c>
    </row>
    <row r="1096" spans="1:4">
      <c r="A1096" t="s">
        <v>238</v>
      </c>
      <c r="B1096" t="s">
        <v>101</v>
      </c>
      <c r="C1096">
        <v>59</v>
      </c>
      <c r="D1096">
        <v>12</v>
      </c>
    </row>
    <row r="1097" spans="1:4">
      <c r="A1097" t="s">
        <v>239</v>
      </c>
      <c r="B1097" t="s">
        <v>9</v>
      </c>
      <c r="C1097">
        <v>64</v>
      </c>
      <c r="D1097">
        <v>12</v>
      </c>
    </row>
    <row r="1098" spans="1:4">
      <c r="A1098" t="s">
        <v>242</v>
      </c>
      <c r="B1098" t="s">
        <v>182</v>
      </c>
      <c r="C1098">
        <v>67</v>
      </c>
      <c r="D1098">
        <v>12</v>
      </c>
    </row>
    <row r="1099" spans="1:4">
      <c r="A1099" t="s">
        <v>241</v>
      </c>
      <c r="B1099" t="s">
        <v>73</v>
      </c>
      <c r="C1099">
        <v>75</v>
      </c>
      <c r="D1099">
        <v>12</v>
      </c>
    </row>
    <row r="1100" spans="1:4">
      <c r="A1100" t="s">
        <v>242</v>
      </c>
      <c r="B1100" t="s">
        <v>4</v>
      </c>
      <c r="C1100">
        <v>77</v>
      </c>
      <c r="D1100">
        <v>12</v>
      </c>
    </row>
    <row r="1101" spans="1:4">
      <c r="A1101" t="s">
        <v>246</v>
      </c>
      <c r="B1101" t="s">
        <v>80</v>
      </c>
      <c r="C1101">
        <v>81</v>
      </c>
      <c r="D1101">
        <v>12</v>
      </c>
    </row>
    <row r="1102" spans="1:4">
      <c r="A1102" t="s">
        <v>242</v>
      </c>
      <c r="B1102" t="s">
        <v>41</v>
      </c>
      <c r="C1102">
        <v>86</v>
      </c>
      <c r="D1102">
        <v>12</v>
      </c>
    </row>
    <row r="1103" spans="1:4">
      <c r="A1103" t="s">
        <v>241</v>
      </c>
      <c r="B1103" t="s">
        <v>20</v>
      </c>
      <c r="C1103">
        <v>87</v>
      </c>
      <c r="D1103">
        <v>12</v>
      </c>
    </row>
    <row r="1104" spans="1:4">
      <c r="A1104" t="s">
        <v>240</v>
      </c>
      <c r="B1104" t="s">
        <v>175</v>
      </c>
      <c r="C1104">
        <v>102</v>
      </c>
      <c r="D1104">
        <v>12</v>
      </c>
    </row>
    <row r="1105" spans="1:4">
      <c r="A1105" t="s">
        <v>240</v>
      </c>
      <c r="B1105" t="s">
        <v>104</v>
      </c>
      <c r="C1105">
        <v>50</v>
      </c>
      <c r="D1105">
        <v>13</v>
      </c>
    </row>
    <row r="1106" spans="1:4">
      <c r="A1106" t="s">
        <v>241</v>
      </c>
      <c r="B1106" t="s">
        <v>9</v>
      </c>
      <c r="C1106">
        <v>64</v>
      </c>
      <c r="D1106">
        <v>13</v>
      </c>
    </row>
    <row r="1107" spans="1:4">
      <c r="A1107" t="s">
        <v>243</v>
      </c>
      <c r="B1107" t="s">
        <v>147</v>
      </c>
      <c r="C1107">
        <v>69</v>
      </c>
      <c r="D1107">
        <v>13</v>
      </c>
    </row>
    <row r="1108" spans="1:4">
      <c r="A1108" t="s">
        <v>241</v>
      </c>
      <c r="B1108" t="s">
        <v>149</v>
      </c>
      <c r="C1108">
        <v>93</v>
      </c>
      <c r="D1108">
        <v>13</v>
      </c>
    </row>
    <row r="1109" spans="1:4">
      <c r="A1109" t="s">
        <v>241</v>
      </c>
      <c r="B1109" t="s">
        <v>68</v>
      </c>
      <c r="C1109">
        <v>37</v>
      </c>
      <c r="D1109">
        <v>14</v>
      </c>
    </row>
    <row r="1110" spans="1:4">
      <c r="A1110" t="s">
        <v>241</v>
      </c>
      <c r="B1110" t="s">
        <v>188</v>
      </c>
      <c r="C1110">
        <v>54</v>
      </c>
      <c r="D1110">
        <v>14</v>
      </c>
    </row>
    <row r="1111" spans="1:4">
      <c r="A1111" t="s">
        <v>249</v>
      </c>
      <c r="B1111" t="s">
        <v>101</v>
      </c>
      <c r="C1111">
        <v>59</v>
      </c>
      <c r="D1111">
        <v>14</v>
      </c>
    </row>
    <row r="1112" spans="1:4">
      <c r="A1112" t="s">
        <v>241</v>
      </c>
      <c r="B1112" t="s">
        <v>164</v>
      </c>
      <c r="C1112">
        <v>61</v>
      </c>
      <c r="D1112">
        <v>14</v>
      </c>
    </row>
    <row r="1113" spans="1:4">
      <c r="A1113" t="s">
        <v>240</v>
      </c>
      <c r="B1113" t="s">
        <v>80</v>
      </c>
      <c r="C1113">
        <v>81</v>
      </c>
      <c r="D1113">
        <v>14</v>
      </c>
    </row>
    <row r="1114" spans="1:4">
      <c r="A1114" t="s">
        <v>241</v>
      </c>
      <c r="B1114" t="s">
        <v>163</v>
      </c>
      <c r="C1114">
        <v>98</v>
      </c>
      <c r="D1114">
        <v>14</v>
      </c>
    </row>
    <row r="1115" spans="1:4">
      <c r="A1115" t="s">
        <v>239</v>
      </c>
      <c r="B1115" t="s">
        <v>167</v>
      </c>
      <c r="C1115">
        <v>100</v>
      </c>
      <c r="D1115">
        <v>14</v>
      </c>
    </row>
    <row r="1116" spans="1:4">
      <c r="A1116" t="s">
        <v>250</v>
      </c>
      <c r="B1116" t="s">
        <v>201</v>
      </c>
      <c r="C1116">
        <v>42</v>
      </c>
      <c r="D1116">
        <v>15</v>
      </c>
    </row>
    <row r="1117" spans="1:4">
      <c r="A1117" t="s">
        <v>242</v>
      </c>
      <c r="B1117" t="s">
        <v>59</v>
      </c>
      <c r="C1117">
        <v>72</v>
      </c>
      <c r="D1117">
        <v>15</v>
      </c>
    </row>
    <row r="1118" spans="1:4">
      <c r="A1118" t="s">
        <v>241</v>
      </c>
      <c r="B1118" t="s">
        <v>59</v>
      </c>
      <c r="C1118">
        <v>72</v>
      </c>
      <c r="D1118">
        <v>15</v>
      </c>
    </row>
    <row r="1119" spans="1:4">
      <c r="A1119" t="s">
        <v>248</v>
      </c>
      <c r="B1119" t="s">
        <v>193</v>
      </c>
      <c r="C1119">
        <v>85</v>
      </c>
      <c r="D1119">
        <v>15</v>
      </c>
    </row>
    <row r="1120" spans="1:4">
      <c r="A1120" t="s">
        <v>250</v>
      </c>
      <c r="B1120" t="s">
        <v>148</v>
      </c>
      <c r="C1120">
        <v>106</v>
      </c>
      <c r="D1120">
        <v>15</v>
      </c>
    </row>
    <row r="1121" spans="1:4">
      <c r="A1121" t="s">
        <v>238</v>
      </c>
      <c r="B1121" t="s">
        <v>2</v>
      </c>
      <c r="C1121">
        <v>31</v>
      </c>
      <c r="D1121">
        <v>16</v>
      </c>
    </row>
    <row r="1122" spans="1:4">
      <c r="A1122" t="s">
        <v>241</v>
      </c>
      <c r="B1122" t="s">
        <v>166</v>
      </c>
      <c r="C1122">
        <v>31</v>
      </c>
      <c r="D1122">
        <v>16</v>
      </c>
    </row>
    <row r="1123" spans="1:4">
      <c r="A1123" t="s">
        <v>241</v>
      </c>
      <c r="B1123" t="s">
        <v>63</v>
      </c>
      <c r="C1123">
        <v>49</v>
      </c>
      <c r="D1123">
        <v>16</v>
      </c>
    </row>
    <row r="1124" spans="1:4">
      <c r="A1124" t="s">
        <v>239</v>
      </c>
      <c r="B1124" t="s">
        <v>63</v>
      </c>
      <c r="C1124">
        <v>49</v>
      </c>
      <c r="D1124">
        <v>16</v>
      </c>
    </row>
    <row r="1125" spans="1:4">
      <c r="A1125" t="s">
        <v>250</v>
      </c>
      <c r="B1125" t="s">
        <v>28</v>
      </c>
      <c r="C1125">
        <v>64</v>
      </c>
      <c r="D1125">
        <v>16</v>
      </c>
    </row>
    <row r="1126" spans="1:4">
      <c r="A1126" t="s">
        <v>241</v>
      </c>
      <c r="B1126" t="s">
        <v>158</v>
      </c>
      <c r="C1126">
        <v>66</v>
      </c>
      <c r="D1126">
        <v>16</v>
      </c>
    </row>
    <row r="1127" spans="1:4">
      <c r="A1127" t="s">
        <v>241</v>
      </c>
      <c r="B1127" t="s">
        <v>152</v>
      </c>
      <c r="C1127">
        <v>115</v>
      </c>
      <c r="D1127">
        <v>16</v>
      </c>
    </row>
    <row r="1128" spans="1:4">
      <c r="A1128" t="s">
        <v>242</v>
      </c>
      <c r="B1128" t="s">
        <v>63</v>
      </c>
      <c r="C1128">
        <v>49</v>
      </c>
      <c r="D1128">
        <v>17</v>
      </c>
    </row>
    <row r="1129" spans="1:4">
      <c r="A1129" t="s">
        <v>240</v>
      </c>
      <c r="B1129" t="s">
        <v>28</v>
      </c>
      <c r="C1129">
        <v>64</v>
      </c>
      <c r="D1129">
        <v>17</v>
      </c>
    </row>
    <row r="1130" spans="1:4">
      <c r="A1130" t="s">
        <v>241</v>
      </c>
      <c r="B1130" t="s">
        <v>147</v>
      </c>
      <c r="C1130">
        <v>69</v>
      </c>
      <c r="D1130">
        <v>17</v>
      </c>
    </row>
    <row r="1131" spans="1:4">
      <c r="A1131" t="s">
        <v>240</v>
      </c>
      <c r="B1131" t="s">
        <v>228</v>
      </c>
      <c r="C1131">
        <v>70</v>
      </c>
      <c r="D1131">
        <v>17</v>
      </c>
    </row>
    <row r="1132" spans="1:4">
      <c r="A1132" t="s">
        <v>242</v>
      </c>
      <c r="B1132" t="s">
        <v>40</v>
      </c>
      <c r="C1132">
        <v>35</v>
      </c>
      <c r="D1132">
        <v>18</v>
      </c>
    </row>
    <row r="1133" spans="1:4">
      <c r="A1133" t="s">
        <v>242</v>
      </c>
      <c r="B1133" t="s">
        <v>75</v>
      </c>
      <c r="C1133">
        <v>40</v>
      </c>
      <c r="D1133">
        <v>18</v>
      </c>
    </row>
    <row r="1134" spans="1:4">
      <c r="A1134" t="s">
        <v>241</v>
      </c>
      <c r="B1134" t="s">
        <v>112</v>
      </c>
      <c r="C1134">
        <v>88</v>
      </c>
      <c r="D1134">
        <v>18</v>
      </c>
    </row>
    <row r="1135" spans="1:4">
      <c r="A1135" t="s">
        <v>241</v>
      </c>
      <c r="B1135" t="s">
        <v>190</v>
      </c>
      <c r="C1135">
        <v>34</v>
      </c>
      <c r="D1135">
        <v>19</v>
      </c>
    </row>
    <row r="1136" spans="1:4">
      <c r="A1136" t="s">
        <v>242</v>
      </c>
      <c r="B1136" t="s">
        <v>159</v>
      </c>
      <c r="C1136">
        <v>63</v>
      </c>
      <c r="D1136">
        <v>19</v>
      </c>
    </row>
    <row r="1137" spans="1:4">
      <c r="A1137" t="s">
        <v>241</v>
      </c>
      <c r="B1137" t="s">
        <v>228</v>
      </c>
      <c r="C1137">
        <v>70</v>
      </c>
      <c r="D1137">
        <v>19</v>
      </c>
    </row>
    <row r="1138" spans="1:4">
      <c r="A1138" t="s">
        <v>241</v>
      </c>
      <c r="B1138" t="s">
        <v>148</v>
      </c>
      <c r="C1138">
        <v>106</v>
      </c>
      <c r="D1138">
        <v>19</v>
      </c>
    </row>
    <row r="1139" spans="1:4">
      <c r="A1139" t="s">
        <v>239</v>
      </c>
      <c r="B1139" t="s">
        <v>62</v>
      </c>
      <c r="C1139">
        <v>34</v>
      </c>
      <c r="D1139">
        <v>20</v>
      </c>
    </row>
    <row r="1140" spans="1:4">
      <c r="A1140" t="s">
        <v>240</v>
      </c>
      <c r="B1140" t="s">
        <v>62</v>
      </c>
      <c r="C1140">
        <v>34</v>
      </c>
      <c r="D1140">
        <v>20</v>
      </c>
    </row>
    <row r="1141" spans="1:4">
      <c r="A1141" t="s">
        <v>241</v>
      </c>
      <c r="B1141" t="s">
        <v>75</v>
      </c>
      <c r="C1141">
        <v>40</v>
      </c>
      <c r="D1141">
        <v>20</v>
      </c>
    </row>
    <row r="1142" spans="1:4">
      <c r="A1142" t="s">
        <v>241</v>
      </c>
      <c r="B1142" t="s">
        <v>80</v>
      </c>
      <c r="C1142">
        <v>81</v>
      </c>
      <c r="D1142">
        <v>20</v>
      </c>
    </row>
    <row r="1143" spans="1:4">
      <c r="A1143" t="s">
        <v>239</v>
      </c>
      <c r="B1143" t="s">
        <v>126</v>
      </c>
      <c r="C1143">
        <v>106</v>
      </c>
      <c r="D1143">
        <v>20</v>
      </c>
    </row>
    <row r="1144" spans="1:4">
      <c r="A1144" t="s">
        <v>242</v>
      </c>
      <c r="B1144" t="s">
        <v>62</v>
      </c>
      <c r="C1144">
        <v>34</v>
      </c>
      <c r="D1144">
        <v>21</v>
      </c>
    </row>
    <row r="1145" spans="1:4">
      <c r="A1145" t="s">
        <v>240</v>
      </c>
      <c r="B1145" t="s">
        <v>89</v>
      </c>
      <c r="C1145">
        <v>87</v>
      </c>
      <c r="D1145">
        <v>21</v>
      </c>
    </row>
    <row r="1146" spans="1:4">
      <c r="A1146" t="s">
        <v>240</v>
      </c>
      <c r="B1146" t="s">
        <v>178</v>
      </c>
      <c r="C1146">
        <v>87</v>
      </c>
      <c r="D1146">
        <v>21</v>
      </c>
    </row>
    <row r="1147" spans="1:4">
      <c r="A1147" t="s">
        <v>241</v>
      </c>
      <c r="B1147" t="s">
        <v>79</v>
      </c>
      <c r="C1147">
        <v>120</v>
      </c>
      <c r="D1147">
        <v>21</v>
      </c>
    </row>
    <row r="1148" spans="1:4">
      <c r="A1148" t="s">
        <v>242</v>
      </c>
      <c r="B1148" t="s">
        <v>9</v>
      </c>
      <c r="C1148">
        <v>64</v>
      </c>
      <c r="D1148">
        <v>22</v>
      </c>
    </row>
    <row r="1149" spans="1:4">
      <c r="A1149" t="s">
        <v>241</v>
      </c>
      <c r="B1149" t="s">
        <v>74</v>
      </c>
      <c r="C1149">
        <v>39</v>
      </c>
      <c r="D1149">
        <v>23</v>
      </c>
    </row>
    <row r="1150" spans="1:4">
      <c r="A1150" t="s">
        <v>242</v>
      </c>
      <c r="B1150" t="s">
        <v>201</v>
      </c>
      <c r="C1150">
        <v>42</v>
      </c>
      <c r="D1150">
        <v>23</v>
      </c>
    </row>
    <row r="1151" spans="1:4">
      <c r="A1151" t="s">
        <v>243</v>
      </c>
      <c r="B1151" t="s">
        <v>104</v>
      </c>
      <c r="C1151">
        <v>50</v>
      </c>
      <c r="D1151">
        <v>23</v>
      </c>
    </row>
    <row r="1152" spans="1:4">
      <c r="A1152" t="s">
        <v>242</v>
      </c>
      <c r="B1152" t="s">
        <v>2</v>
      </c>
      <c r="C1152">
        <v>31</v>
      </c>
      <c r="D1152">
        <v>24</v>
      </c>
    </row>
    <row r="1153" spans="1:4">
      <c r="A1153" t="s">
        <v>241</v>
      </c>
      <c r="B1153" t="s">
        <v>117</v>
      </c>
      <c r="C1153">
        <v>76</v>
      </c>
      <c r="D1153">
        <v>24</v>
      </c>
    </row>
    <row r="1154" spans="1:4">
      <c r="A1154" t="s">
        <v>241</v>
      </c>
      <c r="B1154" t="s">
        <v>89</v>
      </c>
      <c r="C1154">
        <v>87</v>
      </c>
      <c r="D1154">
        <v>24</v>
      </c>
    </row>
    <row r="1155" spans="1:4">
      <c r="A1155" t="s">
        <v>243</v>
      </c>
      <c r="B1155" t="s">
        <v>13</v>
      </c>
      <c r="C1155">
        <v>120</v>
      </c>
      <c r="D1155">
        <v>24</v>
      </c>
    </row>
    <row r="1156" spans="1:4">
      <c r="A1156" t="s">
        <v>243</v>
      </c>
      <c r="B1156" t="s">
        <v>62</v>
      </c>
      <c r="C1156">
        <v>34</v>
      </c>
      <c r="D1156">
        <v>25</v>
      </c>
    </row>
    <row r="1157" spans="1:4">
      <c r="A1157" t="s">
        <v>250</v>
      </c>
      <c r="B1157" t="s">
        <v>76</v>
      </c>
      <c r="C1157">
        <v>34</v>
      </c>
      <c r="D1157">
        <v>25</v>
      </c>
    </row>
    <row r="1158" spans="1:4">
      <c r="A1158" t="s">
        <v>241</v>
      </c>
      <c r="B1158" t="s">
        <v>91</v>
      </c>
      <c r="C1158">
        <v>32</v>
      </c>
      <c r="D1158">
        <v>26</v>
      </c>
    </row>
    <row r="1159" spans="1:4">
      <c r="A1159" t="s">
        <v>241</v>
      </c>
      <c r="B1159" t="s">
        <v>128</v>
      </c>
      <c r="C1159">
        <v>53</v>
      </c>
      <c r="D1159">
        <v>26</v>
      </c>
    </row>
    <row r="1160" spans="1:4">
      <c r="A1160" t="s">
        <v>241</v>
      </c>
      <c r="B1160" t="s">
        <v>104</v>
      </c>
      <c r="C1160">
        <v>50</v>
      </c>
      <c r="D1160">
        <v>28</v>
      </c>
    </row>
    <row r="1161" spans="1:4">
      <c r="A1161" t="s">
        <v>250</v>
      </c>
      <c r="B1161" t="s">
        <v>62</v>
      </c>
      <c r="C1161">
        <v>34</v>
      </c>
      <c r="D1161">
        <v>29</v>
      </c>
    </row>
    <row r="1162" spans="1:4">
      <c r="A1162" t="s">
        <v>241</v>
      </c>
      <c r="B1162" t="s">
        <v>229</v>
      </c>
      <c r="C1162">
        <v>74</v>
      </c>
      <c r="D1162">
        <v>30</v>
      </c>
    </row>
    <row r="1163" spans="1:4">
      <c r="A1163" t="s">
        <v>243</v>
      </c>
      <c r="B1163" t="s">
        <v>193</v>
      </c>
      <c r="C1163">
        <v>85</v>
      </c>
      <c r="D1163">
        <v>30</v>
      </c>
    </row>
    <row r="1164" spans="1:4">
      <c r="A1164" t="s">
        <v>250</v>
      </c>
      <c r="B1164" t="s">
        <v>175</v>
      </c>
      <c r="C1164">
        <v>102</v>
      </c>
      <c r="D1164">
        <v>31</v>
      </c>
    </row>
    <row r="1165" spans="1:4">
      <c r="A1165" t="s">
        <v>241</v>
      </c>
      <c r="B1165" t="s">
        <v>178</v>
      </c>
      <c r="C1165">
        <v>87</v>
      </c>
      <c r="D1165">
        <v>36</v>
      </c>
    </row>
    <row r="1166" spans="1:4">
      <c r="A1166" t="s">
        <v>240</v>
      </c>
      <c r="B1166" t="s">
        <v>13</v>
      </c>
      <c r="C1166">
        <v>120</v>
      </c>
      <c r="D1166">
        <v>36</v>
      </c>
    </row>
    <row r="1167" spans="1:4">
      <c r="A1167" t="s">
        <v>239</v>
      </c>
      <c r="B1167" t="s">
        <v>28</v>
      </c>
      <c r="C1167">
        <v>64</v>
      </c>
      <c r="D1167">
        <v>37</v>
      </c>
    </row>
    <row r="1168" spans="1:4">
      <c r="A1168" t="s">
        <v>250</v>
      </c>
      <c r="B1168" t="s">
        <v>229</v>
      </c>
      <c r="C1168">
        <v>74</v>
      </c>
      <c r="D1168">
        <v>37</v>
      </c>
    </row>
    <row r="1169" spans="1:4">
      <c r="A1169" t="s">
        <v>239</v>
      </c>
      <c r="B1169" t="s">
        <v>41</v>
      </c>
      <c r="C1169">
        <v>86</v>
      </c>
      <c r="D1169">
        <v>37</v>
      </c>
    </row>
    <row r="1170" spans="1:4">
      <c r="A1170" t="s">
        <v>239</v>
      </c>
      <c r="B1170" t="s">
        <v>148</v>
      </c>
      <c r="C1170">
        <v>106</v>
      </c>
      <c r="D1170">
        <v>38</v>
      </c>
    </row>
    <row r="1171" spans="1:4">
      <c r="A1171" t="s">
        <v>250</v>
      </c>
      <c r="B1171" t="s">
        <v>19</v>
      </c>
      <c r="C1171">
        <v>112</v>
      </c>
      <c r="D1171">
        <v>38</v>
      </c>
    </row>
    <row r="1172" spans="1:4">
      <c r="A1172" t="s">
        <v>250</v>
      </c>
      <c r="B1172" t="s">
        <v>147</v>
      </c>
      <c r="C1172">
        <v>69</v>
      </c>
      <c r="D1172">
        <v>42</v>
      </c>
    </row>
    <row r="1173" spans="1:4">
      <c r="A1173" t="s">
        <v>241</v>
      </c>
      <c r="B1173" t="s">
        <v>101</v>
      </c>
      <c r="C1173">
        <v>59</v>
      </c>
      <c r="D1173">
        <v>43</v>
      </c>
    </row>
    <row r="1174" spans="1:4">
      <c r="A1174" t="s">
        <v>239</v>
      </c>
      <c r="B1174" t="s">
        <v>19</v>
      </c>
      <c r="C1174">
        <v>112</v>
      </c>
      <c r="D1174">
        <v>44</v>
      </c>
    </row>
    <row r="1175" spans="1:4">
      <c r="A1175" t="s">
        <v>250</v>
      </c>
      <c r="B1175" t="s">
        <v>118</v>
      </c>
      <c r="C1175">
        <v>40</v>
      </c>
      <c r="D1175">
        <v>48</v>
      </c>
    </row>
    <row r="1176" spans="1:4">
      <c r="A1176" t="s">
        <v>250</v>
      </c>
      <c r="B1176" t="s">
        <v>89</v>
      </c>
      <c r="C1176">
        <v>87</v>
      </c>
      <c r="D1176">
        <v>49</v>
      </c>
    </row>
    <row r="1177" spans="1:4">
      <c r="A1177" t="s">
        <v>241</v>
      </c>
      <c r="B1177" t="s">
        <v>41</v>
      </c>
      <c r="C1177">
        <v>86</v>
      </c>
      <c r="D1177">
        <v>52</v>
      </c>
    </row>
    <row r="1178" spans="1:4">
      <c r="A1178" t="s">
        <v>240</v>
      </c>
      <c r="B1178" t="s">
        <v>41</v>
      </c>
      <c r="C1178">
        <v>86</v>
      </c>
      <c r="D1178">
        <v>54</v>
      </c>
    </row>
    <row r="1179" spans="1:4">
      <c r="A1179" t="s">
        <v>250</v>
      </c>
      <c r="B1179" t="s">
        <v>13</v>
      </c>
      <c r="C1179">
        <v>120</v>
      </c>
      <c r="D1179">
        <v>55</v>
      </c>
    </row>
    <row r="1180" spans="1:4">
      <c r="A1180" t="s">
        <v>241</v>
      </c>
      <c r="B1180" t="s">
        <v>201</v>
      </c>
      <c r="C1180">
        <v>42</v>
      </c>
      <c r="D1180">
        <v>57</v>
      </c>
    </row>
    <row r="1181" spans="1:4">
      <c r="A1181" t="s">
        <v>250</v>
      </c>
      <c r="B1181" t="s">
        <v>41</v>
      </c>
      <c r="C1181">
        <v>86</v>
      </c>
      <c r="D1181">
        <v>57</v>
      </c>
    </row>
    <row r="1182" spans="1:4">
      <c r="A1182" t="s">
        <v>241</v>
      </c>
      <c r="B1182" t="s">
        <v>193</v>
      </c>
      <c r="C1182">
        <v>85</v>
      </c>
      <c r="D1182">
        <v>58</v>
      </c>
    </row>
    <row r="1183" spans="1:4">
      <c r="A1183" t="s">
        <v>243</v>
      </c>
      <c r="B1183" t="s">
        <v>89</v>
      </c>
      <c r="C1183">
        <v>87</v>
      </c>
      <c r="D1183">
        <v>58</v>
      </c>
    </row>
    <row r="1184" spans="1:4">
      <c r="A1184" t="s">
        <v>241</v>
      </c>
      <c r="B1184" t="s">
        <v>62</v>
      </c>
      <c r="C1184">
        <v>34</v>
      </c>
      <c r="D1184">
        <v>60</v>
      </c>
    </row>
    <row r="1185" spans="1:4">
      <c r="A1185" t="s">
        <v>250</v>
      </c>
      <c r="B1185" t="s">
        <v>228</v>
      </c>
      <c r="C1185">
        <v>70</v>
      </c>
      <c r="D1185">
        <v>61</v>
      </c>
    </row>
    <row r="1186" spans="1:4">
      <c r="A1186" t="s">
        <v>250</v>
      </c>
      <c r="B1186" t="s">
        <v>178</v>
      </c>
      <c r="C1186">
        <v>87</v>
      </c>
      <c r="D1186">
        <v>62</v>
      </c>
    </row>
    <row r="1187" spans="1:4">
      <c r="A1187" t="s">
        <v>241</v>
      </c>
      <c r="B1187" t="s">
        <v>13</v>
      </c>
      <c r="C1187">
        <v>120</v>
      </c>
      <c r="D1187">
        <v>64</v>
      </c>
    </row>
    <row r="1188" spans="1:4">
      <c r="A1188" t="s">
        <v>241</v>
      </c>
      <c r="B1188" t="s">
        <v>2</v>
      </c>
      <c r="C1188">
        <v>31</v>
      </c>
      <c r="D1188">
        <v>72</v>
      </c>
    </row>
    <row r="1189" spans="1:4">
      <c r="A1189" t="s">
        <v>240</v>
      </c>
      <c r="B1189" t="s">
        <v>193</v>
      </c>
      <c r="C1189">
        <v>85</v>
      </c>
      <c r="D1189">
        <v>73</v>
      </c>
    </row>
    <row r="1190" spans="1:4">
      <c r="A1190" t="s">
        <v>241</v>
      </c>
      <c r="B1190" t="s">
        <v>118</v>
      </c>
      <c r="C1190">
        <v>40</v>
      </c>
      <c r="D1190">
        <v>75</v>
      </c>
    </row>
    <row r="1191" spans="1:4">
      <c r="A1191" t="s">
        <v>240</v>
      </c>
      <c r="B1191" t="s">
        <v>101</v>
      </c>
      <c r="C1191">
        <v>59</v>
      </c>
      <c r="D1191">
        <v>81</v>
      </c>
    </row>
    <row r="1192" spans="1:4">
      <c r="A1192" t="s">
        <v>240</v>
      </c>
      <c r="B1192" t="s">
        <v>19</v>
      </c>
      <c r="C1192">
        <v>112</v>
      </c>
      <c r="D1192">
        <v>82</v>
      </c>
    </row>
    <row r="1193" spans="1:4">
      <c r="A1193" t="s">
        <v>250</v>
      </c>
      <c r="B1193" t="s">
        <v>193</v>
      </c>
      <c r="C1193">
        <v>85</v>
      </c>
      <c r="D1193">
        <v>109</v>
      </c>
    </row>
    <row r="1194" spans="1:4">
      <c r="A1194" t="s">
        <v>241</v>
      </c>
      <c r="B1194" t="s">
        <v>167</v>
      </c>
      <c r="C1194">
        <v>100</v>
      </c>
      <c r="D1194">
        <v>110</v>
      </c>
    </row>
    <row r="1195" spans="1:4">
      <c r="A1195" t="s">
        <v>239</v>
      </c>
      <c r="B1195" t="s">
        <v>101</v>
      </c>
      <c r="C1195">
        <v>59</v>
      </c>
      <c r="D1195">
        <v>111</v>
      </c>
    </row>
    <row r="1196" spans="1:4">
      <c r="A1196" t="s">
        <v>239</v>
      </c>
      <c r="B1196" t="s">
        <v>13</v>
      </c>
      <c r="C1196">
        <v>120</v>
      </c>
      <c r="D1196">
        <v>112</v>
      </c>
    </row>
    <row r="1197" spans="1:4">
      <c r="A1197" t="s">
        <v>250</v>
      </c>
      <c r="B1197" t="s">
        <v>101</v>
      </c>
      <c r="C1197">
        <v>59</v>
      </c>
      <c r="D1197">
        <v>130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1B43-D3C0-41DD-8877-1F04D48E04E8}">
  <dimension ref="A1:C235"/>
  <sheetViews>
    <sheetView topLeftCell="A201" workbookViewId="0"/>
  </sheetViews>
  <sheetFormatPr defaultRowHeight="15"/>
  <cols>
    <col min="1" max="1" width="26" bestFit="1" customWidth="1"/>
    <col min="2" max="2" width="12.28515625" bestFit="1" customWidth="1"/>
    <col min="3" max="3" width="21.5703125" bestFit="1" customWidth="1"/>
  </cols>
  <sheetData>
    <row r="1" spans="1:3">
      <c r="A1" t="s">
        <v>0</v>
      </c>
      <c r="B1" t="s">
        <v>237</v>
      </c>
      <c r="C1" t="s">
        <v>253</v>
      </c>
    </row>
    <row r="2" spans="1:3">
      <c r="A2" t="s">
        <v>2</v>
      </c>
      <c r="B2">
        <v>144</v>
      </c>
      <c r="C2">
        <v>31</v>
      </c>
    </row>
    <row r="3" spans="1:3">
      <c r="A3" t="s">
        <v>3</v>
      </c>
      <c r="B3">
        <v>25</v>
      </c>
      <c r="C3">
        <v>75</v>
      </c>
    </row>
    <row r="4" spans="1:3">
      <c r="A4" t="s">
        <v>4</v>
      </c>
      <c r="B4">
        <v>31</v>
      </c>
      <c r="C4">
        <v>77</v>
      </c>
    </row>
    <row r="5" spans="1:3">
      <c r="A5" t="s">
        <v>5</v>
      </c>
      <c r="B5">
        <v>7</v>
      </c>
      <c r="C5">
        <v>93</v>
      </c>
    </row>
    <row r="6" spans="1:3">
      <c r="A6" t="s">
        <v>6</v>
      </c>
      <c r="B6">
        <v>8</v>
      </c>
      <c r="C6">
        <v>83</v>
      </c>
    </row>
    <row r="7" spans="1:3">
      <c r="A7" t="s">
        <v>7</v>
      </c>
      <c r="B7">
        <v>3</v>
      </c>
      <c r="C7">
        <v>49</v>
      </c>
    </row>
    <row r="8" spans="1:3">
      <c r="A8" t="s">
        <v>8</v>
      </c>
      <c r="B8">
        <v>15</v>
      </c>
      <c r="C8">
        <v>58</v>
      </c>
    </row>
    <row r="9" spans="1:3">
      <c r="A9" t="s">
        <v>9</v>
      </c>
      <c r="B9">
        <v>66</v>
      </c>
      <c r="C9">
        <v>64</v>
      </c>
    </row>
    <row r="10" spans="1:3">
      <c r="A10" t="s">
        <v>10</v>
      </c>
      <c r="B10">
        <v>11</v>
      </c>
      <c r="C10">
        <v>106</v>
      </c>
    </row>
    <row r="11" spans="1:3">
      <c r="A11" t="s">
        <v>11</v>
      </c>
      <c r="B11">
        <v>17</v>
      </c>
      <c r="C11">
        <v>118</v>
      </c>
    </row>
    <row r="12" spans="1:3">
      <c r="A12" t="s">
        <v>12</v>
      </c>
      <c r="B12">
        <v>13</v>
      </c>
      <c r="C12">
        <v>36</v>
      </c>
    </row>
    <row r="13" spans="1:3">
      <c r="A13" t="s">
        <v>13</v>
      </c>
      <c r="B13">
        <v>333</v>
      </c>
      <c r="C13">
        <v>120</v>
      </c>
    </row>
    <row r="14" spans="1:3">
      <c r="A14" t="s">
        <v>14</v>
      </c>
      <c r="B14">
        <v>21</v>
      </c>
      <c r="C14">
        <v>88</v>
      </c>
    </row>
    <row r="15" spans="1:3">
      <c r="A15" t="s">
        <v>15</v>
      </c>
      <c r="B15">
        <v>20</v>
      </c>
      <c r="C15">
        <v>66</v>
      </c>
    </row>
    <row r="16" spans="1:3">
      <c r="A16" t="s">
        <v>16</v>
      </c>
      <c r="B16">
        <v>4</v>
      </c>
      <c r="C16">
        <v>119</v>
      </c>
    </row>
    <row r="17" spans="1:3">
      <c r="A17" t="s">
        <v>17</v>
      </c>
      <c r="B17">
        <v>16</v>
      </c>
      <c r="C17">
        <v>52</v>
      </c>
    </row>
    <row r="18" spans="1:3">
      <c r="A18" t="s">
        <v>18</v>
      </c>
      <c r="B18">
        <v>13</v>
      </c>
      <c r="C18">
        <v>75</v>
      </c>
    </row>
    <row r="19" spans="1:3">
      <c r="A19" t="s">
        <v>19</v>
      </c>
      <c r="B19">
        <v>178</v>
      </c>
      <c r="C19">
        <v>112</v>
      </c>
    </row>
    <row r="20" spans="1:3">
      <c r="A20" t="s">
        <v>20</v>
      </c>
      <c r="B20">
        <v>28</v>
      </c>
      <c r="C20">
        <v>87</v>
      </c>
    </row>
    <row r="21" spans="1:3">
      <c r="A21" t="s">
        <v>21</v>
      </c>
      <c r="B21">
        <v>6</v>
      </c>
      <c r="C21">
        <v>46</v>
      </c>
    </row>
    <row r="22" spans="1:3">
      <c r="A22" t="s">
        <v>22</v>
      </c>
      <c r="B22">
        <v>2</v>
      </c>
      <c r="C22">
        <v>36</v>
      </c>
    </row>
    <row r="23" spans="1:3">
      <c r="A23" t="s">
        <v>23</v>
      </c>
      <c r="B23">
        <v>9</v>
      </c>
      <c r="C23">
        <v>32</v>
      </c>
    </row>
    <row r="24" spans="1:3">
      <c r="A24" t="s">
        <v>24</v>
      </c>
      <c r="B24">
        <v>21</v>
      </c>
      <c r="C24">
        <v>85</v>
      </c>
    </row>
    <row r="25" spans="1:3">
      <c r="A25" t="s">
        <v>25</v>
      </c>
      <c r="B25">
        <v>2</v>
      </c>
      <c r="C25">
        <v>120</v>
      </c>
    </row>
    <row r="26" spans="1:3">
      <c r="A26" t="s">
        <v>26</v>
      </c>
      <c r="B26">
        <v>14</v>
      </c>
      <c r="C26">
        <v>39</v>
      </c>
    </row>
    <row r="27" spans="1:3">
      <c r="A27" t="s">
        <v>27</v>
      </c>
      <c r="B27">
        <v>13</v>
      </c>
      <c r="C27">
        <v>116</v>
      </c>
    </row>
    <row r="28" spans="1:3">
      <c r="A28" t="s">
        <v>28</v>
      </c>
      <c r="B28">
        <v>84</v>
      </c>
      <c r="C28">
        <v>64</v>
      </c>
    </row>
    <row r="29" spans="1:3">
      <c r="A29" t="s">
        <v>29</v>
      </c>
      <c r="B29">
        <v>7</v>
      </c>
      <c r="C29">
        <v>46</v>
      </c>
    </row>
    <row r="30" spans="1:3">
      <c r="A30" t="s">
        <v>30</v>
      </c>
      <c r="B30">
        <v>6</v>
      </c>
      <c r="C30">
        <v>78</v>
      </c>
    </row>
    <row r="31" spans="1:3">
      <c r="A31" t="s">
        <v>31</v>
      </c>
      <c r="B31">
        <v>8</v>
      </c>
      <c r="C31">
        <v>48</v>
      </c>
    </row>
    <row r="32" spans="1:3">
      <c r="A32" t="s">
        <v>32</v>
      </c>
      <c r="B32">
        <v>10</v>
      </c>
      <c r="C32">
        <v>51</v>
      </c>
    </row>
    <row r="33" spans="1:3">
      <c r="A33" t="s">
        <v>33</v>
      </c>
      <c r="B33">
        <v>8</v>
      </c>
      <c r="C33">
        <v>61</v>
      </c>
    </row>
    <row r="34" spans="1:3">
      <c r="A34" t="s">
        <v>34</v>
      </c>
      <c r="B34">
        <v>9</v>
      </c>
      <c r="C34">
        <v>107</v>
      </c>
    </row>
    <row r="35" spans="1:3">
      <c r="A35" t="s">
        <v>35</v>
      </c>
      <c r="B35">
        <v>6</v>
      </c>
      <c r="C35">
        <v>49</v>
      </c>
    </row>
    <row r="36" spans="1:3">
      <c r="A36" t="s">
        <v>36</v>
      </c>
      <c r="B36">
        <v>11</v>
      </c>
      <c r="C36">
        <v>120</v>
      </c>
    </row>
    <row r="37" spans="1:3">
      <c r="A37" t="s">
        <v>37</v>
      </c>
      <c r="B37">
        <v>9</v>
      </c>
      <c r="C37">
        <v>119</v>
      </c>
    </row>
    <row r="38" spans="1:3">
      <c r="A38" t="s">
        <v>38</v>
      </c>
      <c r="B38">
        <v>7</v>
      </c>
      <c r="C38">
        <v>85</v>
      </c>
    </row>
    <row r="39" spans="1:3">
      <c r="A39" t="s">
        <v>39</v>
      </c>
      <c r="B39">
        <v>7</v>
      </c>
      <c r="C39">
        <v>109</v>
      </c>
    </row>
    <row r="40" spans="1:3">
      <c r="A40" t="s">
        <v>40</v>
      </c>
      <c r="B40">
        <v>33</v>
      </c>
      <c r="C40">
        <v>35</v>
      </c>
    </row>
    <row r="41" spans="1:3">
      <c r="A41" t="s">
        <v>41</v>
      </c>
      <c r="B41">
        <v>230</v>
      </c>
      <c r="C41">
        <v>86</v>
      </c>
    </row>
    <row r="42" spans="1:3">
      <c r="A42" t="s">
        <v>42</v>
      </c>
      <c r="B42">
        <v>3</v>
      </c>
      <c r="C42">
        <v>78</v>
      </c>
    </row>
    <row r="43" spans="1:3">
      <c r="A43" t="s">
        <v>43</v>
      </c>
      <c r="B43">
        <v>2</v>
      </c>
      <c r="C43">
        <v>39</v>
      </c>
    </row>
    <row r="44" spans="1:3">
      <c r="A44" t="s">
        <v>44</v>
      </c>
      <c r="B44">
        <v>6</v>
      </c>
      <c r="C44">
        <v>58</v>
      </c>
    </row>
    <row r="45" spans="1:3">
      <c r="A45" t="s">
        <v>45</v>
      </c>
      <c r="B45">
        <v>8</v>
      </c>
      <c r="C45">
        <v>119</v>
      </c>
    </row>
    <row r="46" spans="1:3">
      <c r="A46" t="s">
        <v>46</v>
      </c>
      <c r="B46">
        <v>19</v>
      </c>
      <c r="C46">
        <v>117</v>
      </c>
    </row>
    <row r="47" spans="1:3">
      <c r="A47" t="s">
        <v>47</v>
      </c>
      <c r="B47">
        <v>8</v>
      </c>
      <c r="C47">
        <v>56</v>
      </c>
    </row>
    <row r="48" spans="1:3">
      <c r="A48" t="s">
        <v>48</v>
      </c>
      <c r="B48">
        <v>19</v>
      </c>
      <c r="C48">
        <v>78</v>
      </c>
    </row>
    <row r="49" spans="1:3">
      <c r="A49" t="s">
        <v>49</v>
      </c>
      <c r="B49">
        <v>5</v>
      </c>
      <c r="C49">
        <v>71</v>
      </c>
    </row>
    <row r="50" spans="1:3">
      <c r="A50" t="s">
        <v>50</v>
      </c>
      <c r="B50">
        <v>12</v>
      </c>
      <c r="C50">
        <v>95</v>
      </c>
    </row>
    <row r="51" spans="1:3">
      <c r="A51" t="s">
        <v>51</v>
      </c>
      <c r="B51">
        <v>18</v>
      </c>
      <c r="C51">
        <v>33</v>
      </c>
    </row>
    <row r="52" spans="1:3">
      <c r="A52" t="s">
        <v>52</v>
      </c>
      <c r="B52">
        <v>8</v>
      </c>
      <c r="C52">
        <v>56</v>
      </c>
    </row>
    <row r="53" spans="1:3">
      <c r="A53" t="s">
        <v>53</v>
      </c>
      <c r="B53">
        <v>10</v>
      </c>
      <c r="C53">
        <v>38</v>
      </c>
    </row>
    <row r="54" spans="1:3">
      <c r="A54" t="s">
        <v>54</v>
      </c>
      <c r="B54">
        <v>6</v>
      </c>
      <c r="C54">
        <v>90</v>
      </c>
    </row>
    <row r="55" spans="1:3">
      <c r="A55" t="s">
        <v>55</v>
      </c>
      <c r="B55">
        <v>9</v>
      </c>
      <c r="C55">
        <v>66</v>
      </c>
    </row>
    <row r="56" spans="1:3">
      <c r="A56" t="s">
        <v>56</v>
      </c>
      <c r="B56">
        <v>15</v>
      </c>
      <c r="C56">
        <v>34</v>
      </c>
    </row>
    <row r="57" spans="1:3">
      <c r="A57" t="s">
        <v>57</v>
      </c>
      <c r="B57">
        <v>7</v>
      </c>
      <c r="C57">
        <v>103</v>
      </c>
    </row>
    <row r="58" spans="1:3">
      <c r="A58" t="s">
        <v>58</v>
      </c>
      <c r="B58">
        <v>20</v>
      </c>
      <c r="C58">
        <v>120</v>
      </c>
    </row>
    <row r="59" spans="1:3">
      <c r="A59" t="s">
        <v>59</v>
      </c>
      <c r="B59">
        <v>41</v>
      </c>
      <c r="C59">
        <v>72</v>
      </c>
    </row>
    <row r="60" spans="1:3">
      <c r="A60" t="s">
        <v>60</v>
      </c>
      <c r="B60">
        <v>16</v>
      </c>
      <c r="C60">
        <v>39</v>
      </c>
    </row>
    <row r="61" spans="1:3">
      <c r="A61" t="s">
        <v>61</v>
      </c>
      <c r="B61">
        <v>5</v>
      </c>
      <c r="C61">
        <v>81</v>
      </c>
    </row>
    <row r="62" spans="1:3">
      <c r="A62" t="s">
        <v>62</v>
      </c>
      <c r="B62">
        <v>184</v>
      </c>
      <c r="C62">
        <v>34</v>
      </c>
    </row>
    <row r="63" spans="1:3">
      <c r="A63" t="s">
        <v>63</v>
      </c>
      <c r="B63">
        <v>63</v>
      </c>
      <c r="C63">
        <v>49</v>
      </c>
    </row>
    <row r="64" spans="1:3">
      <c r="A64" t="s">
        <v>64</v>
      </c>
      <c r="B64">
        <v>8</v>
      </c>
      <c r="C64">
        <v>52</v>
      </c>
    </row>
    <row r="65" spans="1:3">
      <c r="A65" t="s">
        <v>65</v>
      </c>
      <c r="B65">
        <v>17</v>
      </c>
      <c r="C65">
        <v>43</v>
      </c>
    </row>
    <row r="66" spans="1:3">
      <c r="A66" t="s">
        <v>66</v>
      </c>
      <c r="B66">
        <v>4</v>
      </c>
      <c r="C66">
        <v>55</v>
      </c>
    </row>
    <row r="67" spans="1:3">
      <c r="A67" t="s">
        <v>67</v>
      </c>
      <c r="B67">
        <v>4</v>
      </c>
      <c r="C67">
        <v>108</v>
      </c>
    </row>
    <row r="68" spans="1:3">
      <c r="A68" t="s">
        <v>68</v>
      </c>
      <c r="B68">
        <v>24</v>
      </c>
      <c r="C68">
        <v>37</v>
      </c>
    </row>
    <row r="69" spans="1:3">
      <c r="A69" t="s">
        <v>69</v>
      </c>
      <c r="B69">
        <v>3</v>
      </c>
      <c r="C69">
        <v>65</v>
      </c>
    </row>
    <row r="70" spans="1:3">
      <c r="A70" t="s">
        <v>70</v>
      </c>
      <c r="B70">
        <v>8</v>
      </c>
      <c r="C70">
        <v>78</v>
      </c>
    </row>
    <row r="71" spans="1:3">
      <c r="A71" t="s">
        <v>71</v>
      </c>
      <c r="B71">
        <v>6</v>
      </c>
      <c r="C71">
        <v>115</v>
      </c>
    </row>
    <row r="72" spans="1:3">
      <c r="A72" t="s">
        <v>72</v>
      </c>
      <c r="B72">
        <v>5</v>
      </c>
      <c r="C72">
        <v>52</v>
      </c>
    </row>
    <row r="73" spans="1:3">
      <c r="A73" t="s">
        <v>73</v>
      </c>
      <c r="B73">
        <v>35</v>
      </c>
      <c r="C73">
        <v>75</v>
      </c>
    </row>
    <row r="74" spans="1:3">
      <c r="A74" t="s">
        <v>74</v>
      </c>
      <c r="B74">
        <v>40</v>
      </c>
      <c r="C74">
        <v>39</v>
      </c>
    </row>
    <row r="75" spans="1:3">
      <c r="A75" t="s">
        <v>75</v>
      </c>
      <c r="B75">
        <v>70</v>
      </c>
      <c r="C75">
        <v>40</v>
      </c>
    </row>
    <row r="76" spans="1:3">
      <c r="A76" t="s">
        <v>76</v>
      </c>
      <c r="B76">
        <v>49</v>
      </c>
      <c r="C76">
        <v>34</v>
      </c>
    </row>
    <row r="77" spans="1:3">
      <c r="A77" t="s">
        <v>77</v>
      </c>
      <c r="B77">
        <v>10</v>
      </c>
      <c r="C77">
        <v>60</v>
      </c>
    </row>
    <row r="78" spans="1:3">
      <c r="A78" t="s">
        <v>78</v>
      </c>
      <c r="B78">
        <v>16</v>
      </c>
      <c r="C78">
        <v>93</v>
      </c>
    </row>
    <row r="79" spans="1:3">
      <c r="A79" t="s">
        <v>79</v>
      </c>
      <c r="B79">
        <v>37</v>
      </c>
      <c r="C79">
        <v>120</v>
      </c>
    </row>
    <row r="80" spans="1:3">
      <c r="A80" t="s">
        <v>80</v>
      </c>
      <c r="B80">
        <v>55</v>
      </c>
      <c r="C80">
        <v>81</v>
      </c>
    </row>
    <row r="81" spans="1:3">
      <c r="A81" t="s">
        <v>81</v>
      </c>
      <c r="B81">
        <v>11</v>
      </c>
      <c r="C81">
        <v>33</v>
      </c>
    </row>
    <row r="82" spans="1:3">
      <c r="A82" t="s">
        <v>82</v>
      </c>
      <c r="B82">
        <v>14</v>
      </c>
      <c r="C82">
        <v>73</v>
      </c>
    </row>
    <row r="83" spans="1:3">
      <c r="A83" t="s">
        <v>83</v>
      </c>
      <c r="B83">
        <v>5</v>
      </c>
      <c r="C83">
        <v>41</v>
      </c>
    </row>
    <row r="84" spans="1:3">
      <c r="A84" t="s">
        <v>84</v>
      </c>
      <c r="B84">
        <v>11</v>
      </c>
      <c r="C84">
        <v>58</v>
      </c>
    </row>
    <row r="85" spans="1:3">
      <c r="A85" t="s">
        <v>85</v>
      </c>
      <c r="B85">
        <v>34</v>
      </c>
      <c r="C85">
        <v>37</v>
      </c>
    </row>
    <row r="86" spans="1:3">
      <c r="A86" t="s">
        <v>86</v>
      </c>
      <c r="B86">
        <v>3</v>
      </c>
      <c r="C86">
        <v>68</v>
      </c>
    </row>
    <row r="87" spans="1:3">
      <c r="A87" t="s">
        <v>87</v>
      </c>
      <c r="B87">
        <v>7</v>
      </c>
      <c r="C87">
        <v>74</v>
      </c>
    </row>
    <row r="88" spans="1:3">
      <c r="A88" t="s">
        <v>88</v>
      </c>
      <c r="B88">
        <v>11</v>
      </c>
      <c r="C88">
        <v>116</v>
      </c>
    </row>
    <row r="89" spans="1:3">
      <c r="A89" t="s">
        <v>89</v>
      </c>
      <c r="B89">
        <v>173</v>
      </c>
      <c r="C89">
        <v>87</v>
      </c>
    </row>
    <row r="90" spans="1:3">
      <c r="A90" t="s">
        <v>90</v>
      </c>
      <c r="B90">
        <v>12</v>
      </c>
      <c r="C90">
        <v>65</v>
      </c>
    </row>
    <row r="91" spans="1:3">
      <c r="A91" t="s">
        <v>91</v>
      </c>
      <c r="B91">
        <v>42</v>
      </c>
      <c r="C91">
        <v>32</v>
      </c>
    </row>
    <row r="92" spans="1:3">
      <c r="A92" t="s">
        <v>92</v>
      </c>
      <c r="B92">
        <v>21</v>
      </c>
      <c r="C92">
        <v>101</v>
      </c>
    </row>
    <row r="93" spans="1:3">
      <c r="A93" t="s">
        <v>93</v>
      </c>
      <c r="B93">
        <v>10</v>
      </c>
      <c r="C93">
        <v>59</v>
      </c>
    </row>
    <row r="94" spans="1:3">
      <c r="A94" t="s">
        <v>94</v>
      </c>
      <c r="B94">
        <v>3</v>
      </c>
      <c r="C94">
        <v>38</v>
      </c>
    </row>
    <row r="95" spans="1:3">
      <c r="A95" t="s">
        <v>95</v>
      </c>
      <c r="B95">
        <v>8</v>
      </c>
      <c r="C95">
        <v>119</v>
      </c>
    </row>
    <row r="96" spans="1:3">
      <c r="A96" t="s">
        <v>96</v>
      </c>
      <c r="B96">
        <v>11</v>
      </c>
      <c r="C96">
        <v>79</v>
      </c>
    </row>
    <row r="97" spans="1:3">
      <c r="A97" t="s">
        <v>97</v>
      </c>
      <c r="B97">
        <v>8</v>
      </c>
      <c r="C97">
        <v>61</v>
      </c>
    </row>
    <row r="98" spans="1:3">
      <c r="A98" t="s">
        <v>98</v>
      </c>
      <c r="B98">
        <v>1</v>
      </c>
      <c r="C98">
        <v>57</v>
      </c>
    </row>
    <row r="99" spans="1:3">
      <c r="A99" t="s">
        <v>99</v>
      </c>
      <c r="B99">
        <v>5</v>
      </c>
      <c r="C99">
        <v>75</v>
      </c>
    </row>
    <row r="100" spans="1:3">
      <c r="A100" t="s">
        <v>100</v>
      </c>
      <c r="B100">
        <v>28</v>
      </c>
      <c r="C100">
        <v>54</v>
      </c>
    </row>
    <row r="101" spans="1:3">
      <c r="A101" t="s">
        <v>101</v>
      </c>
      <c r="B101">
        <v>420</v>
      </c>
      <c r="C101">
        <v>59</v>
      </c>
    </row>
    <row r="102" spans="1:3">
      <c r="A102" t="s">
        <v>102</v>
      </c>
      <c r="B102">
        <v>13</v>
      </c>
      <c r="C102">
        <v>54</v>
      </c>
    </row>
    <row r="103" spans="1:3">
      <c r="A103" t="s">
        <v>103</v>
      </c>
      <c r="B103">
        <v>25</v>
      </c>
      <c r="C103">
        <v>51</v>
      </c>
    </row>
    <row r="104" spans="1:3">
      <c r="A104" t="s">
        <v>104</v>
      </c>
      <c r="B104">
        <v>85</v>
      </c>
      <c r="C104">
        <v>50</v>
      </c>
    </row>
    <row r="105" spans="1:3">
      <c r="A105" t="s">
        <v>105</v>
      </c>
      <c r="B105">
        <v>9</v>
      </c>
      <c r="C105">
        <v>49</v>
      </c>
    </row>
    <row r="106" spans="1:3">
      <c r="A106" t="s">
        <v>106</v>
      </c>
      <c r="B106">
        <v>17</v>
      </c>
      <c r="C106">
        <v>115</v>
      </c>
    </row>
    <row r="107" spans="1:3">
      <c r="A107" t="s">
        <v>107</v>
      </c>
      <c r="B107">
        <v>10</v>
      </c>
      <c r="C107">
        <v>100</v>
      </c>
    </row>
    <row r="108" spans="1:3">
      <c r="A108" t="s">
        <v>108</v>
      </c>
      <c r="B108">
        <v>7</v>
      </c>
      <c r="C108">
        <v>50</v>
      </c>
    </row>
    <row r="109" spans="1:3">
      <c r="A109" t="s">
        <v>109</v>
      </c>
      <c r="B109">
        <v>10</v>
      </c>
      <c r="C109">
        <v>44</v>
      </c>
    </row>
    <row r="110" spans="1:3">
      <c r="A110" t="s">
        <v>110</v>
      </c>
      <c r="B110">
        <v>4</v>
      </c>
      <c r="C110">
        <v>42</v>
      </c>
    </row>
    <row r="111" spans="1:3">
      <c r="A111" t="s">
        <v>111</v>
      </c>
      <c r="B111">
        <v>11</v>
      </c>
      <c r="C111">
        <v>33</v>
      </c>
    </row>
    <row r="112" spans="1:3">
      <c r="A112" t="s">
        <v>112</v>
      </c>
      <c r="B112">
        <v>52</v>
      </c>
      <c r="C112">
        <v>88</v>
      </c>
    </row>
    <row r="113" spans="1:3">
      <c r="A113" t="s">
        <v>113</v>
      </c>
      <c r="B113">
        <v>6</v>
      </c>
      <c r="C113">
        <v>116</v>
      </c>
    </row>
    <row r="114" spans="1:3">
      <c r="A114" t="s">
        <v>114</v>
      </c>
      <c r="B114">
        <v>15</v>
      </c>
      <c r="C114">
        <v>32</v>
      </c>
    </row>
    <row r="115" spans="1:3">
      <c r="A115" t="s">
        <v>115</v>
      </c>
      <c r="B115">
        <v>12</v>
      </c>
      <c r="C115">
        <v>31</v>
      </c>
    </row>
    <row r="116" spans="1:3">
      <c r="A116" t="s">
        <v>116</v>
      </c>
      <c r="B116">
        <v>12</v>
      </c>
      <c r="C116">
        <v>76</v>
      </c>
    </row>
    <row r="117" spans="1:3">
      <c r="A117" t="s">
        <v>117</v>
      </c>
      <c r="B117">
        <v>54</v>
      </c>
      <c r="C117">
        <v>76</v>
      </c>
    </row>
    <row r="118" spans="1:3">
      <c r="A118" t="s">
        <v>118</v>
      </c>
      <c r="B118">
        <v>156</v>
      </c>
      <c r="C118">
        <v>40</v>
      </c>
    </row>
    <row r="119" spans="1:3">
      <c r="A119" t="s">
        <v>119</v>
      </c>
      <c r="B119">
        <v>4</v>
      </c>
      <c r="C119">
        <v>103</v>
      </c>
    </row>
    <row r="120" spans="1:3">
      <c r="A120" t="s">
        <v>120</v>
      </c>
      <c r="B120">
        <v>11</v>
      </c>
      <c r="C120">
        <v>72</v>
      </c>
    </row>
    <row r="121" spans="1:3">
      <c r="A121" t="s">
        <v>121</v>
      </c>
      <c r="B121">
        <v>7</v>
      </c>
      <c r="C121">
        <v>91</v>
      </c>
    </row>
    <row r="122" spans="1:3">
      <c r="A122" t="s">
        <v>122</v>
      </c>
      <c r="B122">
        <v>18</v>
      </c>
      <c r="C122">
        <v>32</v>
      </c>
    </row>
    <row r="123" spans="1:3">
      <c r="A123" t="s">
        <v>123</v>
      </c>
      <c r="B123">
        <v>1</v>
      </c>
      <c r="C123">
        <v>118</v>
      </c>
    </row>
    <row r="124" spans="1:3">
      <c r="A124" t="s">
        <v>124</v>
      </c>
      <c r="B124">
        <v>4</v>
      </c>
      <c r="C124">
        <v>97</v>
      </c>
    </row>
    <row r="125" spans="1:3">
      <c r="A125" t="s">
        <v>125</v>
      </c>
      <c r="B125">
        <v>5</v>
      </c>
      <c r="C125">
        <v>30</v>
      </c>
    </row>
    <row r="126" spans="1:3">
      <c r="A126" t="s">
        <v>126</v>
      </c>
      <c r="B126">
        <v>32</v>
      </c>
      <c r="C126">
        <v>106</v>
      </c>
    </row>
    <row r="127" spans="1:3">
      <c r="A127" t="s">
        <v>127</v>
      </c>
      <c r="B127">
        <v>20</v>
      </c>
      <c r="C127">
        <v>108</v>
      </c>
    </row>
    <row r="128" spans="1:3">
      <c r="A128" t="s">
        <v>128</v>
      </c>
      <c r="B128">
        <v>49</v>
      </c>
      <c r="C128">
        <v>53</v>
      </c>
    </row>
    <row r="129" spans="1:3">
      <c r="A129" t="s">
        <v>129</v>
      </c>
      <c r="B129">
        <v>23</v>
      </c>
      <c r="C129">
        <v>57</v>
      </c>
    </row>
    <row r="130" spans="1:3">
      <c r="A130" t="s">
        <v>130</v>
      </c>
      <c r="B130">
        <v>16</v>
      </c>
      <c r="C130">
        <v>97</v>
      </c>
    </row>
    <row r="131" spans="1:3">
      <c r="A131" t="s">
        <v>131</v>
      </c>
      <c r="B131">
        <v>10</v>
      </c>
      <c r="C131">
        <v>69</v>
      </c>
    </row>
    <row r="132" spans="1:3">
      <c r="A132" t="s">
        <v>132</v>
      </c>
      <c r="B132">
        <v>1</v>
      </c>
      <c r="C132">
        <v>108</v>
      </c>
    </row>
    <row r="133" spans="1:3">
      <c r="A133" t="s">
        <v>133</v>
      </c>
      <c r="B133">
        <v>13</v>
      </c>
      <c r="C133">
        <v>35</v>
      </c>
    </row>
    <row r="134" spans="1:3">
      <c r="A134" t="s">
        <v>134</v>
      </c>
      <c r="B134">
        <v>9</v>
      </c>
      <c r="C134">
        <v>30</v>
      </c>
    </row>
    <row r="135" spans="1:3">
      <c r="A135" t="s">
        <v>135</v>
      </c>
      <c r="B135">
        <v>13</v>
      </c>
      <c r="C135">
        <v>49</v>
      </c>
    </row>
    <row r="136" spans="1:3">
      <c r="A136" t="s">
        <v>136</v>
      </c>
      <c r="B136">
        <v>4</v>
      </c>
      <c r="C136">
        <v>59</v>
      </c>
    </row>
    <row r="137" spans="1:3">
      <c r="A137" t="s">
        <v>137</v>
      </c>
      <c r="B137">
        <v>9</v>
      </c>
      <c r="C137">
        <v>58</v>
      </c>
    </row>
    <row r="138" spans="1:3">
      <c r="A138" t="s">
        <v>138</v>
      </c>
      <c r="B138">
        <v>19</v>
      </c>
      <c r="C138">
        <v>46</v>
      </c>
    </row>
    <row r="139" spans="1:3">
      <c r="A139" t="s">
        <v>139</v>
      </c>
      <c r="B139">
        <v>8</v>
      </c>
      <c r="C139">
        <v>89</v>
      </c>
    </row>
    <row r="140" spans="1:3">
      <c r="A140" t="s">
        <v>140</v>
      </c>
      <c r="B140">
        <v>13</v>
      </c>
      <c r="C140">
        <v>30</v>
      </c>
    </row>
    <row r="141" spans="1:3">
      <c r="A141" t="s">
        <v>141</v>
      </c>
      <c r="B141">
        <v>5</v>
      </c>
      <c r="C141">
        <v>103</v>
      </c>
    </row>
    <row r="142" spans="1:3">
      <c r="A142" t="s">
        <v>142</v>
      </c>
      <c r="B142">
        <v>11</v>
      </c>
      <c r="C142">
        <v>117</v>
      </c>
    </row>
    <row r="143" spans="1:3">
      <c r="A143" t="s">
        <v>143</v>
      </c>
      <c r="B143">
        <v>6</v>
      </c>
      <c r="C143">
        <v>53</v>
      </c>
    </row>
    <row r="144" spans="1:3">
      <c r="A144" t="s">
        <v>144</v>
      </c>
      <c r="B144">
        <v>5</v>
      </c>
      <c r="C144">
        <v>66</v>
      </c>
    </row>
    <row r="145" spans="1:3">
      <c r="A145" t="s">
        <v>145</v>
      </c>
      <c r="B145">
        <v>1</v>
      </c>
      <c r="C145">
        <v>114</v>
      </c>
    </row>
    <row r="146" spans="1:3">
      <c r="A146" t="s">
        <v>146</v>
      </c>
      <c r="B146">
        <v>9</v>
      </c>
      <c r="C146">
        <v>39</v>
      </c>
    </row>
    <row r="147" spans="1:3">
      <c r="A147" t="s">
        <v>147</v>
      </c>
      <c r="B147">
        <v>94</v>
      </c>
      <c r="C147">
        <v>69</v>
      </c>
    </row>
    <row r="148" spans="1:3">
      <c r="A148" t="s">
        <v>148</v>
      </c>
      <c r="B148">
        <v>101</v>
      </c>
      <c r="C148">
        <v>106</v>
      </c>
    </row>
    <row r="149" spans="1:3">
      <c r="A149" t="s">
        <v>149</v>
      </c>
      <c r="B149">
        <v>37</v>
      </c>
      <c r="C149">
        <v>93</v>
      </c>
    </row>
    <row r="150" spans="1:3">
      <c r="A150" t="s">
        <v>150</v>
      </c>
      <c r="B150">
        <v>4</v>
      </c>
      <c r="C150">
        <v>46</v>
      </c>
    </row>
    <row r="151" spans="1:3">
      <c r="A151" t="s">
        <v>151</v>
      </c>
      <c r="B151">
        <v>34</v>
      </c>
      <c r="C151">
        <v>103</v>
      </c>
    </row>
    <row r="152" spans="1:3">
      <c r="A152" t="s">
        <v>152</v>
      </c>
      <c r="B152">
        <v>56</v>
      </c>
      <c r="C152">
        <v>115</v>
      </c>
    </row>
    <row r="153" spans="1:3">
      <c r="A153" t="s">
        <v>153</v>
      </c>
      <c r="B153">
        <v>5</v>
      </c>
      <c r="C153">
        <v>104</v>
      </c>
    </row>
    <row r="154" spans="1:3">
      <c r="A154" t="s">
        <v>154</v>
      </c>
      <c r="B154">
        <v>40</v>
      </c>
      <c r="C154">
        <v>78</v>
      </c>
    </row>
    <row r="155" spans="1:3">
      <c r="A155" t="s">
        <v>155</v>
      </c>
      <c r="B155">
        <v>5</v>
      </c>
      <c r="C155">
        <v>69</v>
      </c>
    </row>
    <row r="156" spans="1:3">
      <c r="A156" t="s">
        <v>156</v>
      </c>
      <c r="B156">
        <v>10</v>
      </c>
      <c r="C156">
        <v>62</v>
      </c>
    </row>
    <row r="157" spans="1:3">
      <c r="A157" t="s">
        <v>157</v>
      </c>
      <c r="B157">
        <v>4</v>
      </c>
      <c r="C157">
        <v>64</v>
      </c>
    </row>
    <row r="158" spans="1:3">
      <c r="A158" t="s">
        <v>158</v>
      </c>
      <c r="B158">
        <v>37</v>
      </c>
      <c r="C158">
        <v>66</v>
      </c>
    </row>
    <row r="159" spans="1:3">
      <c r="A159" t="s">
        <v>159</v>
      </c>
      <c r="B159">
        <v>42</v>
      </c>
      <c r="C159">
        <v>63</v>
      </c>
    </row>
    <row r="160" spans="1:3">
      <c r="A160" t="s">
        <v>160</v>
      </c>
      <c r="B160">
        <v>5</v>
      </c>
      <c r="C160">
        <v>38</v>
      </c>
    </row>
    <row r="161" spans="1:3">
      <c r="A161" t="s">
        <v>161</v>
      </c>
      <c r="B161">
        <v>19</v>
      </c>
      <c r="C161">
        <v>75</v>
      </c>
    </row>
    <row r="162" spans="1:3">
      <c r="A162" t="s">
        <v>162</v>
      </c>
      <c r="B162">
        <v>20</v>
      </c>
      <c r="C162">
        <v>36</v>
      </c>
    </row>
    <row r="163" spans="1:3">
      <c r="A163" t="s">
        <v>163</v>
      </c>
      <c r="B163">
        <v>26</v>
      </c>
      <c r="C163">
        <v>98</v>
      </c>
    </row>
    <row r="164" spans="1:3">
      <c r="A164" t="s">
        <v>164</v>
      </c>
      <c r="B164">
        <v>19</v>
      </c>
      <c r="C164">
        <v>61</v>
      </c>
    </row>
    <row r="165" spans="1:3">
      <c r="A165" t="s">
        <v>165</v>
      </c>
      <c r="B165">
        <v>4</v>
      </c>
      <c r="C165">
        <v>86</v>
      </c>
    </row>
    <row r="166" spans="1:3">
      <c r="A166" t="s">
        <v>166</v>
      </c>
      <c r="B166">
        <v>22</v>
      </c>
      <c r="C166">
        <v>31</v>
      </c>
    </row>
    <row r="167" spans="1:3">
      <c r="A167" t="s">
        <v>167</v>
      </c>
      <c r="B167">
        <v>161</v>
      </c>
      <c r="C167">
        <v>100</v>
      </c>
    </row>
    <row r="168" spans="1:3">
      <c r="A168" t="s">
        <v>168</v>
      </c>
      <c r="B168">
        <v>10</v>
      </c>
      <c r="C168">
        <v>31</v>
      </c>
    </row>
    <row r="169" spans="1:3">
      <c r="A169" t="s">
        <v>169</v>
      </c>
      <c r="B169">
        <v>7</v>
      </c>
      <c r="C169">
        <v>94</v>
      </c>
    </row>
    <row r="170" spans="1:3">
      <c r="A170" t="s">
        <v>170</v>
      </c>
      <c r="B170">
        <v>14</v>
      </c>
      <c r="C170">
        <v>45</v>
      </c>
    </row>
    <row r="171" spans="1:3">
      <c r="A171" t="s">
        <v>171</v>
      </c>
      <c r="B171">
        <v>8</v>
      </c>
      <c r="C171">
        <v>96</v>
      </c>
    </row>
    <row r="172" spans="1:3">
      <c r="A172" t="s">
        <v>172</v>
      </c>
      <c r="B172">
        <v>5</v>
      </c>
      <c r="C172">
        <v>104</v>
      </c>
    </row>
    <row r="173" spans="1:3">
      <c r="A173" t="s">
        <v>173</v>
      </c>
      <c r="B173">
        <v>11</v>
      </c>
      <c r="C173">
        <v>65</v>
      </c>
    </row>
    <row r="174" spans="1:3">
      <c r="A174" t="s">
        <v>174</v>
      </c>
      <c r="B174">
        <v>19</v>
      </c>
      <c r="C174">
        <v>90</v>
      </c>
    </row>
    <row r="175" spans="1:3">
      <c r="A175" t="s">
        <v>175</v>
      </c>
      <c r="B175">
        <v>72</v>
      </c>
      <c r="C175">
        <v>102</v>
      </c>
    </row>
    <row r="176" spans="1:3">
      <c r="A176" t="s">
        <v>176</v>
      </c>
      <c r="B176">
        <v>4</v>
      </c>
      <c r="C176">
        <v>80</v>
      </c>
    </row>
    <row r="177" spans="1:3">
      <c r="A177" t="s">
        <v>177</v>
      </c>
      <c r="B177">
        <v>6</v>
      </c>
      <c r="C177">
        <v>56</v>
      </c>
    </row>
    <row r="178" spans="1:3">
      <c r="A178" t="s">
        <v>178</v>
      </c>
      <c r="B178">
        <v>142</v>
      </c>
      <c r="C178">
        <v>87</v>
      </c>
    </row>
    <row r="179" spans="1:3">
      <c r="A179" t="s">
        <v>179</v>
      </c>
      <c r="B179">
        <v>2</v>
      </c>
      <c r="C179">
        <v>87</v>
      </c>
    </row>
    <row r="180" spans="1:3">
      <c r="A180" t="s">
        <v>180</v>
      </c>
      <c r="B180">
        <v>22</v>
      </c>
      <c r="C180">
        <v>79</v>
      </c>
    </row>
    <row r="181" spans="1:3">
      <c r="A181" t="s">
        <v>181</v>
      </c>
      <c r="B181">
        <v>13</v>
      </c>
      <c r="C181">
        <v>76</v>
      </c>
    </row>
    <row r="182" spans="1:3">
      <c r="A182" t="s">
        <v>182</v>
      </c>
      <c r="B182">
        <v>23</v>
      </c>
      <c r="C182">
        <v>67</v>
      </c>
    </row>
    <row r="183" spans="1:3">
      <c r="A183" t="s">
        <v>183</v>
      </c>
      <c r="B183">
        <v>12</v>
      </c>
      <c r="C183">
        <v>119</v>
      </c>
    </row>
    <row r="184" spans="1:3">
      <c r="A184" t="s">
        <v>184</v>
      </c>
      <c r="B184">
        <v>22</v>
      </c>
      <c r="C184">
        <v>82</v>
      </c>
    </row>
    <row r="185" spans="1:3">
      <c r="A185" t="s">
        <v>185</v>
      </c>
      <c r="B185">
        <v>9</v>
      </c>
      <c r="C185">
        <v>101</v>
      </c>
    </row>
    <row r="186" spans="1:3">
      <c r="A186" t="s">
        <v>186</v>
      </c>
      <c r="B186">
        <v>31</v>
      </c>
      <c r="C186">
        <v>92</v>
      </c>
    </row>
    <row r="187" spans="1:3">
      <c r="A187" t="s">
        <v>187</v>
      </c>
      <c r="B187">
        <v>12</v>
      </c>
      <c r="C187">
        <v>52</v>
      </c>
    </row>
    <row r="188" spans="1:3">
      <c r="A188" t="s">
        <v>188</v>
      </c>
      <c r="B188">
        <v>45</v>
      </c>
      <c r="C188">
        <v>54</v>
      </c>
    </row>
    <row r="189" spans="1:3">
      <c r="A189" t="s">
        <v>189</v>
      </c>
      <c r="B189">
        <v>1</v>
      </c>
      <c r="C189">
        <v>44</v>
      </c>
    </row>
    <row r="190" spans="1:3">
      <c r="A190" t="s">
        <v>190</v>
      </c>
      <c r="B190">
        <v>36</v>
      </c>
      <c r="C190">
        <v>34</v>
      </c>
    </row>
    <row r="191" spans="1:3">
      <c r="A191" t="s">
        <v>191</v>
      </c>
      <c r="B191">
        <v>17</v>
      </c>
      <c r="C191">
        <v>111</v>
      </c>
    </row>
    <row r="192" spans="1:3">
      <c r="A192" t="s">
        <v>192</v>
      </c>
      <c r="B192">
        <v>6</v>
      </c>
      <c r="C192">
        <v>74</v>
      </c>
    </row>
    <row r="193" spans="1:3">
      <c r="A193" t="s">
        <v>193</v>
      </c>
      <c r="B193">
        <v>301</v>
      </c>
      <c r="C193">
        <v>85</v>
      </c>
    </row>
    <row r="194" spans="1:3">
      <c r="A194" t="s">
        <v>194</v>
      </c>
      <c r="B194">
        <v>10</v>
      </c>
      <c r="C194">
        <v>33</v>
      </c>
    </row>
    <row r="195" spans="1:3">
      <c r="A195" t="s">
        <v>195</v>
      </c>
      <c r="B195">
        <v>3</v>
      </c>
      <c r="C195">
        <v>110</v>
      </c>
    </row>
    <row r="196" spans="1:3">
      <c r="A196" t="s">
        <v>196</v>
      </c>
      <c r="B196">
        <v>14</v>
      </c>
      <c r="C196">
        <v>71</v>
      </c>
    </row>
    <row r="197" spans="1:3">
      <c r="A197" t="s">
        <v>197</v>
      </c>
      <c r="B197">
        <v>27</v>
      </c>
      <c r="C197">
        <v>84</v>
      </c>
    </row>
    <row r="198" spans="1:3">
      <c r="A198" t="s">
        <v>198</v>
      </c>
      <c r="B198">
        <v>6</v>
      </c>
      <c r="C198">
        <v>75</v>
      </c>
    </row>
    <row r="199" spans="1:3">
      <c r="A199" t="s">
        <v>199</v>
      </c>
      <c r="B199">
        <v>18</v>
      </c>
      <c r="C199">
        <v>109</v>
      </c>
    </row>
    <row r="200" spans="1:3">
      <c r="A200" t="s">
        <v>200</v>
      </c>
      <c r="B200">
        <v>7</v>
      </c>
      <c r="C200">
        <v>95</v>
      </c>
    </row>
    <row r="201" spans="1:3">
      <c r="A201" t="s">
        <v>201</v>
      </c>
      <c r="B201">
        <v>138</v>
      </c>
      <c r="C201">
        <v>42</v>
      </c>
    </row>
    <row r="202" spans="1:3">
      <c r="A202" t="s">
        <v>202</v>
      </c>
      <c r="B202">
        <v>2</v>
      </c>
      <c r="C202">
        <v>106</v>
      </c>
    </row>
    <row r="203" spans="1:3">
      <c r="A203" t="s">
        <v>203</v>
      </c>
      <c r="B203">
        <v>4</v>
      </c>
      <c r="C203">
        <v>51</v>
      </c>
    </row>
    <row r="204" spans="1:3">
      <c r="A204" t="s">
        <v>204</v>
      </c>
      <c r="B204">
        <v>22</v>
      </c>
      <c r="C204">
        <v>108</v>
      </c>
    </row>
    <row r="205" spans="1:3">
      <c r="A205" t="s">
        <v>205</v>
      </c>
      <c r="B205">
        <v>3</v>
      </c>
      <c r="C205">
        <v>47</v>
      </c>
    </row>
    <row r="206" spans="1:3">
      <c r="A206" t="s">
        <v>206</v>
      </c>
      <c r="B206">
        <v>1</v>
      </c>
      <c r="C206">
        <v>111</v>
      </c>
    </row>
    <row r="207" spans="1:3">
      <c r="A207" t="s">
        <v>207</v>
      </c>
      <c r="B207">
        <v>3</v>
      </c>
      <c r="C207">
        <v>113</v>
      </c>
    </row>
    <row r="208" spans="1:3">
      <c r="A208" t="s">
        <v>208</v>
      </c>
      <c r="B208">
        <v>4</v>
      </c>
      <c r="C208">
        <v>81</v>
      </c>
    </row>
    <row r="209" spans="1:3">
      <c r="A209" t="s">
        <v>209</v>
      </c>
      <c r="B209">
        <v>9</v>
      </c>
      <c r="C209">
        <v>57</v>
      </c>
    </row>
    <row r="210" spans="1:3">
      <c r="A210" t="s">
        <v>210</v>
      </c>
      <c r="B210">
        <v>20</v>
      </c>
      <c r="C210">
        <v>33</v>
      </c>
    </row>
    <row r="211" spans="1:3">
      <c r="A211" t="s">
        <v>211</v>
      </c>
      <c r="B211">
        <v>10</v>
      </c>
      <c r="C211">
        <v>62</v>
      </c>
    </row>
    <row r="212" spans="1:3">
      <c r="A212" t="s">
        <v>212</v>
      </c>
      <c r="B212">
        <v>9</v>
      </c>
      <c r="C212">
        <v>82</v>
      </c>
    </row>
    <row r="213" spans="1:3">
      <c r="A213" t="s">
        <v>213</v>
      </c>
      <c r="B213">
        <v>11</v>
      </c>
      <c r="C213">
        <v>94</v>
      </c>
    </row>
    <row r="214" spans="1:3">
      <c r="A214" t="s">
        <v>214</v>
      </c>
      <c r="B214">
        <v>2</v>
      </c>
      <c r="C214">
        <v>109</v>
      </c>
    </row>
    <row r="215" spans="1:3">
      <c r="A215" t="s">
        <v>215</v>
      </c>
      <c r="B215">
        <v>16</v>
      </c>
      <c r="C215">
        <v>112</v>
      </c>
    </row>
    <row r="216" spans="1:3">
      <c r="A216" t="s">
        <v>216</v>
      </c>
      <c r="B216">
        <v>7</v>
      </c>
      <c r="C216">
        <v>113</v>
      </c>
    </row>
    <row r="217" spans="1:3">
      <c r="A217" t="s">
        <v>217</v>
      </c>
      <c r="B217">
        <v>13</v>
      </c>
      <c r="C217">
        <v>78</v>
      </c>
    </row>
    <row r="218" spans="1:3">
      <c r="A218" t="s">
        <v>218</v>
      </c>
      <c r="B218">
        <v>6</v>
      </c>
      <c r="C218">
        <v>114</v>
      </c>
    </row>
    <row r="219" spans="1:3">
      <c r="A219" t="s">
        <v>219</v>
      </c>
      <c r="B219">
        <v>5</v>
      </c>
      <c r="C219">
        <v>43</v>
      </c>
    </row>
    <row r="220" spans="1:3">
      <c r="A220" t="s">
        <v>220</v>
      </c>
      <c r="B220">
        <v>2</v>
      </c>
      <c r="C220">
        <v>80</v>
      </c>
    </row>
    <row r="221" spans="1:3">
      <c r="A221" t="s">
        <v>221</v>
      </c>
      <c r="B221">
        <v>3</v>
      </c>
      <c r="C221">
        <v>93</v>
      </c>
    </row>
    <row r="222" spans="1:3">
      <c r="A222" t="s">
        <v>222</v>
      </c>
      <c r="B222">
        <v>7</v>
      </c>
      <c r="C222">
        <v>101</v>
      </c>
    </row>
    <row r="223" spans="1:3">
      <c r="A223" t="s">
        <v>223</v>
      </c>
      <c r="B223">
        <v>4</v>
      </c>
      <c r="C223">
        <v>68</v>
      </c>
    </row>
    <row r="224" spans="1:3">
      <c r="A224" t="s">
        <v>224</v>
      </c>
      <c r="B224">
        <v>10</v>
      </c>
      <c r="C224">
        <v>53</v>
      </c>
    </row>
    <row r="225" spans="1:3">
      <c r="A225" t="s">
        <v>225</v>
      </c>
      <c r="B225">
        <v>9</v>
      </c>
      <c r="C225">
        <v>64</v>
      </c>
    </row>
    <row r="226" spans="1:3">
      <c r="A226" t="s">
        <v>226</v>
      </c>
      <c r="B226">
        <v>18</v>
      </c>
      <c r="C226">
        <v>90</v>
      </c>
    </row>
    <row r="227" spans="1:3">
      <c r="A227" t="s">
        <v>227</v>
      </c>
      <c r="B227">
        <v>4</v>
      </c>
      <c r="C227">
        <v>105</v>
      </c>
    </row>
    <row r="228" spans="1:3">
      <c r="A228" t="s">
        <v>228</v>
      </c>
      <c r="B228">
        <v>104</v>
      </c>
      <c r="C228">
        <v>70</v>
      </c>
    </row>
    <row r="229" spans="1:3">
      <c r="A229" t="s">
        <v>229</v>
      </c>
      <c r="B229">
        <v>81</v>
      </c>
      <c r="C229">
        <v>74</v>
      </c>
    </row>
    <row r="230" spans="1:3">
      <c r="A230" t="s">
        <v>230</v>
      </c>
      <c r="B230">
        <v>3</v>
      </c>
      <c r="C230">
        <v>110</v>
      </c>
    </row>
    <row r="231" spans="1:3">
      <c r="A231" t="s">
        <v>231</v>
      </c>
      <c r="B231">
        <v>12</v>
      </c>
      <c r="C231">
        <v>112</v>
      </c>
    </row>
    <row r="232" spans="1:3">
      <c r="A232" t="s">
        <v>232</v>
      </c>
      <c r="B232">
        <v>23</v>
      </c>
      <c r="C232">
        <v>54</v>
      </c>
    </row>
    <row r="233" spans="1:3">
      <c r="A233" t="s">
        <v>233</v>
      </c>
      <c r="B233">
        <v>5</v>
      </c>
      <c r="C233">
        <v>83</v>
      </c>
    </row>
    <row r="234" spans="1:3">
      <c r="A234" t="s">
        <v>234</v>
      </c>
      <c r="B234">
        <v>13</v>
      </c>
      <c r="C234">
        <v>113</v>
      </c>
    </row>
    <row r="235" spans="1:3">
      <c r="A235" t="s">
        <v>235</v>
      </c>
      <c r="B235">
        <v>3</v>
      </c>
      <c r="C235">
        <v>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25CD-B0AC-4C4B-9DC7-917F2196E157}">
  <dimension ref="A1:E235"/>
  <sheetViews>
    <sheetView workbookViewId="0">
      <selection activeCell="J4" sqref="J4"/>
    </sheetView>
  </sheetViews>
  <sheetFormatPr defaultRowHeight="15"/>
  <cols>
    <col min="1" max="1" width="26" bestFit="1" customWidth="1"/>
    <col min="2" max="2" width="15.5703125" bestFit="1" customWidth="1"/>
  </cols>
  <sheetData>
    <row r="1" spans="1:5">
      <c r="A1" t="s">
        <v>0</v>
      </c>
      <c r="B1" t="s">
        <v>1</v>
      </c>
      <c r="E1" t="s">
        <v>19525</v>
      </c>
    </row>
    <row r="2" spans="1:5">
      <c r="A2" t="s">
        <v>125</v>
      </c>
      <c r="B2">
        <v>30</v>
      </c>
      <c r="E2">
        <v>5</v>
      </c>
    </row>
    <row r="3" spans="1:5">
      <c r="A3" t="s">
        <v>134</v>
      </c>
      <c r="B3">
        <v>30</v>
      </c>
      <c r="E3">
        <v>10</v>
      </c>
    </row>
    <row r="4" spans="1:5">
      <c r="A4" t="s">
        <v>140</v>
      </c>
      <c r="B4">
        <v>30</v>
      </c>
      <c r="E4">
        <v>20</v>
      </c>
    </row>
    <row r="5" spans="1:5">
      <c r="A5" t="s">
        <v>2</v>
      </c>
      <c r="B5">
        <v>31</v>
      </c>
      <c r="E5">
        <v>30</v>
      </c>
    </row>
    <row r="6" spans="1:5">
      <c r="A6" t="s">
        <v>115</v>
      </c>
      <c r="B6">
        <v>31</v>
      </c>
    </row>
    <row r="7" spans="1:5">
      <c r="A7" t="s">
        <v>166</v>
      </c>
      <c r="B7">
        <v>31</v>
      </c>
    </row>
    <row r="8" spans="1:5">
      <c r="A8" t="s">
        <v>168</v>
      </c>
      <c r="B8">
        <v>31</v>
      </c>
    </row>
    <row r="9" spans="1:5">
      <c r="A9" t="s">
        <v>23</v>
      </c>
      <c r="B9">
        <v>32</v>
      </c>
    </row>
    <row r="10" spans="1:5">
      <c r="A10" t="s">
        <v>91</v>
      </c>
      <c r="B10">
        <v>32</v>
      </c>
    </row>
    <row r="11" spans="1:5">
      <c r="A11" t="s">
        <v>114</v>
      </c>
      <c r="B11">
        <v>32</v>
      </c>
    </row>
    <row r="12" spans="1:5">
      <c r="A12" t="s">
        <v>122</v>
      </c>
      <c r="B12">
        <v>32</v>
      </c>
    </row>
    <row r="13" spans="1:5">
      <c r="A13" t="s">
        <v>51</v>
      </c>
      <c r="B13">
        <v>33</v>
      </c>
    </row>
    <row r="14" spans="1:5">
      <c r="A14" t="s">
        <v>81</v>
      </c>
      <c r="B14">
        <v>33</v>
      </c>
    </row>
    <row r="15" spans="1:5">
      <c r="A15" t="s">
        <v>111</v>
      </c>
      <c r="B15">
        <v>33</v>
      </c>
    </row>
    <row r="16" spans="1:5">
      <c r="A16" t="s">
        <v>194</v>
      </c>
      <c r="B16">
        <v>33</v>
      </c>
    </row>
    <row r="17" spans="1:2">
      <c r="A17" t="s">
        <v>210</v>
      </c>
      <c r="B17">
        <v>33</v>
      </c>
    </row>
    <row r="18" spans="1:2">
      <c r="A18" t="s">
        <v>56</v>
      </c>
      <c r="B18">
        <v>34</v>
      </c>
    </row>
    <row r="19" spans="1:2">
      <c r="A19" t="s">
        <v>62</v>
      </c>
      <c r="B19">
        <v>34</v>
      </c>
    </row>
    <row r="20" spans="1:2">
      <c r="A20" t="s">
        <v>76</v>
      </c>
      <c r="B20">
        <v>34</v>
      </c>
    </row>
    <row r="21" spans="1:2">
      <c r="A21" t="s">
        <v>190</v>
      </c>
      <c r="B21">
        <v>34</v>
      </c>
    </row>
    <row r="22" spans="1:2">
      <c r="A22" t="s">
        <v>40</v>
      </c>
      <c r="B22">
        <v>35</v>
      </c>
    </row>
    <row r="23" spans="1:2">
      <c r="A23" t="s">
        <v>133</v>
      </c>
      <c r="B23">
        <v>35</v>
      </c>
    </row>
    <row r="24" spans="1:2">
      <c r="A24" t="s">
        <v>12</v>
      </c>
      <c r="B24">
        <v>36</v>
      </c>
    </row>
    <row r="25" spans="1:2">
      <c r="A25" t="s">
        <v>22</v>
      </c>
      <c r="B25">
        <v>36</v>
      </c>
    </row>
    <row r="26" spans="1:2">
      <c r="A26" t="s">
        <v>162</v>
      </c>
      <c r="B26">
        <v>36</v>
      </c>
    </row>
    <row r="27" spans="1:2">
      <c r="A27" t="s">
        <v>68</v>
      </c>
      <c r="B27">
        <v>37</v>
      </c>
    </row>
    <row r="28" spans="1:2">
      <c r="A28" t="s">
        <v>85</v>
      </c>
      <c r="B28">
        <v>37</v>
      </c>
    </row>
    <row r="29" spans="1:2">
      <c r="A29" t="s">
        <v>53</v>
      </c>
      <c r="B29">
        <v>38</v>
      </c>
    </row>
    <row r="30" spans="1:2">
      <c r="A30" t="s">
        <v>94</v>
      </c>
      <c r="B30">
        <v>38</v>
      </c>
    </row>
    <row r="31" spans="1:2">
      <c r="A31" t="s">
        <v>160</v>
      </c>
      <c r="B31">
        <v>38</v>
      </c>
    </row>
    <row r="32" spans="1:2">
      <c r="A32" t="s">
        <v>26</v>
      </c>
      <c r="B32">
        <v>39</v>
      </c>
    </row>
    <row r="33" spans="1:2">
      <c r="A33" t="s">
        <v>43</v>
      </c>
      <c r="B33">
        <v>39</v>
      </c>
    </row>
    <row r="34" spans="1:2">
      <c r="A34" t="s">
        <v>60</v>
      </c>
      <c r="B34">
        <v>39</v>
      </c>
    </row>
    <row r="35" spans="1:2">
      <c r="A35" t="s">
        <v>74</v>
      </c>
      <c r="B35">
        <v>39</v>
      </c>
    </row>
    <row r="36" spans="1:2">
      <c r="A36" t="s">
        <v>146</v>
      </c>
      <c r="B36">
        <v>39</v>
      </c>
    </row>
    <row r="37" spans="1:2">
      <c r="A37" t="s">
        <v>75</v>
      </c>
      <c r="B37">
        <v>40</v>
      </c>
    </row>
    <row r="38" spans="1:2">
      <c r="A38" t="s">
        <v>118</v>
      </c>
      <c r="B38">
        <v>40</v>
      </c>
    </row>
    <row r="39" spans="1:2">
      <c r="A39" t="s">
        <v>83</v>
      </c>
      <c r="B39">
        <v>41</v>
      </c>
    </row>
    <row r="40" spans="1:2">
      <c r="A40" t="s">
        <v>110</v>
      </c>
      <c r="B40">
        <v>42</v>
      </c>
    </row>
    <row r="41" spans="1:2">
      <c r="A41" t="s">
        <v>201</v>
      </c>
      <c r="B41">
        <v>42</v>
      </c>
    </row>
    <row r="42" spans="1:2">
      <c r="A42" t="s">
        <v>65</v>
      </c>
      <c r="B42">
        <v>43</v>
      </c>
    </row>
    <row r="43" spans="1:2">
      <c r="A43" t="s">
        <v>219</v>
      </c>
      <c r="B43">
        <v>43</v>
      </c>
    </row>
    <row r="44" spans="1:2">
      <c r="A44" t="s">
        <v>109</v>
      </c>
      <c r="B44">
        <v>44</v>
      </c>
    </row>
    <row r="45" spans="1:2">
      <c r="A45" t="s">
        <v>189</v>
      </c>
      <c r="B45">
        <v>44</v>
      </c>
    </row>
    <row r="46" spans="1:2">
      <c r="A46" t="s">
        <v>170</v>
      </c>
      <c r="B46">
        <v>45</v>
      </c>
    </row>
    <row r="47" spans="1:2">
      <c r="A47" t="s">
        <v>21</v>
      </c>
      <c r="B47">
        <v>46</v>
      </c>
    </row>
    <row r="48" spans="1:2">
      <c r="A48" t="s">
        <v>29</v>
      </c>
      <c r="B48">
        <v>46</v>
      </c>
    </row>
    <row r="49" spans="1:2">
      <c r="A49" t="s">
        <v>138</v>
      </c>
      <c r="B49">
        <v>46</v>
      </c>
    </row>
    <row r="50" spans="1:2">
      <c r="A50" t="s">
        <v>150</v>
      </c>
      <c r="B50">
        <v>46</v>
      </c>
    </row>
    <row r="51" spans="1:2">
      <c r="A51" t="s">
        <v>205</v>
      </c>
      <c r="B51">
        <v>47</v>
      </c>
    </row>
    <row r="52" spans="1:2">
      <c r="A52" t="s">
        <v>31</v>
      </c>
      <c r="B52">
        <v>48</v>
      </c>
    </row>
    <row r="53" spans="1:2">
      <c r="A53" t="s">
        <v>7</v>
      </c>
      <c r="B53">
        <v>49</v>
      </c>
    </row>
    <row r="54" spans="1:2">
      <c r="A54" t="s">
        <v>35</v>
      </c>
      <c r="B54">
        <v>49</v>
      </c>
    </row>
    <row r="55" spans="1:2">
      <c r="A55" t="s">
        <v>63</v>
      </c>
      <c r="B55">
        <v>49</v>
      </c>
    </row>
    <row r="56" spans="1:2">
      <c r="A56" t="s">
        <v>105</v>
      </c>
      <c r="B56">
        <v>49</v>
      </c>
    </row>
    <row r="57" spans="1:2">
      <c r="A57" t="s">
        <v>135</v>
      </c>
      <c r="B57">
        <v>49</v>
      </c>
    </row>
    <row r="58" spans="1:2">
      <c r="A58" t="s">
        <v>104</v>
      </c>
      <c r="B58">
        <v>50</v>
      </c>
    </row>
    <row r="59" spans="1:2">
      <c r="A59" t="s">
        <v>108</v>
      </c>
      <c r="B59">
        <v>50</v>
      </c>
    </row>
    <row r="60" spans="1:2">
      <c r="A60" t="s">
        <v>235</v>
      </c>
      <c r="B60">
        <v>50</v>
      </c>
    </row>
    <row r="61" spans="1:2">
      <c r="A61" t="s">
        <v>32</v>
      </c>
      <c r="B61">
        <v>51</v>
      </c>
    </row>
    <row r="62" spans="1:2">
      <c r="A62" t="s">
        <v>103</v>
      </c>
      <c r="B62">
        <v>51</v>
      </c>
    </row>
    <row r="63" spans="1:2">
      <c r="A63" t="s">
        <v>203</v>
      </c>
      <c r="B63">
        <v>51</v>
      </c>
    </row>
    <row r="64" spans="1:2">
      <c r="A64" t="s">
        <v>17</v>
      </c>
      <c r="B64">
        <v>52</v>
      </c>
    </row>
    <row r="65" spans="1:2">
      <c r="A65" t="s">
        <v>64</v>
      </c>
      <c r="B65">
        <v>52</v>
      </c>
    </row>
    <row r="66" spans="1:2">
      <c r="A66" t="s">
        <v>72</v>
      </c>
      <c r="B66">
        <v>52</v>
      </c>
    </row>
    <row r="67" spans="1:2">
      <c r="A67" t="s">
        <v>187</v>
      </c>
      <c r="B67">
        <v>52</v>
      </c>
    </row>
    <row r="68" spans="1:2">
      <c r="A68" t="s">
        <v>128</v>
      </c>
      <c r="B68">
        <v>53</v>
      </c>
    </row>
    <row r="69" spans="1:2">
      <c r="A69" t="s">
        <v>143</v>
      </c>
      <c r="B69">
        <v>53</v>
      </c>
    </row>
    <row r="70" spans="1:2">
      <c r="A70" t="s">
        <v>224</v>
      </c>
      <c r="B70">
        <v>53</v>
      </c>
    </row>
    <row r="71" spans="1:2">
      <c r="A71" t="s">
        <v>100</v>
      </c>
      <c r="B71">
        <v>54</v>
      </c>
    </row>
    <row r="72" spans="1:2">
      <c r="A72" t="s">
        <v>102</v>
      </c>
      <c r="B72">
        <v>54</v>
      </c>
    </row>
    <row r="73" spans="1:2">
      <c r="A73" t="s">
        <v>188</v>
      </c>
      <c r="B73">
        <v>54</v>
      </c>
    </row>
    <row r="74" spans="1:2">
      <c r="A74" t="s">
        <v>232</v>
      </c>
      <c r="B74">
        <v>54</v>
      </c>
    </row>
    <row r="75" spans="1:2">
      <c r="A75" t="s">
        <v>66</v>
      </c>
      <c r="B75">
        <v>55</v>
      </c>
    </row>
    <row r="76" spans="1:2">
      <c r="A76" t="s">
        <v>47</v>
      </c>
      <c r="B76">
        <v>56</v>
      </c>
    </row>
    <row r="77" spans="1:2">
      <c r="A77" t="s">
        <v>52</v>
      </c>
      <c r="B77">
        <v>56</v>
      </c>
    </row>
    <row r="78" spans="1:2">
      <c r="A78" t="s">
        <v>177</v>
      </c>
      <c r="B78">
        <v>56</v>
      </c>
    </row>
    <row r="79" spans="1:2">
      <c r="A79" t="s">
        <v>98</v>
      </c>
      <c r="B79">
        <v>57</v>
      </c>
    </row>
    <row r="80" spans="1:2">
      <c r="A80" t="s">
        <v>129</v>
      </c>
      <c r="B80">
        <v>57</v>
      </c>
    </row>
    <row r="81" spans="1:2">
      <c r="A81" t="s">
        <v>209</v>
      </c>
      <c r="B81">
        <v>57</v>
      </c>
    </row>
    <row r="82" spans="1:2">
      <c r="A82" t="s">
        <v>8</v>
      </c>
      <c r="B82">
        <v>58</v>
      </c>
    </row>
    <row r="83" spans="1:2">
      <c r="A83" t="s">
        <v>44</v>
      </c>
      <c r="B83">
        <v>58</v>
      </c>
    </row>
    <row r="84" spans="1:2">
      <c r="A84" t="s">
        <v>84</v>
      </c>
      <c r="B84">
        <v>58</v>
      </c>
    </row>
    <row r="85" spans="1:2">
      <c r="A85" t="s">
        <v>137</v>
      </c>
      <c r="B85">
        <v>58</v>
      </c>
    </row>
    <row r="86" spans="1:2">
      <c r="A86" t="s">
        <v>93</v>
      </c>
      <c r="B86">
        <v>59</v>
      </c>
    </row>
    <row r="87" spans="1:2">
      <c r="A87" t="s">
        <v>101</v>
      </c>
      <c r="B87">
        <v>59</v>
      </c>
    </row>
    <row r="88" spans="1:2">
      <c r="A88" t="s">
        <v>136</v>
      </c>
      <c r="B88">
        <v>59</v>
      </c>
    </row>
    <row r="89" spans="1:2">
      <c r="A89" t="s">
        <v>77</v>
      </c>
      <c r="B89">
        <v>60</v>
      </c>
    </row>
    <row r="90" spans="1:2">
      <c r="A90" t="s">
        <v>33</v>
      </c>
      <c r="B90">
        <v>61</v>
      </c>
    </row>
    <row r="91" spans="1:2">
      <c r="A91" t="s">
        <v>97</v>
      </c>
      <c r="B91">
        <v>61</v>
      </c>
    </row>
    <row r="92" spans="1:2">
      <c r="A92" t="s">
        <v>164</v>
      </c>
      <c r="B92">
        <v>61</v>
      </c>
    </row>
    <row r="93" spans="1:2">
      <c r="A93" t="s">
        <v>156</v>
      </c>
      <c r="B93">
        <v>62</v>
      </c>
    </row>
    <row r="94" spans="1:2">
      <c r="A94" t="s">
        <v>211</v>
      </c>
      <c r="B94">
        <v>62</v>
      </c>
    </row>
    <row r="95" spans="1:2">
      <c r="A95" t="s">
        <v>159</v>
      </c>
      <c r="B95">
        <v>63</v>
      </c>
    </row>
    <row r="96" spans="1:2">
      <c r="A96" t="s">
        <v>9</v>
      </c>
      <c r="B96">
        <v>64</v>
      </c>
    </row>
    <row r="97" spans="1:2">
      <c r="A97" t="s">
        <v>28</v>
      </c>
      <c r="B97">
        <v>64</v>
      </c>
    </row>
    <row r="98" spans="1:2">
      <c r="A98" t="s">
        <v>157</v>
      </c>
      <c r="B98">
        <v>64</v>
      </c>
    </row>
    <row r="99" spans="1:2">
      <c r="A99" t="s">
        <v>225</v>
      </c>
      <c r="B99">
        <v>64</v>
      </c>
    </row>
    <row r="100" spans="1:2">
      <c r="A100" t="s">
        <v>69</v>
      </c>
      <c r="B100">
        <v>65</v>
      </c>
    </row>
    <row r="101" spans="1:2">
      <c r="A101" t="s">
        <v>90</v>
      </c>
      <c r="B101">
        <v>65</v>
      </c>
    </row>
    <row r="102" spans="1:2">
      <c r="A102" t="s">
        <v>173</v>
      </c>
      <c r="B102">
        <v>65</v>
      </c>
    </row>
    <row r="103" spans="1:2">
      <c r="A103" t="s">
        <v>15</v>
      </c>
      <c r="B103">
        <v>66</v>
      </c>
    </row>
    <row r="104" spans="1:2">
      <c r="A104" t="s">
        <v>55</v>
      </c>
      <c r="B104">
        <v>66</v>
      </c>
    </row>
    <row r="105" spans="1:2">
      <c r="A105" t="s">
        <v>144</v>
      </c>
      <c r="B105">
        <v>66</v>
      </c>
    </row>
    <row r="106" spans="1:2">
      <c r="A106" t="s">
        <v>158</v>
      </c>
      <c r="B106">
        <v>66</v>
      </c>
    </row>
    <row r="107" spans="1:2">
      <c r="A107" t="s">
        <v>182</v>
      </c>
      <c r="B107">
        <v>67</v>
      </c>
    </row>
    <row r="108" spans="1:2">
      <c r="A108" t="s">
        <v>86</v>
      </c>
      <c r="B108">
        <v>68</v>
      </c>
    </row>
    <row r="109" spans="1:2">
      <c r="A109" t="s">
        <v>223</v>
      </c>
      <c r="B109">
        <v>68</v>
      </c>
    </row>
    <row r="110" spans="1:2">
      <c r="A110" t="s">
        <v>131</v>
      </c>
      <c r="B110">
        <v>69</v>
      </c>
    </row>
    <row r="111" spans="1:2">
      <c r="A111" t="s">
        <v>147</v>
      </c>
      <c r="B111">
        <v>69</v>
      </c>
    </row>
    <row r="112" spans="1:2">
      <c r="A112" t="s">
        <v>155</v>
      </c>
      <c r="B112">
        <v>69</v>
      </c>
    </row>
    <row r="113" spans="1:2">
      <c r="A113" t="s">
        <v>228</v>
      </c>
      <c r="B113">
        <v>70</v>
      </c>
    </row>
    <row r="114" spans="1:2">
      <c r="A114" t="s">
        <v>49</v>
      </c>
      <c r="B114">
        <v>71</v>
      </c>
    </row>
    <row r="115" spans="1:2">
      <c r="A115" t="s">
        <v>196</v>
      </c>
      <c r="B115">
        <v>71</v>
      </c>
    </row>
    <row r="116" spans="1:2">
      <c r="A116" t="s">
        <v>59</v>
      </c>
      <c r="B116">
        <v>72</v>
      </c>
    </row>
    <row r="117" spans="1:2">
      <c r="A117" t="s">
        <v>120</v>
      </c>
      <c r="B117">
        <v>72</v>
      </c>
    </row>
    <row r="118" spans="1:2">
      <c r="A118" t="s">
        <v>82</v>
      </c>
      <c r="B118">
        <v>73</v>
      </c>
    </row>
    <row r="119" spans="1:2">
      <c r="A119" t="s">
        <v>87</v>
      </c>
      <c r="B119">
        <v>74</v>
      </c>
    </row>
    <row r="120" spans="1:2">
      <c r="A120" t="s">
        <v>192</v>
      </c>
      <c r="B120">
        <v>74</v>
      </c>
    </row>
    <row r="121" spans="1:2">
      <c r="A121" t="s">
        <v>229</v>
      </c>
      <c r="B121">
        <v>74</v>
      </c>
    </row>
    <row r="122" spans="1:2">
      <c r="A122" t="s">
        <v>3</v>
      </c>
      <c r="B122">
        <v>75</v>
      </c>
    </row>
    <row r="123" spans="1:2">
      <c r="A123" t="s">
        <v>18</v>
      </c>
      <c r="B123">
        <v>75</v>
      </c>
    </row>
    <row r="124" spans="1:2">
      <c r="A124" t="s">
        <v>73</v>
      </c>
      <c r="B124">
        <v>75</v>
      </c>
    </row>
    <row r="125" spans="1:2">
      <c r="A125" t="s">
        <v>99</v>
      </c>
      <c r="B125">
        <v>75</v>
      </c>
    </row>
    <row r="126" spans="1:2">
      <c r="A126" t="s">
        <v>161</v>
      </c>
      <c r="B126">
        <v>75</v>
      </c>
    </row>
    <row r="127" spans="1:2">
      <c r="A127" t="s">
        <v>198</v>
      </c>
      <c r="B127">
        <v>75</v>
      </c>
    </row>
    <row r="128" spans="1:2">
      <c r="A128" t="s">
        <v>116</v>
      </c>
      <c r="B128">
        <v>76</v>
      </c>
    </row>
    <row r="129" spans="1:2">
      <c r="A129" t="s">
        <v>117</v>
      </c>
      <c r="B129">
        <v>76</v>
      </c>
    </row>
    <row r="130" spans="1:2">
      <c r="A130" t="s">
        <v>181</v>
      </c>
      <c r="B130">
        <v>76</v>
      </c>
    </row>
    <row r="131" spans="1:2">
      <c r="A131" t="s">
        <v>4</v>
      </c>
      <c r="B131">
        <v>77</v>
      </c>
    </row>
    <row r="132" spans="1:2">
      <c r="A132" t="s">
        <v>30</v>
      </c>
      <c r="B132">
        <v>78</v>
      </c>
    </row>
    <row r="133" spans="1:2">
      <c r="A133" t="s">
        <v>42</v>
      </c>
      <c r="B133">
        <v>78</v>
      </c>
    </row>
    <row r="134" spans="1:2">
      <c r="A134" t="s">
        <v>48</v>
      </c>
      <c r="B134">
        <v>78</v>
      </c>
    </row>
    <row r="135" spans="1:2">
      <c r="A135" t="s">
        <v>70</v>
      </c>
      <c r="B135">
        <v>78</v>
      </c>
    </row>
    <row r="136" spans="1:2">
      <c r="A136" t="s">
        <v>154</v>
      </c>
      <c r="B136">
        <v>78</v>
      </c>
    </row>
    <row r="137" spans="1:2">
      <c r="A137" t="s">
        <v>217</v>
      </c>
      <c r="B137">
        <v>78</v>
      </c>
    </row>
    <row r="138" spans="1:2">
      <c r="A138" t="s">
        <v>96</v>
      </c>
      <c r="B138">
        <v>79</v>
      </c>
    </row>
    <row r="139" spans="1:2">
      <c r="A139" t="s">
        <v>180</v>
      </c>
      <c r="B139">
        <v>79</v>
      </c>
    </row>
    <row r="140" spans="1:2">
      <c r="A140" t="s">
        <v>176</v>
      </c>
      <c r="B140">
        <v>80</v>
      </c>
    </row>
    <row r="141" spans="1:2">
      <c r="A141" t="s">
        <v>220</v>
      </c>
      <c r="B141">
        <v>80</v>
      </c>
    </row>
    <row r="142" spans="1:2">
      <c r="A142" t="s">
        <v>61</v>
      </c>
      <c r="B142">
        <v>81</v>
      </c>
    </row>
    <row r="143" spans="1:2">
      <c r="A143" t="s">
        <v>80</v>
      </c>
      <c r="B143">
        <v>81</v>
      </c>
    </row>
    <row r="144" spans="1:2">
      <c r="A144" t="s">
        <v>208</v>
      </c>
      <c r="B144">
        <v>81</v>
      </c>
    </row>
    <row r="145" spans="1:2">
      <c r="A145" t="s">
        <v>184</v>
      </c>
      <c r="B145">
        <v>82</v>
      </c>
    </row>
    <row r="146" spans="1:2">
      <c r="A146" t="s">
        <v>212</v>
      </c>
      <c r="B146">
        <v>82</v>
      </c>
    </row>
    <row r="147" spans="1:2">
      <c r="A147" t="s">
        <v>6</v>
      </c>
      <c r="B147">
        <v>83</v>
      </c>
    </row>
    <row r="148" spans="1:2">
      <c r="A148" t="s">
        <v>233</v>
      </c>
      <c r="B148">
        <v>83</v>
      </c>
    </row>
    <row r="149" spans="1:2">
      <c r="A149" t="s">
        <v>197</v>
      </c>
      <c r="B149">
        <v>84</v>
      </c>
    </row>
    <row r="150" spans="1:2">
      <c r="A150" t="s">
        <v>24</v>
      </c>
      <c r="B150">
        <v>85</v>
      </c>
    </row>
    <row r="151" spans="1:2">
      <c r="A151" t="s">
        <v>38</v>
      </c>
      <c r="B151">
        <v>85</v>
      </c>
    </row>
    <row r="152" spans="1:2">
      <c r="A152" t="s">
        <v>193</v>
      </c>
      <c r="B152">
        <v>85</v>
      </c>
    </row>
    <row r="153" spans="1:2">
      <c r="A153" t="s">
        <v>41</v>
      </c>
      <c r="B153">
        <v>86</v>
      </c>
    </row>
    <row r="154" spans="1:2">
      <c r="A154" t="s">
        <v>165</v>
      </c>
      <c r="B154">
        <v>86</v>
      </c>
    </row>
    <row r="155" spans="1:2">
      <c r="A155" t="s">
        <v>20</v>
      </c>
      <c r="B155">
        <v>87</v>
      </c>
    </row>
    <row r="156" spans="1:2">
      <c r="A156" t="s">
        <v>89</v>
      </c>
      <c r="B156">
        <v>87</v>
      </c>
    </row>
    <row r="157" spans="1:2">
      <c r="A157" t="s">
        <v>178</v>
      </c>
      <c r="B157">
        <v>87</v>
      </c>
    </row>
    <row r="158" spans="1:2">
      <c r="A158" t="s">
        <v>179</v>
      </c>
      <c r="B158">
        <v>87</v>
      </c>
    </row>
    <row r="159" spans="1:2">
      <c r="A159" t="s">
        <v>14</v>
      </c>
      <c r="B159">
        <v>88</v>
      </c>
    </row>
    <row r="160" spans="1:2">
      <c r="A160" t="s">
        <v>112</v>
      </c>
      <c r="B160">
        <v>88</v>
      </c>
    </row>
    <row r="161" spans="1:2">
      <c r="A161" t="s">
        <v>139</v>
      </c>
      <c r="B161">
        <v>89</v>
      </c>
    </row>
    <row r="162" spans="1:2">
      <c r="A162" t="s">
        <v>54</v>
      </c>
      <c r="B162">
        <v>90</v>
      </c>
    </row>
    <row r="163" spans="1:2">
      <c r="A163" t="s">
        <v>174</v>
      </c>
      <c r="B163">
        <v>90</v>
      </c>
    </row>
    <row r="164" spans="1:2">
      <c r="A164" t="s">
        <v>226</v>
      </c>
      <c r="B164">
        <v>90</v>
      </c>
    </row>
    <row r="165" spans="1:2">
      <c r="A165" t="s">
        <v>121</v>
      </c>
      <c r="B165">
        <v>91</v>
      </c>
    </row>
    <row r="166" spans="1:2">
      <c r="A166" t="s">
        <v>186</v>
      </c>
      <c r="B166">
        <v>92</v>
      </c>
    </row>
    <row r="167" spans="1:2">
      <c r="A167" t="s">
        <v>5</v>
      </c>
      <c r="B167">
        <v>93</v>
      </c>
    </row>
    <row r="168" spans="1:2">
      <c r="A168" t="s">
        <v>78</v>
      </c>
      <c r="B168">
        <v>93</v>
      </c>
    </row>
    <row r="169" spans="1:2">
      <c r="A169" t="s">
        <v>149</v>
      </c>
      <c r="B169">
        <v>93</v>
      </c>
    </row>
    <row r="170" spans="1:2">
      <c r="A170" t="s">
        <v>221</v>
      </c>
      <c r="B170">
        <v>93</v>
      </c>
    </row>
    <row r="171" spans="1:2">
      <c r="A171" t="s">
        <v>169</v>
      </c>
      <c r="B171">
        <v>94</v>
      </c>
    </row>
    <row r="172" spans="1:2">
      <c r="A172" t="s">
        <v>213</v>
      </c>
      <c r="B172">
        <v>94</v>
      </c>
    </row>
    <row r="173" spans="1:2">
      <c r="A173" t="s">
        <v>50</v>
      </c>
      <c r="B173">
        <v>95</v>
      </c>
    </row>
    <row r="174" spans="1:2">
      <c r="A174" t="s">
        <v>200</v>
      </c>
      <c r="B174">
        <v>95</v>
      </c>
    </row>
    <row r="175" spans="1:2">
      <c r="A175" t="s">
        <v>171</v>
      </c>
      <c r="B175">
        <v>96</v>
      </c>
    </row>
    <row r="176" spans="1:2">
      <c r="A176" t="s">
        <v>124</v>
      </c>
      <c r="B176">
        <v>97</v>
      </c>
    </row>
    <row r="177" spans="1:2">
      <c r="A177" t="s">
        <v>130</v>
      </c>
      <c r="B177">
        <v>97</v>
      </c>
    </row>
    <row r="178" spans="1:2">
      <c r="A178" t="s">
        <v>163</v>
      </c>
      <c r="B178">
        <v>98</v>
      </c>
    </row>
    <row r="179" spans="1:2">
      <c r="A179" t="s">
        <v>107</v>
      </c>
      <c r="B179">
        <v>100</v>
      </c>
    </row>
    <row r="180" spans="1:2">
      <c r="A180" t="s">
        <v>167</v>
      </c>
      <c r="B180">
        <v>100</v>
      </c>
    </row>
    <row r="181" spans="1:2">
      <c r="A181" t="s">
        <v>92</v>
      </c>
      <c r="B181">
        <v>101</v>
      </c>
    </row>
    <row r="182" spans="1:2">
      <c r="A182" t="s">
        <v>185</v>
      </c>
      <c r="B182">
        <v>101</v>
      </c>
    </row>
    <row r="183" spans="1:2">
      <c r="A183" t="s">
        <v>222</v>
      </c>
      <c r="B183">
        <v>101</v>
      </c>
    </row>
    <row r="184" spans="1:2">
      <c r="A184" t="s">
        <v>175</v>
      </c>
      <c r="B184">
        <v>102</v>
      </c>
    </row>
    <row r="185" spans="1:2">
      <c r="A185" t="s">
        <v>57</v>
      </c>
      <c r="B185">
        <v>103</v>
      </c>
    </row>
    <row r="186" spans="1:2">
      <c r="A186" t="s">
        <v>119</v>
      </c>
      <c r="B186">
        <v>103</v>
      </c>
    </row>
    <row r="187" spans="1:2">
      <c r="A187" t="s">
        <v>141</v>
      </c>
      <c r="B187">
        <v>103</v>
      </c>
    </row>
    <row r="188" spans="1:2">
      <c r="A188" t="s">
        <v>151</v>
      </c>
      <c r="B188">
        <v>103</v>
      </c>
    </row>
    <row r="189" spans="1:2">
      <c r="A189" t="s">
        <v>153</v>
      </c>
      <c r="B189">
        <v>104</v>
      </c>
    </row>
    <row r="190" spans="1:2">
      <c r="A190" t="s">
        <v>172</v>
      </c>
      <c r="B190">
        <v>104</v>
      </c>
    </row>
    <row r="191" spans="1:2">
      <c r="A191" t="s">
        <v>227</v>
      </c>
      <c r="B191">
        <v>105</v>
      </c>
    </row>
    <row r="192" spans="1:2">
      <c r="A192" t="s">
        <v>10</v>
      </c>
      <c r="B192">
        <v>106</v>
      </c>
    </row>
    <row r="193" spans="1:2">
      <c r="A193" t="s">
        <v>126</v>
      </c>
      <c r="B193">
        <v>106</v>
      </c>
    </row>
    <row r="194" spans="1:2">
      <c r="A194" t="s">
        <v>148</v>
      </c>
      <c r="B194">
        <v>106</v>
      </c>
    </row>
    <row r="195" spans="1:2">
      <c r="A195" t="s">
        <v>202</v>
      </c>
      <c r="B195">
        <v>106</v>
      </c>
    </row>
    <row r="196" spans="1:2">
      <c r="A196" t="s">
        <v>34</v>
      </c>
      <c r="B196">
        <v>107</v>
      </c>
    </row>
    <row r="197" spans="1:2">
      <c r="A197" t="s">
        <v>67</v>
      </c>
      <c r="B197">
        <v>108</v>
      </c>
    </row>
    <row r="198" spans="1:2">
      <c r="A198" t="s">
        <v>127</v>
      </c>
      <c r="B198">
        <v>108</v>
      </c>
    </row>
    <row r="199" spans="1:2">
      <c r="A199" t="s">
        <v>132</v>
      </c>
      <c r="B199">
        <v>108</v>
      </c>
    </row>
    <row r="200" spans="1:2">
      <c r="A200" t="s">
        <v>204</v>
      </c>
      <c r="B200">
        <v>108</v>
      </c>
    </row>
    <row r="201" spans="1:2">
      <c r="A201" t="s">
        <v>39</v>
      </c>
      <c r="B201">
        <v>109</v>
      </c>
    </row>
    <row r="202" spans="1:2">
      <c r="A202" t="s">
        <v>199</v>
      </c>
      <c r="B202">
        <v>109</v>
      </c>
    </row>
    <row r="203" spans="1:2">
      <c r="A203" t="s">
        <v>214</v>
      </c>
      <c r="B203">
        <v>109</v>
      </c>
    </row>
    <row r="204" spans="1:2">
      <c r="A204" t="s">
        <v>195</v>
      </c>
      <c r="B204">
        <v>110</v>
      </c>
    </row>
    <row r="205" spans="1:2">
      <c r="A205" t="s">
        <v>230</v>
      </c>
      <c r="B205">
        <v>110</v>
      </c>
    </row>
    <row r="206" spans="1:2">
      <c r="A206" t="s">
        <v>191</v>
      </c>
      <c r="B206">
        <v>111</v>
      </c>
    </row>
    <row r="207" spans="1:2">
      <c r="A207" t="s">
        <v>206</v>
      </c>
      <c r="B207">
        <v>111</v>
      </c>
    </row>
    <row r="208" spans="1:2">
      <c r="A208" t="s">
        <v>19</v>
      </c>
      <c r="B208">
        <v>112</v>
      </c>
    </row>
    <row r="209" spans="1:2">
      <c r="A209" t="s">
        <v>215</v>
      </c>
      <c r="B209">
        <v>112</v>
      </c>
    </row>
    <row r="210" spans="1:2">
      <c r="A210" t="s">
        <v>231</v>
      </c>
      <c r="B210">
        <v>112</v>
      </c>
    </row>
    <row r="211" spans="1:2">
      <c r="A211" t="s">
        <v>207</v>
      </c>
      <c r="B211">
        <v>113</v>
      </c>
    </row>
    <row r="212" spans="1:2">
      <c r="A212" t="s">
        <v>216</v>
      </c>
      <c r="B212">
        <v>113</v>
      </c>
    </row>
    <row r="213" spans="1:2">
      <c r="A213" t="s">
        <v>234</v>
      </c>
      <c r="B213">
        <v>113</v>
      </c>
    </row>
    <row r="214" spans="1:2">
      <c r="A214" t="s">
        <v>145</v>
      </c>
      <c r="B214">
        <v>114</v>
      </c>
    </row>
    <row r="215" spans="1:2">
      <c r="A215" t="s">
        <v>218</v>
      </c>
      <c r="B215">
        <v>114</v>
      </c>
    </row>
    <row r="216" spans="1:2">
      <c r="A216" t="s">
        <v>71</v>
      </c>
      <c r="B216">
        <v>115</v>
      </c>
    </row>
    <row r="217" spans="1:2">
      <c r="A217" t="s">
        <v>106</v>
      </c>
      <c r="B217">
        <v>115</v>
      </c>
    </row>
    <row r="218" spans="1:2">
      <c r="A218" t="s">
        <v>152</v>
      </c>
      <c r="B218">
        <v>115</v>
      </c>
    </row>
    <row r="219" spans="1:2">
      <c r="A219" t="s">
        <v>27</v>
      </c>
      <c r="B219">
        <v>116</v>
      </c>
    </row>
    <row r="220" spans="1:2">
      <c r="A220" t="s">
        <v>88</v>
      </c>
      <c r="B220">
        <v>116</v>
      </c>
    </row>
    <row r="221" spans="1:2">
      <c r="A221" t="s">
        <v>113</v>
      </c>
      <c r="B221">
        <v>116</v>
      </c>
    </row>
    <row r="222" spans="1:2">
      <c r="A222" t="s">
        <v>46</v>
      </c>
      <c r="B222">
        <v>117</v>
      </c>
    </row>
    <row r="223" spans="1:2">
      <c r="A223" t="s">
        <v>142</v>
      </c>
      <c r="B223">
        <v>117</v>
      </c>
    </row>
    <row r="224" spans="1:2">
      <c r="A224" t="s">
        <v>11</v>
      </c>
      <c r="B224">
        <v>118</v>
      </c>
    </row>
    <row r="225" spans="1:2">
      <c r="A225" t="s">
        <v>123</v>
      </c>
      <c r="B225">
        <v>118</v>
      </c>
    </row>
    <row r="226" spans="1:2">
      <c r="A226" t="s">
        <v>16</v>
      </c>
      <c r="B226">
        <v>119</v>
      </c>
    </row>
    <row r="227" spans="1:2">
      <c r="A227" t="s">
        <v>37</v>
      </c>
      <c r="B227">
        <v>119</v>
      </c>
    </row>
    <row r="228" spans="1:2">
      <c r="A228" t="s">
        <v>45</v>
      </c>
      <c r="B228">
        <v>119</v>
      </c>
    </row>
    <row r="229" spans="1:2">
      <c r="A229" t="s">
        <v>95</v>
      </c>
      <c r="B229">
        <v>119</v>
      </c>
    </row>
    <row r="230" spans="1:2">
      <c r="A230" t="s">
        <v>183</v>
      </c>
      <c r="B230">
        <v>119</v>
      </c>
    </row>
    <row r="231" spans="1:2">
      <c r="A231" t="s">
        <v>13</v>
      </c>
      <c r="B231">
        <v>120</v>
      </c>
    </row>
    <row r="232" spans="1:2">
      <c r="A232" t="s">
        <v>25</v>
      </c>
      <c r="B232">
        <v>120</v>
      </c>
    </row>
    <row r="233" spans="1:2">
      <c r="A233" t="s">
        <v>36</v>
      </c>
      <c r="B233">
        <v>120</v>
      </c>
    </row>
    <row r="234" spans="1:2">
      <c r="A234" t="s">
        <v>58</v>
      </c>
      <c r="B234">
        <v>120</v>
      </c>
    </row>
    <row r="235" spans="1:2">
      <c r="A235" t="s">
        <v>79</v>
      </c>
      <c r="B235">
        <v>120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597B-5068-48A1-A0B0-83E10EA91871}">
  <dimension ref="A1:B5850"/>
  <sheetViews>
    <sheetView workbookViewId="0">
      <selection activeCell="I33" sqref="I33"/>
    </sheetView>
  </sheetViews>
  <sheetFormatPr defaultRowHeight="15"/>
  <cols>
    <col min="1" max="1" width="57.140625" bestFit="1" customWidth="1"/>
    <col min="2" max="2" width="12.28515625" bestFit="1" customWidth="1"/>
  </cols>
  <sheetData>
    <row r="1" spans="1:2">
      <c r="A1" t="s">
        <v>254</v>
      </c>
      <c r="B1" t="s">
        <v>237</v>
      </c>
    </row>
    <row r="2" spans="1:2">
      <c r="A2" t="s">
        <v>1282</v>
      </c>
      <c r="B2">
        <v>43</v>
      </c>
    </row>
    <row r="3" spans="1:2">
      <c r="A3" t="s">
        <v>1094</v>
      </c>
      <c r="B3">
        <v>6</v>
      </c>
    </row>
    <row r="4" spans="1:2">
      <c r="A4" t="s">
        <v>3797</v>
      </c>
      <c r="B4">
        <v>5</v>
      </c>
    </row>
    <row r="5" spans="1:2">
      <c r="A5" t="s">
        <v>1342</v>
      </c>
      <c r="B5">
        <v>5</v>
      </c>
    </row>
    <row r="6" spans="1:2">
      <c r="A6" t="s">
        <v>9498</v>
      </c>
      <c r="B6">
        <v>5</v>
      </c>
    </row>
    <row r="7" spans="1:2">
      <c r="A7" t="s">
        <v>313</v>
      </c>
      <c r="B7">
        <v>4</v>
      </c>
    </row>
    <row r="8" spans="1:2">
      <c r="A8" t="s">
        <v>1299</v>
      </c>
      <c r="B8">
        <v>4</v>
      </c>
    </row>
    <row r="9" spans="1:2">
      <c r="A9" t="s">
        <v>3108</v>
      </c>
      <c r="B9">
        <v>4</v>
      </c>
    </row>
    <row r="10" spans="1:2">
      <c r="A10" t="s">
        <v>5490</v>
      </c>
      <c r="B10">
        <v>4</v>
      </c>
    </row>
    <row r="11" spans="1:2">
      <c r="A11" t="s">
        <v>5456</v>
      </c>
      <c r="B11">
        <v>4</v>
      </c>
    </row>
    <row r="12" spans="1:2">
      <c r="A12" t="s">
        <v>5610</v>
      </c>
      <c r="B12">
        <v>4</v>
      </c>
    </row>
    <row r="13" spans="1:2">
      <c r="A13" t="s">
        <v>1437</v>
      </c>
      <c r="B13">
        <v>4</v>
      </c>
    </row>
    <row r="14" spans="1:2">
      <c r="A14" t="s">
        <v>4476</v>
      </c>
      <c r="B14">
        <v>4</v>
      </c>
    </row>
    <row r="15" spans="1:2">
      <c r="A15" t="s">
        <v>3345</v>
      </c>
      <c r="B15">
        <v>4</v>
      </c>
    </row>
    <row r="16" spans="1:2">
      <c r="A16" t="s">
        <v>6265</v>
      </c>
      <c r="B16">
        <v>4</v>
      </c>
    </row>
    <row r="17" spans="1:2">
      <c r="A17" t="s">
        <v>7053</v>
      </c>
      <c r="B17">
        <v>4</v>
      </c>
    </row>
    <row r="18" spans="1:2">
      <c r="A18" t="s">
        <v>3934</v>
      </c>
      <c r="B18">
        <v>4</v>
      </c>
    </row>
    <row r="19" spans="1:2">
      <c r="A19" t="s">
        <v>9509</v>
      </c>
      <c r="B19">
        <v>4</v>
      </c>
    </row>
    <row r="20" spans="1:2">
      <c r="A20" t="s">
        <v>9748</v>
      </c>
      <c r="B20">
        <v>4</v>
      </c>
    </row>
    <row r="21" spans="1:2">
      <c r="A21" t="s">
        <v>12502</v>
      </c>
      <c r="B21">
        <v>4</v>
      </c>
    </row>
    <row r="22" spans="1:2">
      <c r="A22" t="s">
        <v>683</v>
      </c>
      <c r="B22">
        <v>4</v>
      </c>
    </row>
    <row r="23" spans="1:2">
      <c r="A23" t="s">
        <v>3850</v>
      </c>
      <c r="B23">
        <v>4</v>
      </c>
    </row>
    <row r="24" spans="1:2">
      <c r="A24" t="s">
        <v>9600</v>
      </c>
      <c r="B24">
        <v>4</v>
      </c>
    </row>
    <row r="25" spans="1:2">
      <c r="A25" t="s">
        <v>1184</v>
      </c>
      <c r="B25">
        <v>4</v>
      </c>
    </row>
    <row r="26" spans="1:2">
      <c r="A26" t="s">
        <v>4602</v>
      </c>
      <c r="B26">
        <v>4</v>
      </c>
    </row>
    <row r="27" spans="1:2">
      <c r="A27" t="s">
        <v>11682</v>
      </c>
      <c r="B27">
        <v>4</v>
      </c>
    </row>
    <row r="28" spans="1:2">
      <c r="A28" t="s">
        <v>2749</v>
      </c>
      <c r="B28">
        <v>4</v>
      </c>
    </row>
    <row r="29" spans="1:2">
      <c r="A29" t="s">
        <v>2628</v>
      </c>
      <c r="B29">
        <v>4</v>
      </c>
    </row>
    <row r="30" spans="1:2">
      <c r="A30" t="s">
        <v>613</v>
      </c>
      <c r="B30">
        <v>4</v>
      </c>
    </row>
    <row r="31" spans="1:2">
      <c r="A31" t="s">
        <v>1254</v>
      </c>
      <c r="B31">
        <v>3</v>
      </c>
    </row>
    <row r="32" spans="1:2">
      <c r="A32" t="s">
        <v>2397</v>
      </c>
      <c r="B32">
        <v>3</v>
      </c>
    </row>
    <row r="33" spans="1:2">
      <c r="A33" t="s">
        <v>3102</v>
      </c>
      <c r="B33">
        <v>3</v>
      </c>
    </row>
    <row r="34" spans="1:2">
      <c r="A34" t="s">
        <v>5444</v>
      </c>
      <c r="B34">
        <v>3</v>
      </c>
    </row>
    <row r="35" spans="1:2">
      <c r="A35" t="s">
        <v>5440</v>
      </c>
      <c r="B35">
        <v>3</v>
      </c>
    </row>
    <row r="36" spans="1:2">
      <c r="A36" t="s">
        <v>5432</v>
      </c>
      <c r="B36">
        <v>3</v>
      </c>
    </row>
    <row r="37" spans="1:2">
      <c r="A37" t="s">
        <v>727</v>
      </c>
      <c r="B37">
        <v>3</v>
      </c>
    </row>
    <row r="38" spans="1:2">
      <c r="A38" t="s">
        <v>5370</v>
      </c>
      <c r="B38">
        <v>3</v>
      </c>
    </row>
    <row r="39" spans="1:2">
      <c r="A39" t="s">
        <v>7391</v>
      </c>
      <c r="B39">
        <v>3</v>
      </c>
    </row>
    <row r="40" spans="1:2">
      <c r="A40" t="s">
        <v>7177</v>
      </c>
      <c r="B40">
        <v>3</v>
      </c>
    </row>
    <row r="41" spans="1:2">
      <c r="A41" t="s">
        <v>9436</v>
      </c>
      <c r="B41">
        <v>3</v>
      </c>
    </row>
    <row r="42" spans="1:2">
      <c r="A42" t="s">
        <v>7859</v>
      </c>
      <c r="B42">
        <v>3</v>
      </c>
    </row>
    <row r="43" spans="1:2">
      <c r="A43" t="s">
        <v>829</v>
      </c>
      <c r="B43">
        <v>3</v>
      </c>
    </row>
    <row r="44" spans="1:2">
      <c r="A44" t="s">
        <v>539</v>
      </c>
      <c r="B44">
        <v>3</v>
      </c>
    </row>
    <row r="45" spans="1:2">
      <c r="A45" t="s">
        <v>4390</v>
      </c>
      <c r="B45">
        <v>3</v>
      </c>
    </row>
    <row r="46" spans="1:2">
      <c r="A46" t="s">
        <v>14649</v>
      </c>
      <c r="B46">
        <v>3</v>
      </c>
    </row>
    <row r="47" spans="1:2">
      <c r="A47" t="s">
        <v>1407</v>
      </c>
      <c r="B47">
        <v>3</v>
      </c>
    </row>
    <row r="48" spans="1:2">
      <c r="A48" t="s">
        <v>11589</v>
      </c>
      <c r="B48">
        <v>3</v>
      </c>
    </row>
    <row r="49" spans="1:2">
      <c r="A49" t="s">
        <v>909</v>
      </c>
      <c r="B49">
        <v>3</v>
      </c>
    </row>
    <row r="50" spans="1:2">
      <c r="A50" t="s">
        <v>1182</v>
      </c>
      <c r="B50">
        <v>3</v>
      </c>
    </row>
    <row r="51" spans="1:2">
      <c r="A51" t="s">
        <v>5078</v>
      </c>
      <c r="B51">
        <v>3</v>
      </c>
    </row>
    <row r="52" spans="1:2">
      <c r="A52" t="s">
        <v>5093</v>
      </c>
      <c r="B52">
        <v>3</v>
      </c>
    </row>
    <row r="53" spans="1:2">
      <c r="A53" t="s">
        <v>8298</v>
      </c>
      <c r="B53">
        <v>3</v>
      </c>
    </row>
    <row r="54" spans="1:2">
      <c r="A54" t="s">
        <v>8885</v>
      </c>
      <c r="B54">
        <v>3</v>
      </c>
    </row>
    <row r="55" spans="1:2">
      <c r="A55" t="s">
        <v>9141</v>
      </c>
      <c r="B55">
        <v>3</v>
      </c>
    </row>
    <row r="56" spans="1:2">
      <c r="A56" t="s">
        <v>3926</v>
      </c>
      <c r="B56">
        <v>3</v>
      </c>
    </row>
    <row r="57" spans="1:2">
      <c r="A57" t="s">
        <v>2130</v>
      </c>
      <c r="B57">
        <v>3</v>
      </c>
    </row>
    <row r="58" spans="1:2">
      <c r="A58" t="s">
        <v>3816</v>
      </c>
      <c r="B58">
        <v>3</v>
      </c>
    </row>
    <row r="59" spans="1:2">
      <c r="A59" t="s">
        <v>6310</v>
      </c>
      <c r="B59">
        <v>3</v>
      </c>
    </row>
    <row r="60" spans="1:2">
      <c r="A60" t="s">
        <v>1388</v>
      </c>
      <c r="B60">
        <v>3</v>
      </c>
    </row>
    <row r="61" spans="1:2">
      <c r="A61" t="s">
        <v>2795</v>
      </c>
      <c r="B61">
        <v>3</v>
      </c>
    </row>
    <row r="62" spans="1:2">
      <c r="A62" t="s">
        <v>3583</v>
      </c>
      <c r="B62">
        <v>3</v>
      </c>
    </row>
    <row r="63" spans="1:2">
      <c r="A63" t="s">
        <v>3859</v>
      </c>
      <c r="B63">
        <v>3</v>
      </c>
    </row>
    <row r="64" spans="1:2">
      <c r="A64" t="s">
        <v>3785</v>
      </c>
      <c r="B64">
        <v>3</v>
      </c>
    </row>
    <row r="65" spans="1:2">
      <c r="A65" t="s">
        <v>3958</v>
      </c>
      <c r="B65">
        <v>3</v>
      </c>
    </row>
    <row r="66" spans="1:2">
      <c r="A66" t="s">
        <v>6706</v>
      </c>
      <c r="B66">
        <v>3</v>
      </c>
    </row>
    <row r="67" spans="1:2">
      <c r="A67" t="s">
        <v>12101</v>
      </c>
      <c r="B67">
        <v>3</v>
      </c>
    </row>
    <row r="68" spans="1:2">
      <c r="A68" t="s">
        <v>1872</v>
      </c>
      <c r="B68">
        <v>3</v>
      </c>
    </row>
    <row r="69" spans="1:2">
      <c r="A69" t="s">
        <v>4498</v>
      </c>
      <c r="B69">
        <v>3</v>
      </c>
    </row>
    <row r="70" spans="1:2">
      <c r="A70" t="s">
        <v>1328</v>
      </c>
      <c r="B70">
        <v>2</v>
      </c>
    </row>
    <row r="71" spans="1:2">
      <c r="A71" t="s">
        <v>2215</v>
      </c>
      <c r="B71">
        <v>2</v>
      </c>
    </row>
    <row r="72" spans="1:2">
      <c r="A72" t="s">
        <v>2621</v>
      </c>
      <c r="B72">
        <v>2</v>
      </c>
    </row>
    <row r="73" spans="1:2">
      <c r="A73" t="s">
        <v>3080</v>
      </c>
      <c r="B73">
        <v>2</v>
      </c>
    </row>
    <row r="74" spans="1:2">
      <c r="A74" t="s">
        <v>3140</v>
      </c>
      <c r="B74">
        <v>2</v>
      </c>
    </row>
    <row r="75" spans="1:2">
      <c r="A75" t="s">
        <v>5946</v>
      </c>
      <c r="B75">
        <v>2</v>
      </c>
    </row>
    <row r="76" spans="1:2">
      <c r="A76" t="s">
        <v>5799</v>
      </c>
      <c r="B76">
        <v>2</v>
      </c>
    </row>
    <row r="77" spans="1:2">
      <c r="A77" t="s">
        <v>6039</v>
      </c>
      <c r="B77">
        <v>2</v>
      </c>
    </row>
    <row r="78" spans="1:2">
      <c r="A78" t="s">
        <v>6118</v>
      </c>
      <c r="B78">
        <v>2</v>
      </c>
    </row>
    <row r="79" spans="1:2">
      <c r="A79" t="s">
        <v>5401</v>
      </c>
      <c r="B79">
        <v>2</v>
      </c>
    </row>
    <row r="80" spans="1:2">
      <c r="A80" t="s">
        <v>6073</v>
      </c>
      <c r="B80">
        <v>2</v>
      </c>
    </row>
    <row r="81" spans="1:2">
      <c r="A81" t="s">
        <v>5644</v>
      </c>
      <c r="B81">
        <v>2</v>
      </c>
    </row>
    <row r="82" spans="1:2">
      <c r="A82" t="s">
        <v>5462</v>
      </c>
      <c r="B82">
        <v>2</v>
      </c>
    </row>
    <row r="83" spans="1:2">
      <c r="A83" t="s">
        <v>5240</v>
      </c>
      <c r="B83">
        <v>2</v>
      </c>
    </row>
    <row r="84" spans="1:2">
      <c r="A84" t="s">
        <v>5592</v>
      </c>
      <c r="B84">
        <v>2</v>
      </c>
    </row>
    <row r="85" spans="1:2">
      <c r="A85" t="s">
        <v>956</v>
      </c>
      <c r="B85">
        <v>2</v>
      </c>
    </row>
    <row r="86" spans="1:2">
      <c r="A86" t="s">
        <v>5534</v>
      </c>
      <c r="B86">
        <v>2</v>
      </c>
    </row>
    <row r="87" spans="1:2">
      <c r="A87" t="s">
        <v>5502</v>
      </c>
      <c r="B87">
        <v>2</v>
      </c>
    </row>
    <row r="88" spans="1:2">
      <c r="A88" t="s">
        <v>4769</v>
      </c>
      <c r="B88">
        <v>2</v>
      </c>
    </row>
    <row r="89" spans="1:2">
      <c r="A89" t="s">
        <v>5722</v>
      </c>
      <c r="B89">
        <v>2</v>
      </c>
    </row>
    <row r="90" spans="1:2">
      <c r="A90" t="s">
        <v>5767</v>
      </c>
      <c r="B90">
        <v>2</v>
      </c>
    </row>
    <row r="91" spans="1:2">
      <c r="A91" t="s">
        <v>5712</v>
      </c>
      <c r="B91">
        <v>2</v>
      </c>
    </row>
    <row r="92" spans="1:2">
      <c r="A92" t="s">
        <v>5300</v>
      </c>
      <c r="B92">
        <v>2</v>
      </c>
    </row>
    <row r="93" spans="1:2">
      <c r="A93" t="s">
        <v>5486</v>
      </c>
      <c r="B93">
        <v>2</v>
      </c>
    </row>
    <row r="94" spans="1:2">
      <c r="A94" t="s">
        <v>6857</v>
      </c>
      <c r="B94">
        <v>2</v>
      </c>
    </row>
    <row r="95" spans="1:2">
      <c r="A95" t="s">
        <v>6854</v>
      </c>
      <c r="B95">
        <v>2</v>
      </c>
    </row>
    <row r="96" spans="1:2">
      <c r="A96" t="s">
        <v>6868</v>
      </c>
      <c r="B96">
        <v>2</v>
      </c>
    </row>
    <row r="97" spans="1:2">
      <c r="A97" t="s">
        <v>6966</v>
      </c>
      <c r="B97">
        <v>2</v>
      </c>
    </row>
    <row r="98" spans="1:2">
      <c r="A98" t="s">
        <v>3369</v>
      </c>
      <c r="B98">
        <v>2</v>
      </c>
    </row>
    <row r="99" spans="1:2">
      <c r="A99" t="s">
        <v>7269</v>
      </c>
      <c r="B99">
        <v>2</v>
      </c>
    </row>
    <row r="100" spans="1:2">
      <c r="A100" t="s">
        <v>885</v>
      </c>
      <c r="B100">
        <v>2</v>
      </c>
    </row>
    <row r="101" spans="1:2">
      <c r="A101" t="s">
        <v>7308</v>
      </c>
      <c r="B101">
        <v>2</v>
      </c>
    </row>
    <row r="102" spans="1:2">
      <c r="A102" t="s">
        <v>7348</v>
      </c>
      <c r="B102">
        <v>2</v>
      </c>
    </row>
    <row r="103" spans="1:2">
      <c r="A103" t="s">
        <v>7387</v>
      </c>
      <c r="B103">
        <v>2</v>
      </c>
    </row>
    <row r="104" spans="1:2">
      <c r="A104" t="s">
        <v>7244</v>
      </c>
      <c r="B104">
        <v>2</v>
      </c>
    </row>
    <row r="105" spans="1:2">
      <c r="A105" t="s">
        <v>7042</v>
      </c>
      <c r="B105">
        <v>2</v>
      </c>
    </row>
    <row r="106" spans="1:2">
      <c r="A106" t="s">
        <v>7037</v>
      </c>
      <c r="B106">
        <v>2</v>
      </c>
    </row>
    <row r="107" spans="1:2">
      <c r="A107" t="s">
        <v>7183</v>
      </c>
      <c r="B107">
        <v>2</v>
      </c>
    </row>
    <row r="108" spans="1:2">
      <c r="A108" t="s">
        <v>7191</v>
      </c>
      <c r="B108">
        <v>2</v>
      </c>
    </row>
    <row r="109" spans="1:2">
      <c r="A109" t="s">
        <v>7209</v>
      </c>
      <c r="B109">
        <v>2</v>
      </c>
    </row>
    <row r="110" spans="1:2">
      <c r="A110" t="s">
        <v>7213</v>
      </c>
      <c r="B110">
        <v>2</v>
      </c>
    </row>
    <row r="111" spans="1:2">
      <c r="A111" t="s">
        <v>7136</v>
      </c>
      <c r="B111">
        <v>2</v>
      </c>
    </row>
    <row r="112" spans="1:2">
      <c r="A112" t="s">
        <v>7140</v>
      </c>
      <c r="B112">
        <v>2</v>
      </c>
    </row>
    <row r="113" spans="1:2">
      <c r="A113" t="s">
        <v>7679</v>
      </c>
      <c r="B113">
        <v>2</v>
      </c>
    </row>
    <row r="114" spans="1:2">
      <c r="A114" t="s">
        <v>8183</v>
      </c>
      <c r="B114">
        <v>2</v>
      </c>
    </row>
    <row r="115" spans="1:2">
      <c r="A115" t="s">
        <v>9070</v>
      </c>
      <c r="B115">
        <v>2</v>
      </c>
    </row>
    <row r="116" spans="1:2">
      <c r="A116" t="s">
        <v>9248</v>
      </c>
      <c r="B116">
        <v>2</v>
      </c>
    </row>
    <row r="117" spans="1:2">
      <c r="A117" t="s">
        <v>9470</v>
      </c>
      <c r="B117">
        <v>2</v>
      </c>
    </row>
    <row r="118" spans="1:2">
      <c r="A118" t="s">
        <v>9538</v>
      </c>
      <c r="B118">
        <v>2</v>
      </c>
    </row>
    <row r="119" spans="1:2">
      <c r="A119" t="s">
        <v>9973</v>
      </c>
      <c r="B119">
        <v>2</v>
      </c>
    </row>
    <row r="120" spans="1:2">
      <c r="A120" t="s">
        <v>5143</v>
      </c>
      <c r="B120">
        <v>2</v>
      </c>
    </row>
    <row r="121" spans="1:2">
      <c r="A121" t="s">
        <v>10528</v>
      </c>
      <c r="B121">
        <v>2</v>
      </c>
    </row>
    <row r="122" spans="1:2">
      <c r="A122" t="s">
        <v>4161</v>
      </c>
      <c r="B122">
        <v>2</v>
      </c>
    </row>
    <row r="123" spans="1:2">
      <c r="A123" t="s">
        <v>10769</v>
      </c>
      <c r="B123">
        <v>2</v>
      </c>
    </row>
    <row r="124" spans="1:2">
      <c r="A124" t="s">
        <v>12765</v>
      </c>
      <c r="B124">
        <v>2</v>
      </c>
    </row>
    <row r="125" spans="1:2">
      <c r="A125" t="s">
        <v>6269</v>
      </c>
      <c r="B125">
        <v>2</v>
      </c>
    </row>
    <row r="126" spans="1:2">
      <c r="A126" t="s">
        <v>1232</v>
      </c>
      <c r="B126">
        <v>2</v>
      </c>
    </row>
    <row r="127" spans="1:2">
      <c r="A127" t="s">
        <v>6557</v>
      </c>
      <c r="B127">
        <v>2</v>
      </c>
    </row>
    <row r="128" spans="1:2">
      <c r="A128" t="s">
        <v>12713</v>
      </c>
      <c r="B128">
        <v>2</v>
      </c>
    </row>
    <row r="129" spans="1:2">
      <c r="A129" t="s">
        <v>12709</v>
      </c>
      <c r="B129">
        <v>2</v>
      </c>
    </row>
    <row r="130" spans="1:2">
      <c r="A130" t="s">
        <v>12695</v>
      </c>
      <c r="B130">
        <v>2</v>
      </c>
    </row>
    <row r="131" spans="1:2">
      <c r="A131" t="s">
        <v>7829</v>
      </c>
      <c r="B131">
        <v>2</v>
      </c>
    </row>
    <row r="132" spans="1:2">
      <c r="A132" t="s">
        <v>12656</v>
      </c>
      <c r="B132">
        <v>2</v>
      </c>
    </row>
    <row r="133" spans="1:2">
      <c r="A133" t="s">
        <v>3349</v>
      </c>
      <c r="B133">
        <v>2</v>
      </c>
    </row>
    <row r="134" spans="1:2">
      <c r="A134" t="s">
        <v>8452</v>
      </c>
      <c r="B134">
        <v>2</v>
      </c>
    </row>
    <row r="135" spans="1:2">
      <c r="A135" t="s">
        <v>11678</v>
      </c>
      <c r="B135">
        <v>2</v>
      </c>
    </row>
    <row r="136" spans="1:2">
      <c r="A136" t="s">
        <v>12336</v>
      </c>
      <c r="B136">
        <v>2</v>
      </c>
    </row>
    <row r="137" spans="1:2">
      <c r="A137" t="s">
        <v>8122</v>
      </c>
      <c r="B137">
        <v>2</v>
      </c>
    </row>
    <row r="138" spans="1:2">
      <c r="A138" t="s">
        <v>13353</v>
      </c>
      <c r="B138">
        <v>2</v>
      </c>
    </row>
    <row r="139" spans="1:2">
      <c r="A139" t="s">
        <v>11670</v>
      </c>
      <c r="B139">
        <v>2</v>
      </c>
    </row>
    <row r="140" spans="1:2">
      <c r="A140" t="s">
        <v>16352</v>
      </c>
      <c r="B140">
        <v>2</v>
      </c>
    </row>
    <row r="141" spans="1:2">
      <c r="A141" t="s">
        <v>5007</v>
      </c>
      <c r="B141">
        <v>2</v>
      </c>
    </row>
    <row r="142" spans="1:2">
      <c r="A142" t="s">
        <v>4168</v>
      </c>
      <c r="B142">
        <v>2</v>
      </c>
    </row>
    <row r="143" spans="1:2">
      <c r="A143" t="s">
        <v>11940</v>
      </c>
      <c r="B143">
        <v>2</v>
      </c>
    </row>
    <row r="144" spans="1:2">
      <c r="A144" t="s">
        <v>11380</v>
      </c>
      <c r="B144">
        <v>2</v>
      </c>
    </row>
    <row r="145" spans="1:2">
      <c r="A145" t="s">
        <v>4202</v>
      </c>
      <c r="B145">
        <v>2</v>
      </c>
    </row>
    <row r="146" spans="1:2">
      <c r="A146" t="s">
        <v>2060</v>
      </c>
      <c r="B146">
        <v>2</v>
      </c>
    </row>
    <row r="147" spans="1:2">
      <c r="A147" t="s">
        <v>16655</v>
      </c>
      <c r="B147">
        <v>2</v>
      </c>
    </row>
    <row r="148" spans="1:2">
      <c r="A148" t="s">
        <v>9636</v>
      </c>
      <c r="B148">
        <v>2</v>
      </c>
    </row>
    <row r="149" spans="1:2">
      <c r="A149" t="s">
        <v>18893</v>
      </c>
      <c r="B149">
        <v>2</v>
      </c>
    </row>
    <row r="150" spans="1:2">
      <c r="A150" t="s">
        <v>10133</v>
      </c>
      <c r="B150">
        <v>2</v>
      </c>
    </row>
    <row r="151" spans="1:2">
      <c r="A151" t="s">
        <v>505</v>
      </c>
      <c r="B151">
        <v>2</v>
      </c>
    </row>
    <row r="152" spans="1:2">
      <c r="A152" t="s">
        <v>772</v>
      </c>
      <c r="B152">
        <v>2</v>
      </c>
    </row>
    <row r="153" spans="1:2">
      <c r="A153" t="s">
        <v>968</v>
      </c>
      <c r="B153">
        <v>2</v>
      </c>
    </row>
    <row r="154" spans="1:2">
      <c r="A154" t="s">
        <v>1118</v>
      </c>
      <c r="B154">
        <v>2</v>
      </c>
    </row>
    <row r="155" spans="1:2">
      <c r="A155" t="s">
        <v>1150</v>
      </c>
      <c r="B155">
        <v>2</v>
      </c>
    </row>
    <row r="156" spans="1:2">
      <c r="A156" t="s">
        <v>716</v>
      </c>
      <c r="B156">
        <v>2</v>
      </c>
    </row>
    <row r="157" spans="1:2">
      <c r="A157" t="s">
        <v>732</v>
      </c>
      <c r="B157">
        <v>2</v>
      </c>
    </row>
    <row r="158" spans="1:2">
      <c r="A158" t="s">
        <v>740</v>
      </c>
      <c r="B158">
        <v>2</v>
      </c>
    </row>
    <row r="159" spans="1:2">
      <c r="A159" t="s">
        <v>1243</v>
      </c>
      <c r="B159">
        <v>2</v>
      </c>
    </row>
    <row r="160" spans="1:2">
      <c r="A160" t="s">
        <v>871</v>
      </c>
      <c r="B160">
        <v>2</v>
      </c>
    </row>
    <row r="161" spans="1:2">
      <c r="A161" t="s">
        <v>1506</v>
      </c>
      <c r="B161">
        <v>2</v>
      </c>
    </row>
    <row r="162" spans="1:2">
      <c r="A162" t="s">
        <v>1519</v>
      </c>
      <c r="B162">
        <v>2</v>
      </c>
    </row>
    <row r="163" spans="1:2">
      <c r="A163" t="s">
        <v>1534</v>
      </c>
      <c r="B163">
        <v>2</v>
      </c>
    </row>
    <row r="164" spans="1:2">
      <c r="A164" t="s">
        <v>1555</v>
      </c>
      <c r="B164">
        <v>2</v>
      </c>
    </row>
    <row r="165" spans="1:2">
      <c r="A165" t="s">
        <v>1485</v>
      </c>
      <c r="B165">
        <v>2</v>
      </c>
    </row>
    <row r="166" spans="1:2">
      <c r="A166" t="s">
        <v>2702</v>
      </c>
      <c r="B166">
        <v>2</v>
      </c>
    </row>
    <row r="167" spans="1:2">
      <c r="A167" t="s">
        <v>2661</v>
      </c>
      <c r="B167">
        <v>2</v>
      </c>
    </row>
    <row r="168" spans="1:2">
      <c r="A168" t="s">
        <v>2689</v>
      </c>
      <c r="B168">
        <v>2</v>
      </c>
    </row>
    <row r="169" spans="1:2">
      <c r="A169" t="s">
        <v>3181</v>
      </c>
      <c r="B169">
        <v>2</v>
      </c>
    </row>
    <row r="170" spans="1:2">
      <c r="A170" t="s">
        <v>3206</v>
      </c>
      <c r="B170">
        <v>2</v>
      </c>
    </row>
    <row r="171" spans="1:2">
      <c r="A171" t="s">
        <v>3227</v>
      </c>
      <c r="B171">
        <v>2</v>
      </c>
    </row>
    <row r="172" spans="1:2">
      <c r="A172" t="s">
        <v>3472</v>
      </c>
      <c r="B172">
        <v>2</v>
      </c>
    </row>
    <row r="173" spans="1:2">
      <c r="A173" t="s">
        <v>3490</v>
      </c>
      <c r="B173">
        <v>2</v>
      </c>
    </row>
    <row r="174" spans="1:2">
      <c r="A174" t="s">
        <v>3532</v>
      </c>
      <c r="B174">
        <v>2</v>
      </c>
    </row>
    <row r="175" spans="1:2">
      <c r="A175" t="s">
        <v>4370</v>
      </c>
      <c r="B175">
        <v>2</v>
      </c>
    </row>
    <row r="176" spans="1:2">
      <c r="A176" t="s">
        <v>4294</v>
      </c>
      <c r="B176">
        <v>2</v>
      </c>
    </row>
    <row r="177" spans="1:2">
      <c r="A177" t="s">
        <v>4928</v>
      </c>
      <c r="B177">
        <v>2</v>
      </c>
    </row>
    <row r="178" spans="1:2">
      <c r="A178" t="s">
        <v>4919</v>
      </c>
      <c r="B178">
        <v>2</v>
      </c>
    </row>
    <row r="179" spans="1:2">
      <c r="A179" t="s">
        <v>5009</v>
      </c>
      <c r="B179">
        <v>2</v>
      </c>
    </row>
    <row r="180" spans="1:2">
      <c r="A180" t="s">
        <v>5003</v>
      </c>
      <c r="B180">
        <v>2</v>
      </c>
    </row>
    <row r="181" spans="1:2">
      <c r="A181" t="s">
        <v>5061</v>
      </c>
      <c r="B181">
        <v>2</v>
      </c>
    </row>
    <row r="182" spans="1:2">
      <c r="A182" t="s">
        <v>5190</v>
      </c>
      <c r="B182">
        <v>2</v>
      </c>
    </row>
    <row r="183" spans="1:2">
      <c r="A183" t="s">
        <v>5178</v>
      </c>
      <c r="B183">
        <v>2</v>
      </c>
    </row>
    <row r="184" spans="1:2">
      <c r="A184" t="s">
        <v>5110</v>
      </c>
      <c r="B184">
        <v>2</v>
      </c>
    </row>
    <row r="185" spans="1:2">
      <c r="A185" t="s">
        <v>7590</v>
      </c>
      <c r="B185">
        <v>2</v>
      </c>
    </row>
    <row r="186" spans="1:2">
      <c r="A186" t="s">
        <v>6710</v>
      </c>
      <c r="B186">
        <v>2</v>
      </c>
    </row>
    <row r="187" spans="1:2">
      <c r="A187" t="s">
        <v>1876</v>
      </c>
      <c r="B187">
        <v>2</v>
      </c>
    </row>
    <row r="188" spans="1:2">
      <c r="A188" t="s">
        <v>8429</v>
      </c>
      <c r="B188">
        <v>2</v>
      </c>
    </row>
    <row r="189" spans="1:2">
      <c r="A189" t="s">
        <v>2094</v>
      </c>
      <c r="B189">
        <v>2</v>
      </c>
    </row>
    <row r="190" spans="1:2">
      <c r="A190" t="s">
        <v>10971</v>
      </c>
      <c r="B190">
        <v>2</v>
      </c>
    </row>
    <row r="191" spans="1:2">
      <c r="A191" t="s">
        <v>11226</v>
      </c>
      <c r="B191">
        <v>2</v>
      </c>
    </row>
    <row r="192" spans="1:2">
      <c r="A192" t="s">
        <v>11218</v>
      </c>
      <c r="B192">
        <v>2</v>
      </c>
    </row>
    <row r="193" spans="1:2">
      <c r="A193" t="s">
        <v>11215</v>
      </c>
      <c r="B193">
        <v>2</v>
      </c>
    </row>
    <row r="194" spans="1:2">
      <c r="A194" t="s">
        <v>11129</v>
      </c>
      <c r="B194">
        <v>2</v>
      </c>
    </row>
    <row r="195" spans="1:2">
      <c r="A195" t="s">
        <v>7855</v>
      </c>
      <c r="B195">
        <v>2</v>
      </c>
    </row>
    <row r="196" spans="1:2">
      <c r="A196" t="s">
        <v>11353</v>
      </c>
      <c r="B196">
        <v>2</v>
      </c>
    </row>
    <row r="197" spans="1:2">
      <c r="A197" t="s">
        <v>11544</v>
      </c>
      <c r="B197">
        <v>2</v>
      </c>
    </row>
    <row r="198" spans="1:2">
      <c r="A198" t="s">
        <v>11578</v>
      </c>
      <c r="B198">
        <v>2</v>
      </c>
    </row>
    <row r="199" spans="1:2">
      <c r="A199" t="s">
        <v>11585</v>
      </c>
      <c r="B199">
        <v>2</v>
      </c>
    </row>
    <row r="200" spans="1:2">
      <c r="A200" t="s">
        <v>4017</v>
      </c>
      <c r="B200">
        <v>2</v>
      </c>
    </row>
    <row r="201" spans="1:2">
      <c r="A201" t="s">
        <v>11574</v>
      </c>
      <c r="B201">
        <v>2</v>
      </c>
    </row>
    <row r="202" spans="1:2">
      <c r="A202" t="s">
        <v>11405</v>
      </c>
      <c r="B202">
        <v>2</v>
      </c>
    </row>
    <row r="203" spans="1:2">
      <c r="A203" t="s">
        <v>11450</v>
      </c>
      <c r="B203">
        <v>2</v>
      </c>
    </row>
    <row r="204" spans="1:2">
      <c r="A204" t="s">
        <v>3813</v>
      </c>
      <c r="B204">
        <v>2</v>
      </c>
    </row>
    <row r="205" spans="1:2">
      <c r="A205" t="s">
        <v>6602</v>
      </c>
      <c r="B205">
        <v>2</v>
      </c>
    </row>
    <row r="206" spans="1:2">
      <c r="A206" t="s">
        <v>9641</v>
      </c>
      <c r="B206">
        <v>2</v>
      </c>
    </row>
    <row r="207" spans="1:2">
      <c r="A207" t="s">
        <v>6259</v>
      </c>
      <c r="B207">
        <v>2</v>
      </c>
    </row>
    <row r="208" spans="1:2">
      <c r="A208" t="s">
        <v>2797</v>
      </c>
      <c r="B208">
        <v>2</v>
      </c>
    </row>
    <row r="209" spans="1:2">
      <c r="A209" t="s">
        <v>15371</v>
      </c>
      <c r="B209">
        <v>2</v>
      </c>
    </row>
    <row r="210" spans="1:2">
      <c r="A210" t="s">
        <v>4585</v>
      </c>
      <c r="B210">
        <v>2</v>
      </c>
    </row>
    <row r="211" spans="1:2">
      <c r="A211" t="s">
        <v>4001</v>
      </c>
      <c r="B211">
        <v>2</v>
      </c>
    </row>
    <row r="212" spans="1:2">
      <c r="A212" t="s">
        <v>13729</v>
      </c>
      <c r="B212">
        <v>2</v>
      </c>
    </row>
    <row r="213" spans="1:2">
      <c r="A213" t="s">
        <v>15323</v>
      </c>
      <c r="B213">
        <v>2</v>
      </c>
    </row>
    <row r="214" spans="1:2">
      <c r="A214" t="s">
        <v>7863</v>
      </c>
      <c r="B214">
        <v>2</v>
      </c>
    </row>
    <row r="215" spans="1:2">
      <c r="A215" t="s">
        <v>14203</v>
      </c>
      <c r="B215">
        <v>2</v>
      </c>
    </row>
    <row r="216" spans="1:2">
      <c r="A216" t="s">
        <v>607</v>
      </c>
      <c r="B216">
        <v>2</v>
      </c>
    </row>
    <row r="217" spans="1:2">
      <c r="A217" t="s">
        <v>6256</v>
      </c>
      <c r="B217">
        <v>2</v>
      </c>
    </row>
    <row r="218" spans="1:2">
      <c r="A218" t="s">
        <v>17700</v>
      </c>
      <c r="B218">
        <v>2</v>
      </c>
    </row>
    <row r="219" spans="1:2">
      <c r="A219" t="s">
        <v>18025</v>
      </c>
      <c r="B219">
        <v>2</v>
      </c>
    </row>
    <row r="220" spans="1:2">
      <c r="A220" t="s">
        <v>4145</v>
      </c>
      <c r="B220">
        <v>2</v>
      </c>
    </row>
    <row r="221" spans="1:2">
      <c r="A221" t="s">
        <v>4127</v>
      </c>
      <c r="B221">
        <v>2</v>
      </c>
    </row>
    <row r="222" spans="1:2">
      <c r="A222" t="s">
        <v>3852</v>
      </c>
      <c r="B222">
        <v>2</v>
      </c>
    </row>
    <row r="223" spans="1:2">
      <c r="A223" t="s">
        <v>3897</v>
      </c>
      <c r="B223">
        <v>2</v>
      </c>
    </row>
    <row r="224" spans="1:2">
      <c r="A224" t="s">
        <v>3809</v>
      </c>
      <c r="B224">
        <v>2</v>
      </c>
    </row>
    <row r="225" spans="1:2">
      <c r="A225" t="s">
        <v>4033</v>
      </c>
      <c r="B225">
        <v>2</v>
      </c>
    </row>
    <row r="226" spans="1:2">
      <c r="A226" t="s">
        <v>8088</v>
      </c>
      <c r="B226">
        <v>2</v>
      </c>
    </row>
    <row r="227" spans="1:2">
      <c r="A227" t="s">
        <v>9052</v>
      </c>
      <c r="B227">
        <v>2</v>
      </c>
    </row>
    <row r="228" spans="1:2">
      <c r="A228" t="s">
        <v>13507</v>
      </c>
      <c r="B228">
        <v>2</v>
      </c>
    </row>
    <row r="229" spans="1:2">
      <c r="A229" t="s">
        <v>13525</v>
      </c>
      <c r="B229">
        <v>2</v>
      </c>
    </row>
    <row r="230" spans="1:2">
      <c r="A230" t="s">
        <v>13513</v>
      </c>
      <c r="B230">
        <v>2</v>
      </c>
    </row>
    <row r="231" spans="1:2">
      <c r="A231" t="s">
        <v>7777</v>
      </c>
      <c r="B231">
        <v>2</v>
      </c>
    </row>
    <row r="232" spans="1:2">
      <c r="A232" t="s">
        <v>7808</v>
      </c>
      <c r="B232">
        <v>2</v>
      </c>
    </row>
    <row r="233" spans="1:2">
      <c r="A233" t="s">
        <v>15636</v>
      </c>
      <c r="B233">
        <v>2</v>
      </c>
    </row>
    <row r="234" spans="1:2">
      <c r="A234" t="s">
        <v>15629</v>
      </c>
      <c r="B234">
        <v>2</v>
      </c>
    </row>
    <row r="235" spans="1:2">
      <c r="A235" t="s">
        <v>15612</v>
      </c>
      <c r="B235">
        <v>2</v>
      </c>
    </row>
    <row r="236" spans="1:2">
      <c r="A236" t="s">
        <v>1685</v>
      </c>
      <c r="B236">
        <v>2</v>
      </c>
    </row>
    <row r="237" spans="1:2">
      <c r="A237" t="s">
        <v>14455</v>
      </c>
      <c r="B237">
        <v>2</v>
      </c>
    </row>
    <row r="238" spans="1:2">
      <c r="A238" t="s">
        <v>6299</v>
      </c>
      <c r="B238">
        <v>2</v>
      </c>
    </row>
    <row r="239" spans="1:2">
      <c r="A239" t="s">
        <v>1631</v>
      </c>
      <c r="B239">
        <v>2</v>
      </c>
    </row>
    <row r="240" spans="1:2">
      <c r="A240" t="s">
        <v>1719</v>
      </c>
      <c r="B240">
        <v>2</v>
      </c>
    </row>
    <row r="241" spans="1:2">
      <c r="A241" t="s">
        <v>2194</v>
      </c>
      <c r="B241">
        <v>2</v>
      </c>
    </row>
    <row r="242" spans="1:2">
      <c r="A242" t="s">
        <v>2910</v>
      </c>
      <c r="B242">
        <v>2</v>
      </c>
    </row>
    <row r="243" spans="1:2">
      <c r="A243" t="s">
        <v>4531</v>
      </c>
      <c r="B243">
        <v>2</v>
      </c>
    </row>
    <row r="244" spans="1:2">
      <c r="A244" t="s">
        <v>4529</v>
      </c>
      <c r="B244">
        <v>2</v>
      </c>
    </row>
    <row r="245" spans="1:2">
      <c r="A245" t="s">
        <v>4521</v>
      </c>
      <c r="B245">
        <v>2</v>
      </c>
    </row>
    <row r="246" spans="1:2">
      <c r="A246" t="s">
        <v>7907</v>
      </c>
      <c r="B246">
        <v>2</v>
      </c>
    </row>
    <row r="247" spans="1:2">
      <c r="A247" t="s">
        <v>7913</v>
      </c>
      <c r="B247">
        <v>2</v>
      </c>
    </row>
    <row r="248" spans="1:2">
      <c r="A248" t="s">
        <v>7801</v>
      </c>
      <c r="B248">
        <v>2</v>
      </c>
    </row>
    <row r="249" spans="1:2">
      <c r="A249" t="s">
        <v>7716</v>
      </c>
      <c r="B249">
        <v>2</v>
      </c>
    </row>
    <row r="250" spans="1:2">
      <c r="A250" t="s">
        <v>8952</v>
      </c>
      <c r="B250">
        <v>2</v>
      </c>
    </row>
    <row r="251" spans="1:2">
      <c r="A251" t="s">
        <v>8937</v>
      </c>
      <c r="B251">
        <v>2</v>
      </c>
    </row>
    <row r="252" spans="1:2">
      <c r="A252" t="s">
        <v>8978</v>
      </c>
      <c r="B252">
        <v>2</v>
      </c>
    </row>
    <row r="253" spans="1:2">
      <c r="A253" t="s">
        <v>10419</v>
      </c>
      <c r="B253">
        <v>2</v>
      </c>
    </row>
    <row r="254" spans="1:2">
      <c r="A254" t="s">
        <v>10784</v>
      </c>
      <c r="B254">
        <v>2</v>
      </c>
    </row>
    <row r="255" spans="1:2">
      <c r="A255" t="s">
        <v>11642</v>
      </c>
      <c r="B255">
        <v>2</v>
      </c>
    </row>
    <row r="256" spans="1:2">
      <c r="A256" t="s">
        <v>11750</v>
      </c>
      <c r="B256">
        <v>2</v>
      </c>
    </row>
    <row r="257" spans="1:2">
      <c r="A257" t="s">
        <v>15019</v>
      </c>
      <c r="B257">
        <v>2</v>
      </c>
    </row>
    <row r="258" spans="1:2">
      <c r="A258" t="s">
        <v>13716</v>
      </c>
      <c r="B258">
        <v>2</v>
      </c>
    </row>
    <row r="259" spans="1:2">
      <c r="A259" t="s">
        <v>14754</v>
      </c>
      <c r="B259">
        <v>2</v>
      </c>
    </row>
    <row r="260" spans="1:2">
      <c r="A260" t="s">
        <v>13593</v>
      </c>
      <c r="B260">
        <v>2</v>
      </c>
    </row>
    <row r="261" spans="1:2">
      <c r="A261" t="s">
        <v>13783</v>
      </c>
      <c r="B261">
        <v>2</v>
      </c>
    </row>
    <row r="262" spans="1:2">
      <c r="A262" t="s">
        <v>13943</v>
      </c>
      <c r="B262">
        <v>2</v>
      </c>
    </row>
    <row r="263" spans="1:2">
      <c r="A263" t="s">
        <v>531</v>
      </c>
      <c r="B263">
        <v>2</v>
      </c>
    </row>
    <row r="264" spans="1:2">
      <c r="A264" t="s">
        <v>587</v>
      </c>
      <c r="B264">
        <v>2</v>
      </c>
    </row>
    <row r="265" spans="1:2">
      <c r="A265" t="s">
        <v>2947</v>
      </c>
      <c r="B265">
        <v>2</v>
      </c>
    </row>
    <row r="266" spans="1:2">
      <c r="A266" t="s">
        <v>6608</v>
      </c>
      <c r="B266">
        <v>2</v>
      </c>
    </row>
    <row r="267" spans="1:2">
      <c r="A267" t="s">
        <v>13764</v>
      </c>
      <c r="B267">
        <v>2</v>
      </c>
    </row>
    <row r="268" spans="1:2">
      <c r="A268" t="s">
        <v>13697</v>
      </c>
      <c r="B268">
        <v>2</v>
      </c>
    </row>
    <row r="269" spans="1:2">
      <c r="A269" t="s">
        <v>13955</v>
      </c>
      <c r="B269">
        <v>2</v>
      </c>
    </row>
    <row r="270" spans="1:2">
      <c r="A270" t="s">
        <v>19092</v>
      </c>
      <c r="B270">
        <v>1</v>
      </c>
    </row>
    <row r="271" spans="1:2">
      <c r="A271" t="s">
        <v>336</v>
      </c>
      <c r="B271">
        <v>1</v>
      </c>
    </row>
    <row r="272" spans="1:2">
      <c r="A272" t="s">
        <v>331</v>
      </c>
      <c r="B272">
        <v>1</v>
      </c>
    </row>
    <row r="273" spans="1:2">
      <c r="A273" t="s">
        <v>329</v>
      </c>
      <c r="B273">
        <v>1</v>
      </c>
    </row>
    <row r="274" spans="1:2">
      <c r="A274" t="s">
        <v>326</v>
      </c>
      <c r="B274">
        <v>1</v>
      </c>
    </row>
    <row r="275" spans="1:2">
      <c r="A275" t="s">
        <v>323</v>
      </c>
      <c r="B275">
        <v>1</v>
      </c>
    </row>
    <row r="276" spans="1:2">
      <c r="A276" t="s">
        <v>318</v>
      </c>
      <c r="B276">
        <v>1</v>
      </c>
    </row>
    <row r="277" spans="1:2">
      <c r="A277" t="s">
        <v>317</v>
      </c>
      <c r="B277">
        <v>1</v>
      </c>
    </row>
    <row r="278" spans="1:2">
      <c r="A278" t="s">
        <v>309</v>
      </c>
      <c r="B278">
        <v>1</v>
      </c>
    </row>
    <row r="279" spans="1:2">
      <c r="A279" t="s">
        <v>306</v>
      </c>
      <c r="B279">
        <v>1</v>
      </c>
    </row>
    <row r="280" spans="1:2">
      <c r="A280" t="s">
        <v>302</v>
      </c>
      <c r="B280">
        <v>1</v>
      </c>
    </row>
    <row r="281" spans="1:2">
      <c r="A281" t="s">
        <v>334</v>
      </c>
      <c r="B281">
        <v>1</v>
      </c>
    </row>
    <row r="282" spans="1:2">
      <c r="A282" t="s">
        <v>294</v>
      </c>
      <c r="B282">
        <v>1</v>
      </c>
    </row>
    <row r="283" spans="1:2">
      <c r="A283" t="s">
        <v>290</v>
      </c>
      <c r="B283">
        <v>1</v>
      </c>
    </row>
    <row r="284" spans="1:2">
      <c r="A284" t="s">
        <v>286</v>
      </c>
      <c r="B284">
        <v>1</v>
      </c>
    </row>
    <row r="285" spans="1:2">
      <c r="A285" t="s">
        <v>284</v>
      </c>
      <c r="B285">
        <v>1</v>
      </c>
    </row>
    <row r="286" spans="1:2">
      <c r="A286" t="s">
        <v>297</v>
      </c>
      <c r="B286">
        <v>1</v>
      </c>
    </row>
    <row r="287" spans="1:2">
      <c r="A287" t="s">
        <v>282</v>
      </c>
      <c r="B287">
        <v>1</v>
      </c>
    </row>
    <row r="288" spans="1:2">
      <c r="A288" t="s">
        <v>278</v>
      </c>
      <c r="B288">
        <v>1</v>
      </c>
    </row>
    <row r="289" spans="1:2">
      <c r="A289" t="s">
        <v>277</v>
      </c>
      <c r="B289">
        <v>1</v>
      </c>
    </row>
    <row r="290" spans="1:2">
      <c r="A290" t="s">
        <v>275</v>
      </c>
      <c r="B290">
        <v>1</v>
      </c>
    </row>
    <row r="291" spans="1:2">
      <c r="A291" t="s">
        <v>270</v>
      </c>
      <c r="B291">
        <v>1</v>
      </c>
    </row>
    <row r="292" spans="1:2">
      <c r="A292" t="s">
        <v>265</v>
      </c>
      <c r="B292">
        <v>1</v>
      </c>
    </row>
    <row r="293" spans="1:2">
      <c r="A293" t="s">
        <v>259</v>
      </c>
      <c r="B293">
        <v>1</v>
      </c>
    </row>
    <row r="294" spans="1:2">
      <c r="A294" t="s">
        <v>262</v>
      </c>
      <c r="B294">
        <v>1</v>
      </c>
    </row>
    <row r="295" spans="1:2">
      <c r="A295" t="s">
        <v>1248</v>
      </c>
      <c r="B295">
        <v>1</v>
      </c>
    </row>
    <row r="296" spans="1:2">
      <c r="A296" t="s">
        <v>1251</v>
      </c>
      <c r="B296">
        <v>1</v>
      </c>
    </row>
    <row r="297" spans="1:2">
      <c r="A297" t="s">
        <v>1257</v>
      </c>
      <c r="B297">
        <v>1</v>
      </c>
    </row>
    <row r="298" spans="1:2">
      <c r="A298" t="s">
        <v>1261</v>
      </c>
      <c r="B298">
        <v>1</v>
      </c>
    </row>
    <row r="299" spans="1:2">
      <c r="A299" t="s">
        <v>1266</v>
      </c>
      <c r="B299">
        <v>1</v>
      </c>
    </row>
    <row r="300" spans="1:2">
      <c r="A300" t="s">
        <v>1246</v>
      </c>
      <c r="B300">
        <v>1</v>
      </c>
    </row>
    <row r="301" spans="1:2">
      <c r="A301" t="s">
        <v>1268</v>
      </c>
      <c r="B301">
        <v>1</v>
      </c>
    </row>
    <row r="302" spans="1:2">
      <c r="A302" t="s">
        <v>1272</v>
      </c>
      <c r="B302">
        <v>1</v>
      </c>
    </row>
    <row r="303" spans="1:2">
      <c r="A303" t="s">
        <v>1275</v>
      </c>
      <c r="B303">
        <v>1</v>
      </c>
    </row>
    <row r="304" spans="1:2">
      <c r="A304" t="s">
        <v>1279</v>
      </c>
      <c r="B304">
        <v>1</v>
      </c>
    </row>
    <row r="305" spans="1:2">
      <c r="A305" t="s">
        <v>1293</v>
      </c>
      <c r="B305">
        <v>1</v>
      </c>
    </row>
    <row r="306" spans="1:2">
      <c r="A306" t="s">
        <v>1283</v>
      </c>
      <c r="B306">
        <v>1</v>
      </c>
    </row>
    <row r="307" spans="1:2">
      <c r="A307" t="s">
        <v>1288</v>
      </c>
      <c r="B307">
        <v>1</v>
      </c>
    </row>
    <row r="308" spans="1:2">
      <c r="A308" t="s">
        <v>1291</v>
      </c>
      <c r="B308">
        <v>1</v>
      </c>
    </row>
    <row r="309" spans="1:2">
      <c r="A309" t="s">
        <v>1308</v>
      </c>
      <c r="B309">
        <v>1</v>
      </c>
    </row>
    <row r="310" spans="1:2">
      <c r="A310" t="s">
        <v>1295</v>
      </c>
      <c r="B310">
        <v>1</v>
      </c>
    </row>
    <row r="311" spans="1:2">
      <c r="A311" t="s">
        <v>1334</v>
      </c>
      <c r="B311">
        <v>1</v>
      </c>
    </row>
    <row r="312" spans="1:2">
      <c r="A312" t="s">
        <v>1332</v>
      </c>
      <c r="B312">
        <v>1</v>
      </c>
    </row>
    <row r="313" spans="1:2">
      <c r="A313" t="s">
        <v>1326</v>
      </c>
      <c r="B313">
        <v>1</v>
      </c>
    </row>
    <row r="314" spans="1:2">
      <c r="A314" t="s">
        <v>1324</v>
      </c>
      <c r="B314">
        <v>1</v>
      </c>
    </row>
    <row r="315" spans="1:2">
      <c r="A315" t="s">
        <v>1335</v>
      </c>
      <c r="B315">
        <v>1</v>
      </c>
    </row>
    <row r="316" spans="1:2">
      <c r="A316" t="s">
        <v>1318</v>
      </c>
      <c r="B316">
        <v>1</v>
      </c>
    </row>
    <row r="317" spans="1:2">
      <c r="A317" t="s">
        <v>1314</v>
      </c>
      <c r="B317">
        <v>1</v>
      </c>
    </row>
    <row r="318" spans="1:2">
      <c r="A318" t="s">
        <v>1310</v>
      </c>
      <c r="B318">
        <v>1</v>
      </c>
    </row>
    <row r="319" spans="1:2">
      <c r="A319" t="s">
        <v>1322</v>
      </c>
      <c r="B319">
        <v>1</v>
      </c>
    </row>
    <row r="320" spans="1:2">
      <c r="A320" t="s">
        <v>1305</v>
      </c>
      <c r="B320">
        <v>1</v>
      </c>
    </row>
    <row r="321" spans="1:2">
      <c r="A321" t="s">
        <v>1302</v>
      </c>
      <c r="B321">
        <v>1</v>
      </c>
    </row>
    <row r="322" spans="1:2">
      <c r="A322" t="s">
        <v>2210</v>
      </c>
      <c r="B322">
        <v>1</v>
      </c>
    </row>
    <row r="323" spans="1:2">
      <c r="A323" t="s">
        <v>2213</v>
      </c>
      <c r="B323">
        <v>1</v>
      </c>
    </row>
    <row r="324" spans="1:2">
      <c r="A324" t="s">
        <v>2219</v>
      </c>
      <c r="B324">
        <v>1</v>
      </c>
    </row>
    <row r="325" spans="1:2">
      <c r="A325" t="s">
        <v>2223</v>
      </c>
      <c r="B325">
        <v>1</v>
      </c>
    </row>
    <row r="326" spans="1:2">
      <c r="A326" t="s">
        <v>2228</v>
      </c>
      <c r="B326">
        <v>1</v>
      </c>
    </row>
    <row r="327" spans="1:2">
      <c r="A327" t="s">
        <v>2232</v>
      </c>
      <c r="B327">
        <v>1</v>
      </c>
    </row>
    <row r="328" spans="1:2">
      <c r="A328" t="s">
        <v>2237</v>
      </c>
      <c r="B328">
        <v>1</v>
      </c>
    </row>
    <row r="329" spans="1:2">
      <c r="A329" t="s">
        <v>2242</v>
      </c>
      <c r="B329">
        <v>1</v>
      </c>
    </row>
    <row r="330" spans="1:2">
      <c r="A330" t="s">
        <v>2258</v>
      </c>
      <c r="B330">
        <v>1</v>
      </c>
    </row>
    <row r="331" spans="1:2">
      <c r="A331" t="s">
        <v>2250</v>
      </c>
      <c r="B331">
        <v>1</v>
      </c>
    </row>
    <row r="332" spans="1:2">
      <c r="A332" t="s">
        <v>2253</v>
      </c>
      <c r="B332">
        <v>1</v>
      </c>
    </row>
    <row r="333" spans="1:2">
      <c r="A333" t="s">
        <v>2261</v>
      </c>
      <c r="B333">
        <v>1</v>
      </c>
    </row>
    <row r="334" spans="1:2">
      <c r="A334" t="s">
        <v>2246</v>
      </c>
      <c r="B334">
        <v>1</v>
      </c>
    </row>
    <row r="335" spans="1:2">
      <c r="A335" t="s">
        <v>2265</v>
      </c>
      <c r="B335">
        <v>1</v>
      </c>
    </row>
    <row r="336" spans="1:2">
      <c r="A336" t="s">
        <v>2268</v>
      </c>
      <c r="B336">
        <v>1</v>
      </c>
    </row>
    <row r="337" spans="1:2">
      <c r="A337" t="s">
        <v>2271</v>
      </c>
      <c r="B337">
        <v>1</v>
      </c>
    </row>
    <row r="338" spans="1:2">
      <c r="A338" t="s">
        <v>2360</v>
      </c>
      <c r="B338">
        <v>1</v>
      </c>
    </row>
    <row r="339" spans="1:2">
      <c r="A339" t="s">
        <v>2363</v>
      </c>
      <c r="B339">
        <v>1</v>
      </c>
    </row>
    <row r="340" spans="1:2">
      <c r="A340" t="s">
        <v>2367</v>
      </c>
      <c r="B340">
        <v>1</v>
      </c>
    </row>
    <row r="341" spans="1:2">
      <c r="A341" t="s">
        <v>2378</v>
      </c>
      <c r="B341">
        <v>1</v>
      </c>
    </row>
    <row r="342" spans="1:2">
      <c r="A342" t="s">
        <v>2372</v>
      </c>
      <c r="B342">
        <v>1</v>
      </c>
    </row>
    <row r="343" spans="1:2">
      <c r="A343" t="s">
        <v>2375</v>
      </c>
      <c r="B343">
        <v>1</v>
      </c>
    </row>
    <row r="344" spans="1:2">
      <c r="A344" t="s">
        <v>2380</v>
      </c>
      <c r="B344">
        <v>1</v>
      </c>
    </row>
    <row r="345" spans="1:2">
      <c r="A345" t="s">
        <v>2383</v>
      </c>
      <c r="B345">
        <v>1</v>
      </c>
    </row>
    <row r="346" spans="1:2">
      <c r="A346" t="s">
        <v>2386</v>
      </c>
      <c r="B346">
        <v>1</v>
      </c>
    </row>
    <row r="347" spans="1:2">
      <c r="A347" t="s">
        <v>2390</v>
      </c>
      <c r="B347">
        <v>1</v>
      </c>
    </row>
    <row r="348" spans="1:2">
      <c r="A348" t="s">
        <v>2394</v>
      </c>
      <c r="B348">
        <v>1</v>
      </c>
    </row>
    <row r="349" spans="1:2">
      <c r="A349" t="s">
        <v>2400</v>
      </c>
      <c r="B349">
        <v>1</v>
      </c>
    </row>
    <row r="350" spans="1:2">
      <c r="A350" t="s">
        <v>2403</v>
      </c>
      <c r="B350">
        <v>1</v>
      </c>
    </row>
    <row r="351" spans="1:2">
      <c r="A351" t="s">
        <v>2533</v>
      </c>
      <c r="B351">
        <v>1</v>
      </c>
    </row>
    <row r="352" spans="1:2">
      <c r="A352" t="s">
        <v>2530</v>
      </c>
      <c r="B352">
        <v>1</v>
      </c>
    </row>
    <row r="353" spans="1:2">
      <c r="A353" t="s">
        <v>2527</v>
      </c>
      <c r="B353">
        <v>1</v>
      </c>
    </row>
    <row r="354" spans="1:2">
      <c r="A354" t="s">
        <v>2523</v>
      </c>
      <c r="B354">
        <v>1</v>
      </c>
    </row>
    <row r="355" spans="1:2">
      <c r="A355" t="s">
        <v>2518</v>
      </c>
      <c r="B355">
        <v>1</v>
      </c>
    </row>
    <row r="356" spans="1:2">
      <c r="A356" t="s">
        <v>2515</v>
      </c>
      <c r="B356">
        <v>1</v>
      </c>
    </row>
    <row r="357" spans="1:2">
      <c r="A357" t="s">
        <v>2512</v>
      </c>
      <c r="B357">
        <v>1</v>
      </c>
    </row>
    <row r="358" spans="1:2">
      <c r="A358" t="s">
        <v>2509</v>
      </c>
      <c r="B358">
        <v>1</v>
      </c>
    </row>
    <row r="359" spans="1:2">
      <c r="A359" t="s">
        <v>2505</v>
      </c>
      <c r="B359">
        <v>1</v>
      </c>
    </row>
    <row r="360" spans="1:2">
      <c r="A360" t="s">
        <v>2502</v>
      </c>
      <c r="B360">
        <v>1</v>
      </c>
    </row>
    <row r="361" spans="1:2">
      <c r="A361" t="s">
        <v>2498</v>
      </c>
      <c r="B361">
        <v>1</v>
      </c>
    </row>
    <row r="362" spans="1:2">
      <c r="A362" t="s">
        <v>2535</v>
      </c>
      <c r="B362">
        <v>1</v>
      </c>
    </row>
    <row r="363" spans="1:2">
      <c r="A363" t="s">
        <v>2495</v>
      </c>
      <c r="B363">
        <v>1</v>
      </c>
    </row>
    <row r="364" spans="1:2">
      <c r="A364" t="s">
        <v>2489</v>
      </c>
      <c r="B364">
        <v>1</v>
      </c>
    </row>
    <row r="365" spans="1:2">
      <c r="A365" t="s">
        <v>2486</v>
      </c>
      <c r="B365">
        <v>1</v>
      </c>
    </row>
    <row r="366" spans="1:2">
      <c r="A366" t="s">
        <v>2482</v>
      </c>
      <c r="B366">
        <v>1</v>
      </c>
    </row>
    <row r="367" spans="1:2">
      <c r="A367" t="s">
        <v>2478</v>
      </c>
      <c r="B367">
        <v>1</v>
      </c>
    </row>
    <row r="368" spans="1:2">
      <c r="A368" t="s">
        <v>2476</v>
      </c>
      <c r="B368">
        <v>1</v>
      </c>
    </row>
    <row r="369" spans="1:2">
      <c r="A369" t="s">
        <v>2474</v>
      </c>
      <c r="B369">
        <v>1</v>
      </c>
    </row>
    <row r="370" spans="1:2">
      <c r="A370" t="s">
        <v>2470</v>
      </c>
      <c r="B370">
        <v>1</v>
      </c>
    </row>
    <row r="371" spans="1:2">
      <c r="A371" t="s">
        <v>2466</v>
      </c>
      <c r="B371">
        <v>1</v>
      </c>
    </row>
    <row r="372" spans="1:2">
      <c r="A372" t="s">
        <v>2464</v>
      </c>
      <c r="B372">
        <v>1</v>
      </c>
    </row>
    <row r="373" spans="1:2">
      <c r="A373" t="s">
        <v>2539</v>
      </c>
      <c r="B373">
        <v>1</v>
      </c>
    </row>
    <row r="374" spans="1:2">
      <c r="A374" t="s">
        <v>2457</v>
      </c>
      <c r="B374">
        <v>1</v>
      </c>
    </row>
    <row r="375" spans="1:2">
      <c r="A375" t="s">
        <v>2493</v>
      </c>
      <c r="B375">
        <v>1</v>
      </c>
    </row>
    <row r="376" spans="1:2">
      <c r="A376" t="s">
        <v>2537</v>
      </c>
      <c r="B376">
        <v>1</v>
      </c>
    </row>
    <row r="377" spans="1:2">
      <c r="A377" t="s">
        <v>2567</v>
      </c>
      <c r="B377">
        <v>1</v>
      </c>
    </row>
    <row r="378" spans="1:2">
      <c r="A378" t="s">
        <v>2542</v>
      </c>
      <c r="B378">
        <v>1</v>
      </c>
    </row>
    <row r="379" spans="1:2">
      <c r="A379" t="s">
        <v>2618</v>
      </c>
      <c r="B379">
        <v>1</v>
      </c>
    </row>
    <row r="380" spans="1:2">
      <c r="A380" t="s">
        <v>2583</v>
      </c>
      <c r="B380">
        <v>1</v>
      </c>
    </row>
    <row r="381" spans="1:2">
      <c r="A381" t="s">
        <v>2610</v>
      </c>
      <c r="B381">
        <v>1</v>
      </c>
    </row>
    <row r="382" spans="1:2">
      <c r="A382" t="s">
        <v>2608</v>
      </c>
      <c r="B382">
        <v>1</v>
      </c>
    </row>
    <row r="383" spans="1:2">
      <c r="A383" t="s">
        <v>2604</v>
      </c>
      <c r="B383">
        <v>1</v>
      </c>
    </row>
    <row r="384" spans="1:2">
      <c r="A384" t="s">
        <v>2600</v>
      </c>
      <c r="B384">
        <v>1</v>
      </c>
    </row>
    <row r="385" spans="1:2">
      <c r="A385" t="s">
        <v>2597</v>
      </c>
      <c r="B385">
        <v>1</v>
      </c>
    </row>
    <row r="386" spans="1:2">
      <c r="A386" t="s">
        <v>2594</v>
      </c>
      <c r="B386">
        <v>1</v>
      </c>
    </row>
    <row r="387" spans="1:2">
      <c r="A387" t="s">
        <v>2589</v>
      </c>
      <c r="B387">
        <v>1</v>
      </c>
    </row>
    <row r="388" spans="1:2">
      <c r="A388" t="s">
        <v>2586</v>
      </c>
      <c r="B388">
        <v>1</v>
      </c>
    </row>
    <row r="389" spans="1:2">
      <c r="A389" t="s">
        <v>2614</v>
      </c>
      <c r="B389">
        <v>1</v>
      </c>
    </row>
    <row r="390" spans="1:2">
      <c r="A390" t="s">
        <v>2451</v>
      </c>
      <c r="B390">
        <v>1</v>
      </c>
    </row>
    <row r="391" spans="1:2">
      <c r="A391" t="s">
        <v>2576</v>
      </c>
      <c r="B391">
        <v>1</v>
      </c>
    </row>
    <row r="392" spans="1:2">
      <c r="A392" t="s">
        <v>2571</v>
      </c>
      <c r="B392">
        <v>1</v>
      </c>
    </row>
    <row r="393" spans="1:2">
      <c r="A393" t="s">
        <v>2579</v>
      </c>
      <c r="B393">
        <v>1</v>
      </c>
    </row>
    <row r="394" spans="1:2">
      <c r="A394" t="s">
        <v>2564</v>
      </c>
      <c r="B394">
        <v>1</v>
      </c>
    </row>
    <row r="395" spans="1:2">
      <c r="A395" t="s">
        <v>2563</v>
      </c>
      <c r="B395">
        <v>1</v>
      </c>
    </row>
    <row r="396" spans="1:2">
      <c r="A396" t="s">
        <v>2561</v>
      </c>
      <c r="B396">
        <v>1</v>
      </c>
    </row>
    <row r="397" spans="1:2">
      <c r="A397" t="s">
        <v>2557</v>
      </c>
      <c r="B397">
        <v>1</v>
      </c>
    </row>
    <row r="398" spans="1:2">
      <c r="A398" t="s">
        <v>2554</v>
      </c>
      <c r="B398">
        <v>1</v>
      </c>
    </row>
    <row r="399" spans="1:2">
      <c r="A399" t="s">
        <v>2550</v>
      </c>
      <c r="B399">
        <v>1</v>
      </c>
    </row>
    <row r="400" spans="1:2">
      <c r="A400" t="s">
        <v>2547</v>
      </c>
      <c r="B400">
        <v>1</v>
      </c>
    </row>
    <row r="401" spans="1:2">
      <c r="A401" t="s">
        <v>2545</v>
      </c>
      <c r="B401">
        <v>1</v>
      </c>
    </row>
    <row r="402" spans="1:2">
      <c r="A402" t="s">
        <v>2455</v>
      </c>
      <c r="B402">
        <v>1</v>
      </c>
    </row>
    <row r="403" spans="1:2">
      <c r="A403" t="s">
        <v>2460</v>
      </c>
      <c r="B403">
        <v>1</v>
      </c>
    </row>
    <row r="404" spans="1:2">
      <c r="A404" t="s">
        <v>2448</v>
      </c>
      <c r="B404">
        <v>1</v>
      </c>
    </row>
    <row r="405" spans="1:2">
      <c r="A405" t="s">
        <v>2441</v>
      </c>
      <c r="B405">
        <v>1</v>
      </c>
    </row>
    <row r="406" spans="1:2">
      <c r="A406" t="s">
        <v>2408</v>
      </c>
      <c r="B406">
        <v>1</v>
      </c>
    </row>
    <row r="407" spans="1:2">
      <c r="A407" t="s">
        <v>2412</v>
      </c>
      <c r="B407">
        <v>1</v>
      </c>
    </row>
    <row r="408" spans="1:2">
      <c r="A408" t="s">
        <v>2416</v>
      </c>
      <c r="B408">
        <v>1</v>
      </c>
    </row>
    <row r="409" spans="1:2">
      <c r="A409" t="s">
        <v>2419</v>
      </c>
      <c r="B409">
        <v>1</v>
      </c>
    </row>
    <row r="410" spans="1:2">
      <c r="A410" t="s">
        <v>2422</v>
      </c>
      <c r="B410">
        <v>1</v>
      </c>
    </row>
    <row r="411" spans="1:2">
      <c r="A411" t="s">
        <v>2443</v>
      </c>
      <c r="B411">
        <v>1</v>
      </c>
    </row>
    <row r="412" spans="1:2">
      <c r="A412" t="s">
        <v>2431</v>
      </c>
      <c r="B412">
        <v>1</v>
      </c>
    </row>
    <row r="413" spans="1:2">
      <c r="A413" t="s">
        <v>2435</v>
      </c>
      <c r="B413">
        <v>1</v>
      </c>
    </row>
    <row r="414" spans="1:2">
      <c r="A414" t="s">
        <v>2427</v>
      </c>
      <c r="B414">
        <v>1</v>
      </c>
    </row>
    <row r="415" spans="1:2">
      <c r="A415" t="s">
        <v>2437</v>
      </c>
      <c r="B415">
        <v>1</v>
      </c>
    </row>
    <row r="416" spans="1:2">
      <c r="A416" t="s">
        <v>3017</v>
      </c>
      <c r="B416">
        <v>1</v>
      </c>
    </row>
    <row r="417" spans="1:2">
      <c r="A417" t="s">
        <v>2990</v>
      </c>
      <c r="B417">
        <v>1</v>
      </c>
    </row>
    <row r="418" spans="1:2">
      <c r="A418" t="s">
        <v>3025</v>
      </c>
      <c r="B418">
        <v>1</v>
      </c>
    </row>
    <row r="419" spans="1:2">
      <c r="A419" t="s">
        <v>2995</v>
      </c>
      <c r="B419">
        <v>1</v>
      </c>
    </row>
    <row r="420" spans="1:2">
      <c r="A420" t="s">
        <v>3000</v>
      </c>
      <c r="B420">
        <v>1</v>
      </c>
    </row>
    <row r="421" spans="1:2">
      <c r="A421" t="s">
        <v>3002</v>
      </c>
      <c r="B421">
        <v>1</v>
      </c>
    </row>
    <row r="422" spans="1:2">
      <c r="A422" t="s">
        <v>3006</v>
      </c>
      <c r="B422">
        <v>1</v>
      </c>
    </row>
    <row r="423" spans="1:2">
      <c r="A423" t="s">
        <v>3010</v>
      </c>
      <c r="B423">
        <v>1</v>
      </c>
    </row>
    <row r="424" spans="1:2">
      <c r="A424" t="s">
        <v>3013</v>
      </c>
      <c r="B424">
        <v>1</v>
      </c>
    </row>
    <row r="425" spans="1:2">
      <c r="A425" t="s">
        <v>3022</v>
      </c>
      <c r="B425">
        <v>1</v>
      </c>
    </row>
    <row r="426" spans="1:2">
      <c r="A426" t="s">
        <v>2985</v>
      </c>
      <c r="B426">
        <v>1</v>
      </c>
    </row>
    <row r="427" spans="1:2">
      <c r="A427" t="s">
        <v>3063</v>
      </c>
      <c r="B427">
        <v>1</v>
      </c>
    </row>
    <row r="428" spans="1:2">
      <c r="A428" t="s">
        <v>3059</v>
      </c>
      <c r="B428">
        <v>1</v>
      </c>
    </row>
    <row r="429" spans="1:2">
      <c r="A429" t="s">
        <v>3072</v>
      </c>
      <c r="B429">
        <v>1</v>
      </c>
    </row>
    <row r="430" spans="1:2">
      <c r="A430" t="s">
        <v>3073</v>
      </c>
      <c r="B430">
        <v>1</v>
      </c>
    </row>
    <row r="431" spans="1:2">
      <c r="A431" t="s">
        <v>3077</v>
      </c>
      <c r="B431">
        <v>1</v>
      </c>
    </row>
    <row r="432" spans="1:2">
      <c r="A432" t="s">
        <v>3084</v>
      </c>
      <c r="B432">
        <v>1</v>
      </c>
    </row>
    <row r="433" spans="1:2">
      <c r="A433" t="s">
        <v>3088</v>
      </c>
      <c r="B433">
        <v>1</v>
      </c>
    </row>
    <row r="434" spans="1:2">
      <c r="A434" t="s">
        <v>3093</v>
      </c>
      <c r="B434">
        <v>1</v>
      </c>
    </row>
    <row r="435" spans="1:2">
      <c r="A435" t="s">
        <v>3096</v>
      </c>
      <c r="B435">
        <v>1</v>
      </c>
    </row>
    <row r="436" spans="1:2">
      <c r="A436" t="s">
        <v>3097</v>
      </c>
      <c r="B436">
        <v>1</v>
      </c>
    </row>
    <row r="437" spans="1:2">
      <c r="A437" t="s">
        <v>3098</v>
      </c>
      <c r="B437">
        <v>1</v>
      </c>
    </row>
    <row r="438" spans="1:2">
      <c r="A438" t="s">
        <v>3104</v>
      </c>
      <c r="B438">
        <v>1</v>
      </c>
    </row>
    <row r="439" spans="1:2">
      <c r="A439" t="s">
        <v>3067</v>
      </c>
      <c r="B439">
        <v>1</v>
      </c>
    </row>
    <row r="440" spans="1:2">
      <c r="A440" t="s">
        <v>3129</v>
      </c>
      <c r="B440">
        <v>1</v>
      </c>
    </row>
    <row r="441" spans="1:2">
      <c r="A441" t="s">
        <v>3133</v>
      </c>
      <c r="B441">
        <v>1</v>
      </c>
    </row>
    <row r="442" spans="1:2">
      <c r="A442" t="s">
        <v>3136</v>
      </c>
      <c r="B442">
        <v>1</v>
      </c>
    </row>
    <row r="443" spans="1:2">
      <c r="A443" t="s">
        <v>3147</v>
      </c>
      <c r="B443">
        <v>1</v>
      </c>
    </row>
    <row r="444" spans="1:2">
      <c r="A444" t="s">
        <v>3151</v>
      </c>
      <c r="B444">
        <v>1</v>
      </c>
    </row>
    <row r="445" spans="1:2">
      <c r="A445" t="s">
        <v>3154</v>
      </c>
      <c r="B445">
        <v>1</v>
      </c>
    </row>
    <row r="446" spans="1:2">
      <c r="A446" t="s">
        <v>3126</v>
      </c>
      <c r="B446">
        <v>1</v>
      </c>
    </row>
    <row r="447" spans="1:2">
      <c r="A447" t="s">
        <v>3114</v>
      </c>
      <c r="B447">
        <v>1</v>
      </c>
    </row>
    <row r="448" spans="1:2">
      <c r="A448" t="s">
        <v>3110</v>
      </c>
      <c r="B448">
        <v>1</v>
      </c>
    </row>
    <row r="449" spans="1:2">
      <c r="A449" t="s">
        <v>3118</v>
      </c>
      <c r="B449">
        <v>1</v>
      </c>
    </row>
    <row r="450" spans="1:2">
      <c r="A450" t="s">
        <v>3144</v>
      </c>
      <c r="B450">
        <v>1</v>
      </c>
    </row>
    <row r="451" spans="1:2">
      <c r="A451" t="s">
        <v>3122</v>
      </c>
      <c r="B451">
        <v>1</v>
      </c>
    </row>
    <row r="452" spans="1:2">
      <c r="A452" t="s">
        <v>5962</v>
      </c>
      <c r="B452">
        <v>1</v>
      </c>
    </row>
    <row r="453" spans="1:2">
      <c r="A453" t="s">
        <v>5959</v>
      </c>
      <c r="B453">
        <v>1</v>
      </c>
    </row>
    <row r="454" spans="1:2">
      <c r="A454" t="s">
        <v>5956</v>
      </c>
      <c r="B454">
        <v>1</v>
      </c>
    </row>
    <row r="455" spans="1:2">
      <c r="A455" t="s">
        <v>5953</v>
      </c>
      <c r="B455">
        <v>1</v>
      </c>
    </row>
    <row r="456" spans="1:2">
      <c r="A456" t="s">
        <v>5951</v>
      </c>
      <c r="B456">
        <v>1</v>
      </c>
    </row>
    <row r="457" spans="1:2">
      <c r="A457" t="s">
        <v>5948</v>
      </c>
      <c r="B457">
        <v>1</v>
      </c>
    </row>
    <row r="458" spans="1:2">
      <c r="A458" t="s">
        <v>5942</v>
      </c>
      <c r="B458">
        <v>1</v>
      </c>
    </row>
    <row r="459" spans="1:2">
      <c r="A459" t="s">
        <v>5966</v>
      </c>
      <c r="B459">
        <v>1</v>
      </c>
    </row>
    <row r="460" spans="1:2">
      <c r="A460" t="s">
        <v>5938</v>
      </c>
      <c r="B460">
        <v>1</v>
      </c>
    </row>
    <row r="461" spans="1:2">
      <c r="A461" t="s">
        <v>5932</v>
      </c>
      <c r="B461">
        <v>1</v>
      </c>
    </row>
    <row r="462" spans="1:2">
      <c r="A462" t="s">
        <v>5929</v>
      </c>
      <c r="B462">
        <v>1</v>
      </c>
    </row>
    <row r="463" spans="1:2">
      <c r="A463" t="s">
        <v>5926</v>
      </c>
      <c r="B463">
        <v>1</v>
      </c>
    </row>
    <row r="464" spans="1:2">
      <c r="A464" t="s">
        <v>5924</v>
      </c>
      <c r="B464">
        <v>1</v>
      </c>
    </row>
    <row r="465" spans="1:2">
      <c r="A465" t="s">
        <v>5922</v>
      </c>
      <c r="B465">
        <v>1</v>
      </c>
    </row>
    <row r="466" spans="1:2">
      <c r="A466" t="s">
        <v>5919</v>
      </c>
      <c r="B466">
        <v>1</v>
      </c>
    </row>
    <row r="467" spans="1:2">
      <c r="A467" t="s">
        <v>5916</v>
      </c>
      <c r="B467">
        <v>1</v>
      </c>
    </row>
    <row r="468" spans="1:2">
      <c r="A468" t="s">
        <v>5914</v>
      </c>
      <c r="B468">
        <v>1</v>
      </c>
    </row>
    <row r="469" spans="1:2">
      <c r="A469" t="s">
        <v>5935</v>
      </c>
      <c r="B469">
        <v>1</v>
      </c>
    </row>
    <row r="470" spans="1:2">
      <c r="A470" t="s">
        <v>5969</v>
      </c>
      <c r="B470">
        <v>1</v>
      </c>
    </row>
    <row r="471" spans="1:2">
      <c r="A471" t="s">
        <v>5972</v>
      </c>
      <c r="B471">
        <v>1</v>
      </c>
    </row>
    <row r="472" spans="1:2">
      <c r="A472" t="s">
        <v>5975</v>
      </c>
      <c r="B472">
        <v>1</v>
      </c>
    </row>
    <row r="473" spans="1:2">
      <c r="A473" t="s">
        <v>6028</v>
      </c>
      <c r="B473">
        <v>1</v>
      </c>
    </row>
    <row r="474" spans="1:2">
      <c r="A474" t="s">
        <v>6025</v>
      </c>
      <c r="B474">
        <v>1</v>
      </c>
    </row>
    <row r="475" spans="1:2">
      <c r="A475" t="s">
        <v>6021</v>
      </c>
      <c r="B475">
        <v>1</v>
      </c>
    </row>
    <row r="476" spans="1:2">
      <c r="A476" t="s">
        <v>6017</v>
      </c>
      <c r="B476">
        <v>1</v>
      </c>
    </row>
    <row r="477" spans="1:2">
      <c r="A477" t="s">
        <v>6014</v>
      </c>
      <c r="B477">
        <v>1</v>
      </c>
    </row>
    <row r="478" spans="1:2">
      <c r="A478" t="s">
        <v>6012</v>
      </c>
      <c r="B478">
        <v>1</v>
      </c>
    </row>
    <row r="479" spans="1:2">
      <c r="A479" t="s">
        <v>6010</v>
      </c>
      <c r="B479">
        <v>1</v>
      </c>
    </row>
    <row r="480" spans="1:2">
      <c r="A480" t="s">
        <v>6008</v>
      </c>
      <c r="B480">
        <v>1</v>
      </c>
    </row>
    <row r="481" spans="1:2">
      <c r="A481" t="s">
        <v>6006</v>
      </c>
      <c r="B481">
        <v>1</v>
      </c>
    </row>
    <row r="482" spans="1:2">
      <c r="A482" t="s">
        <v>6004</v>
      </c>
      <c r="B482">
        <v>1</v>
      </c>
    </row>
    <row r="483" spans="1:2">
      <c r="A483" t="s">
        <v>6002</v>
      </c>
      <c r="B483">
        <v>1</v>
      </c>
    </row>
    <row r="484" spans="1:2">
      <c r="A484" t="s">
        <v>5999</v>
      </c>
      <c r="B484">
        <v>1</v>
      </c>
    </row>
    <row r="485" spans="1:2">
      <c r="A485" t="s">
        <v>5997</v>
      </c>
      <c r="B485">
        <v>1</v>
      </c>
    </row>
    <row r="486" spans="1:2">
      <c r="A486" t="s">
        <v>5994</v>
      </c>
      <c r="B486">
        <v>1</v>
      </c>
    </row>
    <row r="487" spans="1:2">
      <c r="A487" t="s">
        <v>5990</v>
      </c>
      <c r="B487">
        <v>1</v>
      </c>
    </row>
    <row r="488" spans="1:2">
      <c r="A488" t="s">
        <v>5987</v>
      </c>
      <c r="B488">
        <v>1</v>
      </c>
    </row>
    <row r="489" spans="1:2">
      <c r="A489" t="s">
        <v>5982</v>
      </c>
      <c r="B489">
        <v>1</v>
      </c>
    </row>
    <row r="490" spans="1:2">
      <c r="A490" t="s">
        <v>5979</v>
      </c>
      <c r="B490">
        <v>1</v>
      </c>
    </row>
    <row r="491" spans="1:2">
      <c r="A491" t="s">
        <v>5977</v>
      </c>
      <c r="B491">
        <v>1</v>
      </c>
    </row>
    <row r="492" spans="1:2">
      <c r="A492" t="s">
        <v>5911</v>
      </c>
      <c r="B492">
        <v>1</v>
      </c>
    </row>
    <row r="493" spans="1:2">
      <c r="A493" t="s">
        <v>5909</v>
      </c>
      <c r="B493">
        <v>1</v>
      </c>
    </row>
    <row r="494" spans="1:2">
      <c r="A494" t="s">
        <v>5907</v>
      </c>
      <c r="B494">
        <v>1</v>
      </c>
    </row>
    <row r="495" spans="1:2">
      <c r="A495" t="s">
        <v>5841</v>
      </c>
      <c r="B495">
        <v>1</v>
      </c>
    </row>
    <row r="496" spans="1:2">
      <c r="A496" t="s">
        <v>5838</v>
      </c>
      <c r="B496">
        <v>1</v>
      </c>
    </row>
    <row r="497" spans="1:2">
      <c r="A497" t="s">
        <v>5833</v>
      </c>
      <c r="B497">
        <v>1</v>
      </c>
    </row>
    <row r="498" spans="1:2">
      <c r="A498" t="s">
        <v>5830</v>
      </c>
      <c r="B498">
        <v>1</v>
      </c>
    </row>
    <row r="499" spans="1:2">
      <c r="A499" t="s">
        <v>5829</v>
      </c>
      <c r="B499">
        <v>1</v>
      </c>
    </row>
    <row r="500" spans="1:2">
      <c r="A500" t="s">
        <v>5825</v>
      </c>
      <c r="B500">
        <v>1</v>
      </c>
    </row>
    <row r="501" spans="1:2">
      <c r="A501" t="s">
        <v>5821</v>
      </c>
      <c r="B501">
        <v>1</v>
      </c>
    </row>
    <row r="502" spans="1:2">
      <c r="A502" t="s">
        <v>5819</v>
      </c>
      <c r="B502">
        <v>1</v>
      </c>
    </row>
    <row r="503" spans="1:2">
      <c r="A503" t="s">
        <v>5816</v>
      </c>
      <c r="B503">
        <v>1</v>
      </c>
    </row>
    <row r="504" spans="1:2">
      <c r="A504" t="s">
        <v>5840</v>
      </c>
      <c r="B504">
        <v>1</v>
      </c>
    </row>
    <row r="505" spans="1:2">
      <c r="A505" t="s">
        <v>5812</v>
      </c>
      <c r="B505">
        <v>1</v>
      </c>
    </row>
    <row r="506" spans="1:2">
      <c r="A506" t="s">
        <v>5805</v>
      </c>
      <c r="B506">
        <v>1</v>
      </c>
    </row>
    <row r="507" spans="1:2">
      <c r="A507" t="s">
        <v>5802</v>
      </c>
      <c r="B507">
        <v>1</v>
      </c>
    </row>
    <row r="508" spans="1:2">
      <c r="A508" t="s">
        <v>5797</v>
      </c>
      <c r="B508">
        <v>1</v>
      </c>
    </row>
    <row r="509" spans="1:2">
      <c r="A509" t="s">
        <v>5794</v>
      </c>
      <c r="B509">
        <v>1</v>
      </c>
    </row>
    <row r="510" spans="1:2">
      <c r="A510" t="s">
        <v>5792</v>
      </c>
      <c r="B510">
        <v>1</v>
      </c>
    </row>
    <row r="511" spans="1:2">
      <c r="A511" t="s">
        <v>5790</v>
      </c>
      <c r="B511">
        <v>1</v>
      </c>
    </row>
    <row r="512" spans="1:2">
      <c r="A512" t="s">
        <v>5788</v>
      </c>
      <c r="B512">
        <v>1</v>
      </c>
    </row>
    <row r="513" spans="1:2">
      <c r="A513" t="s">
        <v>5783</v>
      </c>
      <c r="B513">
        <v>1</v>
      </c>
    </row>
    <row r="514" spans="1:2">
      <c r="A514" t="s">
        <v>5844</v>
      </c>
      <c r="B514">
        <v>1</v>
      </c>
    </row>
    <row r="515" spans="1:2">
      <c r="A515" t="s">
        <v>5876</v>
      </c>
      <c r="B515">
        <v>1</v>
      </c>
    </row>
    <row r="516" spans="1:2">
      <c r="A516" t="s">
        <v>5848</v>
      </c>
      <c r="B516">
        <v>1</v>
      </c>
    </row>
    <row r="517" spans="1:2">
      <c r="A517" t="s">
        <v>5900</v>
      </c>
      <c r="B517">
        <v>1</v>
      </c>
    </row>
    <row r="518" spans="1:2">
      <c r="A518" t="s">
        <v>5897</v>
      </c>
      <c r="B518">
        <v>1</v>
      </c>
    </row>
    <row r="519" spans="1:2">
      <c r="A519" t="s">
        <v>5896</v>
      </c>
      <c r="B519">
        <v>1</v>
      </c>
    </row>
    <row r="520" spans="1:2">
      <c r="A520" t="s">
        <v>5893</v>
      </c>
      <c r="B520">
        <v>1</v>
      </c>
    </row>
    <row r="521" spans="1:2">
      <c r="A521" t="s">
        <v>5892</v>
      </c>
      <c r="B521">
        <v>1</v>
      </c>
    </row>
    <row r="522" spans="1:2">
      <c r="A522" t="s">
        <v>5890</v>
      </c>
      <c r="B522">
        <v>1</v>
      </c>
    </row>
    <row r="523" spans="1:2">
      <c r="A523" t="s">
        <v>5887</v>
      </c>
      <c r="B523">
        <v>1</v>
      </c>
    </row>
    <row r="524" spans="1:2">
      <c r="A524" t="s">
        <v>5883</v>
      </c>
      <c r="B524">
        <v>1</v>
      </c>
    </row>
    <row r="525" spans="1:2">
      <c r="A525" t="s">
        <v>5902</v>
      </c>
      <c r="B525">
        <v>1</v>
      </c>
    </row>
    <row r="526" spans="1:2">
      <c r="A526" t="s">
        <v>5879</v>
      </c>
      <c r="B526">
        <v>1</v>
      </c>
    </row>
    <row r="527" spans="1:2">
      <c r="A527" t="s">
        <v>5873</v>
      </c>
      <c r="B527">
        <v>1</v>
      </c>
    </row>
    <row r="528" spans="1:2">
      <c r="A528" t="s">
        <v>5869</v>
      </c>
      <c r="B528">
        <v>1</v>
      </c>
    </row>
    <row r="529" spans="1:2">
      <c r="A529" t="s">
        <v>5866</v>
      </c>
      <c r="B529">
        <v>1</v>
      </c>
    </row>
    <row r="530" spans="1:2">
      <c r="A530" t="s">
        <v>5863</v>
      </c>
      <c r="B530">
        <v>1</v>
      </c>
    </row>
    <row r="531" spans="1:2">
      <c r="A531" t="s">
        <v>5860</v>
      </c>
      <c r="B531">
        <v>1</v>
      </c>
    </row>
    <row r="532" spans="1:2">
      <c r="A532" t="s">
        <v>5857</v>
      </c>
      <c r="B532">
        <v>1</v>
      </c>
    </row>
    <row r="533" spans="1:2">
      <c r="A533" t="s">
        <v>5854</v>
      </c>
      <c r="B533">
        <v>1</v>
      </c>
    </row>
    <row r="534" spans="1:2">
      <c r="A534" t="s">
        <v>5850</v>
      </c>
      <c r="B534">
        <v>1</v>
      </c>
    </row>
    <row r="535" spans="1:2">
      <c r="A535" t="s">
        <v>6030</v>
      </c>
      <c r="B535">
        <v>1</v>
      </c>
    </row>
    <row r="536" spans="1:2">
      <c r="A536" t="s">
        <v>6036</v>
      </c>
      <c r="B536">
        <v>1</v>
      </c>
    </row>
    <row r="537" spans="1:2">
      <c r="A537" t="s">
        <v>6062</v>
      </c>
      <c r="B537">
        <v>1</v>
      </c>
    </row>
    <row r="538" spans="1:2">
      <c r="A538" t="s">
        <v>6112</v>
      </c>
      <c r="B538">
        <v>1</v>
      </c>
    </row>
    <row r="539" spans="1:2">
      <c r="A539" t="s">
        <v>6115</v>
      </c>
      <c r="B539">
        <v>1</v>
      </c>
    </row>
    <row r="540" spans="1:2">
      <c r="A540" t="s">
        <v>6120</v>
      </c>
      <c r="B540">
        <v>1</v>
      </c>
    </row>
    <row r="541" spans="1:2">
      <c r="A541" t="s">
        <v>6148</v>
      </c>
      <c r="B541">
        <v>1</v>
      </c>
    </row>
    <row r="542" spans="1:2">
      <c r="A542" t="s">
        <v>6122</v>
      </c>
      <c r="B542">
        <v>1</v>
      </c>
    </row>
    <row r="543" spans="1:2">
      <c r="A543" t="s">
        <v>6127</v>
      </c>
      <c r="B543">
        <v>1</v>
      </c>
    </row>
    <row r="544" spans="1:2">
      <c r="A544" t="s">
        <v>6131</v>
      </c>
      <c r="B544">
        <v>1</v>
      </c>
    </row>
    <row r="545" spans="1:2">
      <c r="A545" t="s">
        <v>6135</v>
      </c>
      <c r="B545">
        <v>1</v>
      </c>
    </row>
    <row r="546" spans="1:2">
      <c r="A546" t="s">
        <v>6139</v>
      </c>
      <c r="B546">
        <v>1</v>
      </c>
    </row>
    <row r="547" spans="1:2">
      <c r="A547" t="s">
        <v>528</v>
      </c>
      <c r="B547">
        <v>1</v>
      </c>
    </row>
    <row r="548" spans="1:2">
      <c r="A548" t="s">
        <v>6143</v>
      </c>
      <c r="B548">
        <v>1</v>
      </c>
    </row>
    <row r="549" spans="1:2">
      <c r="A549" t="s">
        <v>6145</v>
      </c>
      <c r="B549">
        <v>1</v>
      </c>
    </row>
    <row r="550" spans="1:2">
      <c r="A550" t="s">
        <v>6147</v>
      </c>
      <c r="B550">
        <v>1</v>
      </c>
    </row>
    <row r="551" spans="1:2">
      <c r="A551" t="s">
        <v>6158</v>
      </c>
      <c r="B551">
        <v>1</v>
      </c>
    </row>
    <row r="552" spans="1:2">
      <c r="A552" t="s">
        <v>6151</v>
      </c>
      <c r="B552">
        <v>1</v>
      </c>
    </row>
    <row r="553" spans="1:2">
      <c r="A553" t="s">
        <v>6179</v>
      </c>
      <c r="B553">
        <v>1</v>
      </c>
    </row>
    <row r="554" spans="1:2">
      <c r="A554" t="s">
        <v>6180</v>
      </c>
      <c r="B554">
        <v>1</v>
      </c>
    </row>
    <row r="555" spans="1:2">
      <c r="A555" t="s">
        <v>6177</v>
      </c>
      <c r="B555">
        <v>1</v>
      </c>
    </row>
    <row r="556" spans="1:2">
      <c r="A556" t="s">
        <v>6174</v>
      </c>
      <c r="B556">
        <v>1</v>
      </c>
    </row>
    <row r="557" spans="1:2">
      <c r="A557" t="s">
        <v>6173</v>
      </c>
      <c r="B557">
        <v>1</v>
      </c>
    </row>
    <row r="558" spans="1:2">
      <c r="A558" t="s">
        <v>6171</v>
      </c>
      <c r="B558">
        <v>1</v>
      </c>
    </row>
    <row r="559" spans="1:2">
      <c r="A559" t="s">
        <v>6182</v>
      </c>
      <c r="B559">
        <v>1</v>
      </c>
    </row>
    <row r="560" spans="1:2">
      <c r="A560" t="s">
        <v>6166</v>
      </c>
      <c r="B560">
        <v>1</v>
      </c>
    </row>
    <row r="561" spans="1:2">
      <c r="A561" t="s">
        <v>6164</v>
      </c>
      <c r="B561">
        <v>1</v>
      </c>
    </row>
    <row r="562" spans="1:2">
      <c r="A562" t="s">
        <v>6163</v>
      </c>
      <c r="B562">
        <v>1</v>
      </c>
    </row>
    <row r="563" spans="1:2">
      <c r="A563" t="s">
        <v>6161</v>
      </c>
      <c r="B563">
        <v>1</v>
      </c>
    </row>
    <row r="564" spans="1:2">
      <c r="A564" t="s">
        <v>6160</v>
      </c>
      <c r="B564">
        <v>1</v>
      </c>
    </row>
    <row r="565" spans="1:2">
      <c r="A565" t="s">
        <v>6155</v>
      </c>
      <c r="B565">
        <v>1</v>
      </c>
    </row>
    <row r="566" spans="1:2">
      <c r="A566" t="s">
        <v>6111</v>
      </c>
      <c r="B566">
        <v>1</v>
      </c>
    </row>
    <row r="567" spans="1:2">
      <c r="A567" t="s">
        <v>6121</v>
      </c>
      <c r="B567">
        <v>1</v>
      </c>
    </row>
    <row r="568" spans="1:2">
      <c r="A568" t="s">
        <v>6107</v>
      </c>
      <c r="B568">
        <v>1</v>
      </c>
    </row>
    <row r="569" spans="1:2">
      <c r="A569" t="s">
        <v>6075</v>
      </c>
      <c r="B569">
        <v>1</v>
      </c>
    </row>
    <row r="570" spans="1:2">
      <c r="A570" t="s">
        <v>6042</v>
      </c>
      <c r="B570">
        <v>1</v>
      </c>
    </row>
    <row r="571" spans="1:2">
      <c r="A571" t="s">
        <v>6044</v>
      </c>
      <c r="B571">
        <v>1</v>
      </c>
    </row>
    <row r="572" spans="1:2">
      <c r="A572" t="s">
        <v>6047</v>
      </c>
      <c r="B572">
        <v>1</v>
      </c>
    </row>
    <row r="573" spans="1:2">
      <c r="A573" t="s">
        <v>6049</v>
      </c>
      <c r="B573">
        <v>1</v>
      </c>
    </row>
    <row r="574" spans="1:2">
      <c r="A574" t="s">
        <v>6051</v>
      </c>
      <c r="B574">
        <v>1</v>
      </c>
    </row>
    <row r="575" spans="1:2">
      <c r="A575" t="s">
        <v>6053</v>
      </c>
      <c r="B575">
        <v>1</v>
      </c>
    </row>
    <row r="576" spans="1:2">
      <c r="A576" t="s">
        <v>6055</v>
      </c>
      <c r="B576">
        <v>1</v>
      </c>
    </row>
    <row r="577" spans="1:2">
      <c r="A577" t="s">
        <v>6059</v>
      </c>
      <c r="B577">
        <v>1</v>
      </c>
    </row>
    <row r="578" spans="1:2">
      <c r="A578" t="s">
        <v>6109</v>
      </c>
      <c r="B578">
        <v>1</v>
      </c>
    </row>
    <row r="579" spans="1:2">
      <c r="A579" t="s">
        <v>6066</v>
      </c>
      <c r="B579">
        <v>1</v>
      </c>
    </row>
    <row r="580" spans="1:2">
      <c r="A580" t="s">
        <v>6068</v>
      </c>
      <c r="B580">
        <v>1</v>
      </c>
    </row>
    <row r="581" spans="1:2">
      <c r="A581" t="s">
        <v>6069</v>
      </c>
      <c r="B581">
        <v>1</v>
      </c>
    </row>
    <row r="582" spans="1:2">
      <c r="A582" t="s">
        <v>6072</v>
      </c>
      <c r="B582">
        <v>1</v>
      </c>
    </row>
    <row r="583" spans="1:2">
      <c r="A583" t="s">
        <v>6077</v>
      </c>
      <c r="B583">
        <v>1</v>
      </c>
    </row>
    <row r="584" spans="1:2">
      <c r="A584" t="s">
        <v>6106</v>
      </c>
      <c r="B584">
        <v>1</v>
      </c>
    </row>
    <row r="585" spans="1:2">
      <c r="A585" t="s">
        <v>6078</v>
      </c>
      <c r="B585">
        <v>1</v>
      </c>
    </row>
    <row r="586" spans="1:2">
      <c r="A586" t="s">
        <v>6079</v>
      </c>
      <c r="B586">
        <v>1</v>
      </c>
    </row>
    <row r="587" spans="1:2">
      <c r="A587" t="s">
        <v>6081</v>
      </c>
      <c r="B587">
        <v>1</v>
      </c>
    </row>
    <row r="588" spans="1:2">
      <c r="A588" t="s">
        <v>6082</v>
      </c>
      <c r="B588">
        <v>1</v>
      </c>
    </row>
    <row r="589" spans="1:2">
      <c r="A589" t="s">
        <v>6084</v>
      </c>
      <c r="B589">
        <v>1</v>
      </c>
    </row>
    <row r="590" spans="1:2">
      <c r="A590" t="s">
        <v>6085</v>
      </c>
      <c r="B590">
        <v>1</v>
      </c>
    </row>
    <row r="591" spans="1:2">
      <c r="A591" t="s">
        <v>6088</v>
      </c>
      <c r="B591">
        <v>1</v>
      </c>
    </row>
    <row r="592" spans="1:2">
      <c r="A592" t="s">
        <v>6092</v>
      </c>
      <c r="B592">
        <v>1</v>
      </c>
    </row>
    <row r="593" spans="1:2">
      <c r="A593" t="s">
        <v>6095</v>
      </c>
      <c r="B593">
        <v>1</v>
      </c>
    </row>
    <row r="594" spans="1:2">
      <c r="A594" t="s">
        <v>6099</v>
      </c>
      <c r="B594">
        <v>1</v>
      </c>
    </row>
    <row r="595" spans="1:2">
      <c r="A595" t="s">
        <v>6102</v>
      </c>
      <c r="B595">
        <v>1</v>
      </c>
    </row>
    <row r="596" spans="1:2">
      <c r="A596" t="s">
        <v>6168</v>
      </c>
      <c r="B596">
        <v>1</v>
      </c>
    </row>
    <row r="597" spans="1:2">
      <c r="A597" t="s">
        <v>5808</v>
      </c>
      <c r="B597">
        <v>1</v>
      </c>
    </row>
    <row r="598" spans="1:2">
      <c r="A598" t="s">
        <v>5474</v>
      </c>
      <c r="B598">
        <v>1</v>
      </c>
    </row>
    <row r="599" spans="1:2">
      <c r="A599" t="s">
        <v>5470</v>
      </c>
      <c r="B599">
        <v>1</v>
      </c>
    </row>
    <row r="600" spans="1:2">
      <c r="A600" t="s">
        <v>5468</v>
      </c>
      <c r="B600">
        <v>1</v>
      </c>
    </row>
    <row r="601" spans="1:2">
      <c r="A601" t="s">
        <v>5466</v>
      </c>
      <c r="B601">
        <v>1</v>
      </c>
    </row>
    <row r="602" spans="1:2">
      <c r="A602" t="s">
        <v>5452</v>
      </c>
      <c r="B602">
        <v>1</v>
      </c>
    </row>
    <row r="603" spans="1:2">
      <c r="A603" t="s">
        <v>5448</v>
      </c>
      <c r="B603">
        <v>1</v>
      </c>
    </row>
    <row r="604" spans="1:2">
      <c r="A604" t="s">
        <v>5436</v>
      </c>
      <c r="B604">
        <v>1</v>
      </c>
    </row>
    <row r="605" spans="1:2">
      <c r="A605" t="s">
        <v>5429</v>
      </c>
      <c r="B605">
        <v>1</v>
      </c>
    </row>
    <row r="606" spans="1:2">
      <c r="A606" t="s">
        <v>5356</v>
      </c>
      <c r="B606">
        <v>1</v>
      </c>
    </row>
    <row r="607" spans="1:2">
      <c r="A607" t="s">
        <v>5420</v>
      </c>
      <c r="B607">
        <v>1</v>
      </c>
    </row>
    <row r="608" spans="1:2">
      <c r="A608" t="s">
        <v>5352</v>
      </c>
      <c r="B608">
        <v>1</v>
      </c>
    </row>
    <row r="609" spans="1:2">
      <c r="A609" t="s">
        <v>5295</v>
      </c>
      <c r="B609">
        <v>1</v>
      </c>
    </row>
    <row r="610" spans="1:2">
      <c r="A610" t="s">
        <v>5255</v>
      </c>
      <c r="B610">
        <v>1</v>
      </c>
    </row>
    <row r="611" spans="1:2">
      <c r="A611" t="s">
        <v>5244</v>
      </c>
      <c r="B611">
        <v>1</v>
      </c>
    </row>
    <row r="612" spans="1:2">
      <c r="A612" t="s">
        <v>5235</v>
      </c>
      <c r="B612">
        <v>1</v>
      </c>
    </row>
    <row r="613" spans="1:2">
      <c r="A613" t="s">
        <v>5262</v>
      </c>
      <c r="B613">
        <v>1</v>
      </c>
    </row>
    <row r="614" spans="1:2">
      <c r="A614" t="s">
        <v>13</v>
      </c>
      <c r="B614">
        <v>1</v>
      </c>
    </row>
    <row r="615" spans="1:2">
      <c r="A615" t="s">
        <v>5590</v>
      </c>
      <c r="B615">
        <v>1</v>
      </c>
    </row>
    <row r="616" spans="1:2">
      <c r="A616" t="s">
        <v>5233</v>
      </c>
      <c r="B616">
        <v>1</v>
      </c>
    </row>
    <row r="617" spans="1:2">
      <c r="A617" t="s">
        <v>5779</v>
      </c>
      <c r="B617">
        <v>1</v>
      </c>
    </row>
    <row r="618" spans="1:2">
      <c r="A618" t="s">
        <v>5596</v>
      </c>
      <c r="B618">
        <v>1</v>
      </c>
    </row>
    <row r="619" spans="1:2">
      <c r="A619" t="s">
        <v>5599</v>
      </c>
      <c r="B619">
        <v>1</v>
      </c>
    </row>
    <row r="620" spans="1:2">
      <c r="A620" t="s">
        <v>5601</v>
      </c>
      <c r="B620">
        <v>1</v>
      </c>
    </row>
    <row r="621" spans="1:2">
      <c r="A621" t="s">
        <v>5605</v>
      </c>
      <c r="B621">
        <v>1</v>
      </c>
    </row>
    <row r="622" spans="1:2">
      <c r="A622" t="s">
        <v>5609</v>
      </c>
      <c r="B622">
        <v>1</v>
      </c>
    </row>
    <row r="623" spans="1:2">
      <c r="A623" t="s">
        <v>5614</v>
      </c>
      <c r="B623">
        <v>1</v>
      </c>
    </row>
    <row r="624" spans="1:2">
      <c r="A624" t="s">
        <v>5640</v>
      </c>
      <c r="B624">
        <v>1</v>
      </c>
    </row>
    <row r="625" spans="1:2">
      <c r="A625" t="s">
        <v>5616</v>
      </c>
      <c r="B625">
        <v>1</v>
      </c>
    </row>
    <row r="626" spans="1:2">
      <c r="A626" t="s">
        <v>5619</v>
      </c>
      <c r="B626">
        <v>1</v>
      </c>
    </row>
    <row r="627" spans="1:2">
      <c r="A627" t="s">
        <v>5626</v>
      </c>
      <c r="B627">
        <v>1</v>
      </c>
    </row>
    <row r="628" spans="1:2">
      <c r="A628" t="s">
        <v>5630</v>
      </c>
      <c r="B628">
        <v>1</v>
      </c>
    </row>
    <row r="629" spans="1:2">
      <c r="A629" t="s">
        <v>5632</v>
      </c>
      <c r="B629">
        <v>1</v>
      </c>
    </row>
    <row r="630" spans="1:2">
      <c r="A630" t="s">
        <v>5634</v>
      </c>
      <c r="B630">
        <v>1</v>
      </c>
    </row>
    <row r="631" spans="1:2">
      <c r="A631" t="s">
        <v>5637</v>
      </c>
      <c r="B631">
        <v>1</v>
      </c>
    </row>
    <row r="632" spans="1:2">
      <c r="A632" t="s">
        <v>5582</v>
      </c>
      <c r="B632">
        <v>1</v>
      </c>
    </row>
    <row r="633" spans="1:2">
      <c r="A633" t="s">
        <v>5580</v>
      </c>
      <c r="B633">
        <v>1</v>
      </c>
    </row>
    <row r="634" spans="1:2">
      <c r="A634" t="s">
        <v>5507</v>
      </c>
      <c r="B634">
        <v>1</v>
      </c>
    </row>
    <row r="635" spans="1:2">
      <c r="A635" t="s">
        <v>5511</v>
      </c>
      <c r="B635">
        <v>1</v>
      </c>
    </row>
    <row r="636" spans="1:2">
      <c r="A636" t="s">
        <v>5515</v>
      </c>
      <c r="B636">
        <v>1</v>
      </c>
    </row>
    <row r="637" spans="1:2">
      <c r="A637" t="s">
        <v>5519</v>
      </c>
      <c r="B637">
        <v>1</v>
      </c>
    </row>
    <row r="638" spans="1:2">
      <c r="A638" t="s">
        <v>5523</v>
      </c>
      <c r="B638">
        <v>1</v>
      </c>
    </row>
    <row r="639" spans="1:2">
      <c r="A639" t="s">
        <v>5527</v>
      </c>
      <c r="B639">
        <v>1</v>
      </c>
    </row>
    <row r="640" spans="1:2">
      <c r="A640" t="s">
        <v>5530</v>
      </c>
      <c r="B640">
        <v>1</v>
      </c>
    </row>
    <row r="641" spans="1:2">
      <c r="A641" t="s">
        <v>5538</v>
      </c>
      <c r="B641">
        <v>1</v>
      </c>
    </row>
    <row r="642" spans="1:2">
      <c r="A642" t="s">
        <v>5573</v>
      </c>
      <c r="B642">
        <v>1</v>
      </c>
    </row>
    <row r="643" spans="1:2">
      <c r="A643" t="s">
        <v>5541</v>
      </c>
      <c r="B643">
        <v>1</v>
      </c>
    </row>
    <row r="644" spans="1:2">
      <c r="A644" t="s">
        <v>5545</v>
      </c>
      <c r="B644">
        <v>1</v>
      </c>
    </row>
    <row r="645" spans="1:2">
      <c r="A645" t="s">
        <v>5550</v>
      </c>
      <c r="B645">
        <v>1</v>
      </c>
    </row>
    <row r="646" spans="1:2">
      <c r="A646" t="s">
        <v>5558</v>
      </c>
      <c r="B646">
        <v>1</v>
      </c>
    </row>
    <row r="647" spans="1:2">
      <c r="A647" t="s">
        <v>5562</v>
      </c>
      <c r="B647">
        <v>1</v>
      </c>
    </row>
    <row r="648" spans="1:2">
      <c r="A648" t="s">
        <v>5566</v>
      </c>
      <c r="B648">
        <v>1</v>
      </c>
    </row>
    <row r="649" spans="1:2">
      <c r="A649" t="s">
        <v>5569</v>
      </c>
      <c r="B649">
        <v>1</v>
      </c>
    </row>
    <row r="650" spans="1:2">
      <c r="A650" t="s">
        <v>5577</v>
      </c>
      <c r="B650">
        <v>1</v>
      </c>
    </row>
    <row r="651" spans="1:2">
      <c r="A651" t="s">
        <v>5646</v>
      </c>
      <c r="B651">
        <v>1</v>
      </c>
    </row>
    <row r="652" spans="1:2">
      <c r="A652" t="s">
        <v>5650</v>
      </c>
      <c r="B652">
        <v>1</v>
      </c>
    </row>
    <row r="653" spans="1:2">
      <c r="A653" t="s">
        <v>5725</v>
      </c>
      <c r="B653">
        <v>1</v>
      </c>
    </row>
    <row r="654" spans="1:2">
      <c r="A654" t="s">
        <v>5729</v>
      </c>
      <c r="B654">
        <v>1</v>
      </c>
    </row>
    <row r="655" spans="1:2">
      <c r="A655" t="s">
        <v>5733</v>
      </c>
      <c r="B655">
        <v>1</v>
      </c>
    </row>
    <row r="656" spans="1:2">
      <c r="A656" t="s">
        <v>5735</v>
      </c>
      <c r="B656">
        <v>1</v>
      </c>
    </row>
    <row r="657" spans="1:2">
      <c r="A657" t="s">
        <v>5737</v>
      </c>
      <c r="B657">
        <v>1</v>
      </c>
    </row>
    <row r="658" spans="1:2">
      <c r="A658" t="s">
        <v>5740</v>
      </c>
      <c r="B658">
        <v>1</v>
      </c>
    </row>
    <row r="659" spans="1:2">
      <c r="A659" t="s">
        <v>5744</v>
      </c>
      <c r="B659">
        <v>1</v>
      </c>
    </row>
    <row r="660" spans="1:2">
      <c r="A660" t="s">
        <v>5747</v>
      </c>
      <c r="B660">
        <v>1</v>
      </c>
    </row>
    <row r="661" spans="1:2">
      <c r="A661" t="s">
        <v>5750</v>
      </c>
      <c r="B661">
        <v>1</v>
      </c>
    </row>
    <row r="662" spans="1:2">
      <c r="A662" t="s">
        <v>5753</v>
      </c>
      <c r="B662">
        <v>1</v>
      </c>
    </row>
    <row r="663" spans="1:2">
      <c r="A663" t="s">
        <v>5756</v>
      </c>
      <c r="B663">
        <v>1</v>
      </c>
    </row>
    <row r="664" spans="1:2">
      <c r="A664" t="s">
        <v>5758</v>
      </c>
      <c r="B664">
        <v>1</v>
      </c>
    </row>
    <row r="665" spans="1:2">
      <c r="A665" t="s">
        <v>5761</v>
      </c>
      <c r="B665">
        <v>1</v>
      </c>
    </row>
    <row r="666" spans="1:2">
      <c r="A666" t="s">
        <v>5764</v>
      </c>
      <c r="B666">
        <v>1</v>
      </c>
    </row>
    <row r="667" spans="1:2">
      <c r="A667" t="s">
        <v>5771</v>
      </c>
      <c r="B667">
        <v>1</v>
      </c>
    </row>
    <row r="668" spans="1:2">
      <c r="A668" t="s">
        <v>5774</v>
      </c>
      <c r="B668">
        <v>1</v>
      </c>
    </row>
    <row r="669" spans="1:2">
      <c r="A669" t="s">
        <v>5776</v>
      </c>
      <c r="B669">
        <v>1</v>
      </c>
    </row>
    <row r="670" spans="1:2">
      <c r="A670" t="s">
        <v>5718</v>
      </c>
      <c r="B670">
        <v>1</v>
      </c>
    </row>
    <row r="671" spans="1:2">
      <c r="A671" t="s">
        <v>5676</v>
      </c>
      <c r="B671">
        <v>1</v>
      </c>
    </row>
    <row r="672" spans="1:2">
      <c r="A672" t="s">
        <v>5653</v>
      </c>
      <c r="B672">
        <v>1</v>
      </c>
    </row>
    <row r="673" spans="1:2">
      <c r="A673" t="s">
        <v>5657</v>
      </c>
      <c r="B673">
        <v>1</v>
      </c>
    </row>
    <row r="674" spans="1:2">
      <c r="A674" t="s">
        <v>5661</v>
      </c>
      <c r="B674">
        <v>1</v>
      </c>
    </row>
    <row r="675" spans="1:2">
      <c r="A675" t="s">
        <v>5664</v>
      </c>
      <c r="B675">
        <v>1</v>
      </c>
    </row>
    <row r="676" spans="1:2">
      <c r="A676" t="s">
        <v>5666</v>
      </c>
      <c r="B676">
        <v>1</v>
      </c>
    </row>
    <row r="677" spans="1:2">
      <c r="A677" t="s">
        <v>5669</v>
      </c>
      <c r="B677">
        <v>1</v>
      </c>
    </row>
    <row r="678" spans="1:2">
      <c r="A678" t="s">
        <v>5672</v>
      </c>
      <c r="B678">
        <v>1</v>
      </c>
    </row>
    <row r="679" spans="1:2">
      <c r="A679" t="s">
        <v>5674</v>
      </c>
      <c r="B679">
        <v>1</v>
      </c>
    </row>
    <row r="680" spans="1:2">
      <c r="A680" t="s">
        <v>5680</v>
      </c>
      <c r="B680">
        <v>1</v>
      </c>
    </row>
    <row r="681" spans="1:2">
      <c r="A681" t="s">
        <v>5707</v>
      </c>
      <c r="B681">
        <v>1</v>
      </c>
    </row>
    <row r="682" spans="1:2">
      <c r="A682" t="s">
        <v>5683</v>
      </c>
      <c r="B682">
        <v>1</v>
      </c>
    </row>
    <row r="683" spans="1:2">
      <c r="A683" t="s">
        <v>5687</v>
      </c>
      <c r="B683">
        <v>1</v>
      </c>
    </row>
    <row r="684" spans="1:2">
      <c r="A684" t="s">
        <v>5689</v>
      </c>
      <c r="B684">
        <v>1</v>
      </c>
    </row>
    <row r="685" spans="1:2">
      <c r="A685" t="s">
        <v>5693</v>
      </c>
      <c r="B685">
        <v>1</v>
      </c>
    </row>
    <row r="686" spans="1:2">
      <c r="A686" t="s">
        <v>5695</v>
      </c>
      <c r="B686">
        <v>1</v>
      </c>
    </row>
    <row r="687" spans="1:2">
      <c r="A687" t="s">
        <v>5697</v>
      </c>
      <c r="B687">
        <v>1</v>
      </c>
    </row>
    <row r="688" spans="1:2">
      <c r="A688" t="s">
        <v>5702</v>
      </c>
      <c r="B688">
        <v>1</v>
      </c>
    </row>
    <row r="689" spans="1:2">
      <c r="A689" t="s">
        <v>5705</v>
      </c>
      <c r="B689">
        <v>1</v>
      </c>
    </row>
    <row r="690" spans="1:2">
      <c r="A690" t="s">
        <v>5499</v>
      </c>
      <c r="B690">
        <v>1</v>
      </c>
    </row>
    <row r="691" spans="1:2">
      <c r="A691" t="s">
        <v>5496</v>
      </c>
      <c r="B691">
        <v>1</v>
      </c>
    </row>
    <row r="692" spans="1:2">
      <c r="A692" t="s">
        <v>5494</v>
      </c>
      <c r="B692">
        <v>1</v>
      </c>
    </row>
    <row r="693" spans="1:2">
      <c r="A693" t="s">
        <v>5348</v>
      </c>
      <c r="B693">
        <v>1</v>
      </c>
    </row>
    <row r="694" spans="1:2">
      <c r="A694" t="s">
        <v>5303</v>
      </c>
      <c r="B694">
        <v>1</v>
      </c>
    </row>
    <row r="695" spans="1:2">
      <c r="A695" t="s">
        <v>5306</v>
      </c>
      <c r="B695">
        <v>1</v>
      </c>
    </row>
    <row r="696" spans="1:2">
      <c r="A696" t="s">
        <v>5309</v>
      </c>
      <c r="B696">
        <v>1</v>
      </c>
    </row>
    <row r="697" spans="1:2">
      <c r="A697" t="s">
        <v>5311</v>
      </c>
      <c r="B697">
        <v>1</v>
      </c>
    </row>
    <row r="698" spans="1:2">
      <c r="A698" t="s">
        <v>5314</v>
      </c>
      <c r="B698">
        <v>1</v>
      </c>
    </row>
    <row r="699" spans="1:2">
      <c r="A699" t="s">
        <v>5317</v>
      </c>
      <c r="B699">
        <v>1</v>
      </c>
    </row>
    <row r="700" spans="1:2">
      <c r="A700" t="s">
        <v>5318</v>
      </c>
      <c r="B700">
        <v>1</v>
      </c>
    </row>
    <row r="701" spans="1:2">
      <c r="A701" t="s">
        <v>5320</v>
      </c>
      <c r="B701">
        <v>1</v>
      </c>
    </row>
    <row r="702" spans="1:2">
      <c r="A702" t="s">
        <v>5325</v>
      </c>
      <c r="B702">
        <v>1</v>
      </c>
    </row>
    <row r="703" spans="1:2">
      <c r="A703" t="s">
        <v>5345</v>
      </c>
      <c r="B703">
        <v>1</v>
      </c>
    </row>
    <row r="704" spans="1:2">
      <c r="A704" t="s">
        <v>5327</v>
      </c>
      <c r="B704">
        <v>1</v>
      </c>
    </row>
    <row r="705" spans="1:2">
      <c r="A705" t="s">
        <v>5330</v>
      </c>
      <c r="B705">
        <v>1</v>
      </c>
    </row>
    <row r="706" spans="1:2">
      <c r="A706" t="s">
        <v>5333</v>
      </c>
      <c r="B706">
        <v>1</v>
      </c>
    </row>
    <row r="707" spans="1:2">
      <c r="A707" t="s">
        <v>5334</v>
      </c>
      <c r="B707">
        <v>1</v>
      </c>
    </row>
    <row r="708" spans="1:2">
      <c r="A708" t="s">
        <v>5335</v>
      </c>
      <c r="B708">
        <v>1</v>
      </c>
    </row>
    <row r="709" spans="1:2">
      <c r="A709" t="s">
        <v>5341</v>
      </c>
      <c r="B709">
        <v>1</v>
      </c>
    </row>
    <row r="710" spans="1:2">
      <c r="A710" t="s">
        <v>5323</v>
      </c>
      <c r="B710">
        <v>1</v>
      </c>
    </row>
    <row r="711" spans="1:2">
      <c r="A711" t="s">
        <v>5299</v>
      </c>
      <c r="B711">
        <v>1</v>
      </c>
    </row>
    <row r="712" spans="1:2">
      <c r="A712" t="s">
        <v>5249</v>
      </c>
      <c r="B712">
        <v>1</v>
      </c>
    </row>
    <row r="713" spans="1:2">
      <c r="A713" t="s">
        <v>5258</v>
      </c>
      <c r="B713">
        <v>1</v>
      </c>
    </row>
    <row r="714" spans="1:2">
      <c r="A714" t="s">
        <v>5260</v>
      </c>
      <c r="B714">
        <v>1</v>
      </c>
    </row>
    <row r="715" spans="1:2">
      <c r="A715" t="s">
        <v>5266</v>
      </c>
      <c r="B715">
        <v>1</v>
      </c>
    </row>
    <row r="716" spans="1:2">
      <c r="A716" t="s">
        <v>5291</v>
      </c>
      <c r="B716">
        <v>1</v>
      </c>
    </row>
    <row r="717" spans="1:2">
      <c r="A717" t="s">
        <v>5269</v>
      </c>
      <c r="B717">
        <v>1</v>
      </c>
    </row>
    <row r="718" spans="1:2">
      <c r="A718" t="s">
        <v>5272</v>
      </c>
      <c r="B718">
        <v>1</v>
      </c>
    </row>
    <row r="719" spans="1:2">
      <c r="A719" t="s">
        <v>5275</v>
      </c>
      <c r="B719">
        <v>1</v>
      </c>
    </row>
    <row r="720" spans="1:2">
      <c r="A720" t="s">
        <v>5278</v>
      </c>
      <c r="B720">
        <v>1</v>
      </c>
    </row>
    <row r="721" spans="1:2">
      <c r="A721" t="s">
        <v>5281</v>
      </c>
      <c r="B721">
        <v>1</v>
      </c>
    </row>
    <row r="722" spans="1:2">
      <c r="A722" t="s">
        <v>5283</v>
      </c>
      <c r="B722">
        <v>1</v>
      </c>
    </row>
    <row r="723" spans="1:2">
      <c r="A723" t="s">
        <v>5285</v>
      </c>
      <c r="B723">
        <v>1</v>
      </c>
    </row>
    <row r="724" spans="1:2">
      <c r="A724" t="s">
        <v>5288</v>
      </c>
      <c r="B724">
        <v>1</v>
      </c>
    </row>
    <row r="725" spans="1:2">
      <c r="A725" t="s">
        <v>5478</v>
      </c>
      <c r="B725">
        <v>1</v>
      </c>
    </row>
    <row r="726" spans="1:2">
      <c r="A726" t="s">
        <v>5480</v>
      </c>
      <c r="B726">
        <v>1</v>
      </c>
    </row>
    <row r="727" spans="1:2">
      <c r="A727" t="s">
        <v>5483</v>
      </c>
      <c r="B727">
        <v>1</v>
      </c>
    </row>
    <row r="728" spans="1:2">
      <c r="A728" t="s">
        <v>5427</v>
      </c>
      <c r="B728">
        <v>1</v>
      </c>
    </row>
    <row r="729" spans="1:2">
      <c r="A729" t="s">
        <v>5460</v>
      </c>
      <c r="B729">
        <v>1</v>
      </c>
    </row>
    <row r="730" spans="1:2">
      <c r="A730" t="s">
        <v>5424</v>
      </c>
      <c r="B730">
        <v>1</v>
      </c>
    </row>
    <row r="731" spans="1:2">
      <c r="A731" t="s">
        <v>5384</v>
      </c>
      <c r="B731">
        <v>1</v>
      </c>
    </row>
    <row r="732" spans="1:2">
      <c r="A732" t="s">
        <v>5360</v>
      </c>
      <c r="B732">
        <v>1</v>
      </c>
    </row>
    <row r="733" spans="1:2">
      <c r="A733" t="s">
        <v>5362</v>
      </c>
      <c r="B733">
        <v>1</v>
      </c>
    </row>
    <row r="734" spans="1:2">
      <c r="A734" t="s">
        <v>5366</v>
      </c>
      <c r="B734">
        <v>1</v>
      </c>
    </row>
    <row r="735" spans="1:2">
      <c r="A735" t="s">
        <v>5372</v>
      </c>
      <c r="B735">
        <v>1</v>
      </c>
    </row>
    <row r="736" spans="1:2">
      <c r="A736" t="s">
        <v>5375</v>
      </c>
      <c r="B736">
        <v>1</v>
      </c>
    </row>
    <row r="737" spans="1:2">
      <c r="A737" t="s">
        <v>5378</v>
      </c>
      <c r="B737">
        <v>1</v>
      </c>
    </row>
    <row r="738" spans="1:2">
      <c r="A738" t="s">
        <v>5381</v>
      </c>
      <c r="B738">
        <v>1</v>
      </c>
    </row>
    <row r="739" spans="1:2">
      <c r="A739" t="s">
        <v>5387</v>
      </c>
      <c r="B739">
        <v>1</v>
      </c>
    </row>
    <row r="740" spans="1:2">
      <c r="A740" t="s">
        <v>5417</v>
      </c>
      <c r="B740">
        <v>1</v>
      </c>
    </row>
    <row r="741" spans="1:2">
      <c r="A741" t="s">
        <v>5391</v>
      </c>
      <c r="B741">
        <v>1</v>
      </c>
    </row>
    <row r="742" spans="1:2">
      <c r="A742" t="s">
        <v>5395</v>
      </c>
      <c r="B742">
        <v>1</v>
      </c>
    </row>
    <row r="743" spans="1:2">
      <c r="A743" t="s">
        <v>5398</v>
      </c>
      <c r="B743">
        <v>1</v>
      </c>
    </row>
    <row r="744" spans="1:2">
      <c r="A744" t="s">
        <v>5405</v>
      </c>
      <c r="B744">
        <v>1</v>
      </c>
    </row>
    <row r="745" spans="1:2">
      <c r="A745" t="s">
        <v>5409</v>
      </c>
      <c r="B745">
        <v>1</v>
      </c>
    </row>
    <row r="746" spans="1:2">
      <c r="A746" t="s">
        <v>5411</v>
      </c>
      <c r="B746">
        <v>1</v>
      </c>
    </row>
    <row r="747" spans="1:2">
      <c r="A747" t="s">
        <v>5414</v>
      </c>
      <c r="B747">
        <v>1</v>
      </c>
    </row>
    <row r="748" spans="1:2">
      <c r="A748" t="s">
        <v>5586</v>
      </c>
      <c r="B748">
        <v>1</v>
      </c>
    </row>
    <row r="749" spans="1:2">
      <c r="A749" t="s">
        <v>5780</v>
      </c>
      <c r="B749">
        <v>1</v>
      </c>
    </row>
    <row r="750" spans="1:2">
      <c r="A750" t="s">
        <v>6032</v>
      </c>
      <c r="B750">
        <v>1</v>
      </c>
    </row>
    <row r="751" spans="1:2">
      <c r="A751" t="s">
        <v>5785</v>
      </c>
      <c r="B751">
        <v>1</v>
      </c>
    </row>
    <row r="752" spans="1:2">
      <c r="A752" t="s">
        <v>6184</v>
      </c>
      <c r="B752">
        <v>1</v>
      </c>
    </row>
    <row r="753" spans="1:2">
      <c r="A753" t="s">
        <v>6188</v>
      </c>
      <c r="B753">
        <v>1</v>
      </c>
    </row>
    <row r="754" spans="1:2">
      <c r="A754" t="s">
        <v>6191</v>
      </c>
      <c r="B754">
        <v>1</v>
      </c>
    </row>
    <row r="755" spans="1:2">
      <c r="A755" t="s">
        <v>6194</v>
      </c>
      <c r="B755">
        <v>1</v>
      </c>
    </row>
    <row r="756" spans="1:2">
      <c r="A756" t="s">
        <v>6198</v>
      </c>
      <c r="B756">
        <v>1</v>
      </c>
    </row>
    <row r="757" spans="1:2">
      <c r="A757" t="s">
        <v>6202</v>
      </c>
      <c r="B757">
        <v>1</v>
      </c>
    </row>
    <row r="758" spans="1:2">
      <c r="A758" t="s">
        <v>6206</v>
      </c>
      <c r="B758">
        <v>1</v>
      </c>
    </row>
    <row r="759" spans="1:2">
      <c r="A759" t="s">
        <v>6210</v>
      </c>
      <c r="B759">
        <v>1</v>
      </c>
    </row>
    <row r="760" spans="1:2">
      <c r="A760" t="s">
        <v>6214</v>
      </c>
      <c r="B760">
        <v>1</v>
      </c>
    </row>
    <row r="761" spans="1:2">
      <c r="A761" t="s">
        <v>6245</v>
      </c>
      <c r="B761">
        <v>1</v>
      </c>
    </row>
    <row r="762" spans="1:2">
      <c r="A762" t="s">
        <v>6218</v>
      </c>
      <c r="B762">
        <v>1</v>
      </c>
    </row>
    <row r="763" spans="1:2">
      <c r="A763" t="s">
        <v>6224</v>
      </c>
      <c r="B763">
        <v>1</v>
      </c>
    </row>
    <row r="764" spans="1:2">
      <c r="A764" t="s">
        <v>6227</v>
      </c>
      <c r="B764">
        <v>1</v>
      </c>
    </row>
    <row r="765" spans="1:2">
      <c r="A765" t="s">
        <v>6248</v>
      </c>
      <c r="B765">
        <v>1</v>
      </c>
    </row>
    <row r="766" spans="1:2">
      <c r="A766" t="s">
        <v>6231</v>
      </c>
      <c r="B766">
        <v>1</v>
      </c>
    </row>
    <row r="767" spans="1:2">
      <c r="A767" t="s">
        <v>6234</v>
      </c>
      <c r="B767">
        <v>1</v>
      </c>
    </row>
    <row r="768" spans="1:2">
      <c r="A768" t="s">
        <v>6236</v>
      </c>
      <c r="B768">
        <v>1</v>
      </c>
    </row>
    <row r="769" spans="1:2">
      <c r="A769" t="s">
        <v>6239</v>
      </c>
      <c r="B769">
        <v>1</v>
      </c>
    </row>
    <row r="770" spans="1:2">
      <c r="A770" t="s">
        <v>6242</v>
      </c>
      <c r="B770">
        <v>1</v>
      </c>
    </row>
    <row r="771" spans="1:2">
      <c r="A771" t="s">
        <v>6851</v>
      </c>
      <c r="B771">
        <v>1</v>
      </c>
    </row>
    <row r="772" spans="1:2">
      <c r="A772" t="s">
        <v>6848</v>
      </c>
      <c r="B772">
        <v>1</v>
      </c>
    </row>
    <row r="773" spans="1:2">
      <c r="A773" t="s">
        <v>6842</v>
      </c>
      <c r="B773">
        <v>1</v>
      </c>
    </row>
    <row r="774" spans="1:2">
      <c r="A774" t="s">
        <v>6838</v>
      </c>
      <c r="B774">
        <v>1</v>
      </c>
    </row>
    <row r="775" spans="1:2">
      <c r="A775" t="s">
        <v>6834</v>
      </c>
      <c r="B775">
        <v>1</v>
      </c>
    </row>
    <row r="776" spans="1:2">
      <c r="A776" t="s">
        <v>6846</v>
      </c>
      <c r="B776">
        <v>1</v>
      </c>
    </row>
    <row r="777" spans="1:2">
      <c r="A777" t="s">
        <v>6860</v>
      </c>
      <c r="B777">
        <v>1</v>
      </c>
    </row>
    <row r="778" spans="1:2">
      <c r="A778" t="s">
        <v>6830</v>
      </c>
      <c r="B778">
        <v>1</v>
      </c>
    </row>
    <row r="779" spans="1:2">
      <c r="A779" t="s">
        <v>6872</v>
      </c>
      <c r="B779">
        <v>1</v>
      </c>
    </row>
    <row r="780" spans="1:2">
      <c r="A780" t="s">
        <v>6877</v>
      </c>
      <c r="B780">
        <v>1</v>
      </c>
    </row>
    <row r="781" spans="1:2">
      <c r="A781" t="s">
        <v>6892</v>
      </c>
      <c r="B781">
        <v>1</v>
      </c>
    </row>
    <row r="782" spans="1:2">
      <c r="A782" t="s">
        <v>6896</v>
      </c>
      <c r="B782">
        <v>1</v>
      </c>
    </row>
    <row r="783" spans="1:2">
      <c r="A783" t="s">
        <v>6864</v>
      </c>
      <c r="B783">
        <v>1</v>
      </c>
    </row>
    <row r="784" spans="1:2">
      <c r="A784" t="s">
        <v>6889</v>
      </c>
      <c r="B784">
        <v>1</v>
      </c>
    </row>
    <row r="785" spans="1:2">
      <c r="A785" t="s">
        <v>6885</v>
      </c>
      <c r="B785">
        <v>1</v>
      </c>
    </row>
    <row r="786" spans="1:2">
      <c r="A786" t="s">
        <v>6880</v>
      </c>
      <c r="B786">
        <v>1</v>
      </c>
    </row>
    <row r="787" spans="1:2">
      <c r="A787" t="s">
        <v>6909</v>
      </c>
      <c r="B787">
        <v>1</v>
      </c>
    </row>
    <row r="788" spans="1:2">
      <c r="A788" t="s">
        <v>6912</v>
      </c>
      <c r="B788">
        <v>1</v>
      </c>
    </row>
    <row r="789" spans="1:2">
      <c r="A789" t="s">
        <v>6915</v>
      </c>
      <c r="B789">
        <v>1</v>
      </c>
    </row>
    <row r="790" spans="1:2">
      <c r="A790" t="s">
        <v>6919</v>
      </c>
      <c r="B790">
        <v>1</v>
      </c>
    </row>
    <row r="791" spans="1:2">
      <c r="A791" t="s">
        <v>6938</v>
      </c>
      <c r="B791">
        <v>1</v>
      </c>
    </row>
    <row r="792" spans="1:2">
      <c r="A792" t="s">
        <v>6963</v>
      </c>
      <c r="B792">
        <v>1</v>
      </c>
    </row>
    <row r="793" spans="1:2">
      <c r="A793" t="s">
        <v>6936</v>
      </c>
      <c r="B793">
        <v>1</v>
      </c>
    </row>
    <row r="794" spans="1:2">
      <c r="A794" t="s">
        <v>6932</v>
      </c>
      <c r="B794">
        <v>1</v>
      </c>
    </row>
    <row r="795" spans="1:2">
      <c r="A795" t="s">
        <v>6968</v>
      </c>
      <c r="B795">
        <v>1</v>
      </c>
    </row>
    <row r="796" spans="1:2">
      <c r="A796" t="s">
        <v>6941</v>
      </c>
      <c r="B796">
        <v>1</v>
      </c>
    </row>
    <row r="797" spans="1:2">
      <c r="A797" t="s">
        <v>6942</v>
      </c>
      <c r="B797">
        <v>1</v>
      </c>
    </row>
    <row r="798" spans="1:2">
      <c r="A798" t="s">
        <v>6947</v>
      </c>
      <c r="B798">
        <v>1</v>
      </c>
    </row>
    <row r="799" spans="1:2">
      <c r="A799" t="s">
        <v>6928</v>
      </c>
      <c r="B799">
        <v>1</v>
      </c>
    </row>
    <row r="800" spans="1:2">
      <c r="A800" t="s">
        <v>6923</v>
      </c>
      <c r="B800">
        <v>1</v>
      </c>
    </row>
    <row r="801" spans="1:2">
      <c r="A801" t="s">
        <v>6958</v>
      </c>
      <c r="B801">
        <v>1</v>
      </c>
    </row>
    <row r="802" spans="1:2">
      <c r="A802" t="s">
        <v>6960</v>
      </c>
      <c r="B802">
        <v>1</v>
      </c>
    </row>
    <row r="803" spans="1:2">
      <c r="A803" t="s">
        <v>6924</v>
      </c>
      <c r="B803">
        <v>1</v>
      </c>
    </row>
    <row r="804" spans="1:2">
      <c r="A804" t="s">
        <v>6922</v>
      </c>
      <c r="B804">
        <v>1</v>
      </c>
    </row>
    <row r="805" spans="1:2">
      <c r="A805" t="s">
        <v>7001</v>
      </c>
      <c r="B805">
        <v>1</v>
      </c>
    </row>
    <row r="806" spans="1:2">
      <c r="A806" t="s">
        <v>6996</v>
      </c>
      <c r="B806">
        <v>1</v>
      </c>
    </row>
    <row r="807" spans="1:2">
      <c r="A807" t="s">
        <v>6993</v>
      </c>
      <c r="B807">
        <v>1</v>
      </c>
    </row>
    <row r="808" spans="1:2">
      <c r="A808" t="s">
        <v>6989</v>
      </c>
      <c r="B808">
        <v>1</v>
      </c>
    </row>
    <row r="809" spans="1:2">
      <c r="A809" t="s">
        <v>6985</v>
      </c>
      <c r="B809">
        <v>1</v>
      </c>
    </row>
    <row r="810" spans="1:2">
      <c r="A810" t="s">
        <v>6981</v>
      </c>
      <c r="B810">
        <v>1</v>
      </c>
    </row>
    <row r="811" spans="1:2">
      <c r="A811" t="s">
        <v>6977</v>
      </c>
      <c r="B811">
        <v>1</v>
      </c>
    </row>
    <row r="812" spans="1:2">
      <c r="A812" t="s">
        <v>6973</v>
      </c>
      <c r="B812">
        <v>1</v>
      </c>
    </row>
    <row r="813" spans="1:2">
      <c r="A813" t="s">
        <v>7007</v>
      </c>
      <c r="B813">
        <v>1</v>
      </c>
    </row>
    <row r="814" spans="1:2">
      <c r="A814" t="s">
        <v>6970</v>
      </c>
      <c r="B814">
        <v>1</v>
      </c>
    </row>
    <row r="815" spans="1:2">
      <c r="A815" t="s">
        <v>7011</v>
      </c>
      <c r="B815">
        <v>1</v>
      </c>
    </row>
    <row r="816" spans="1:2">
      <c r="A816" t="s">
        <v>7004</v>
      </c>
      <c r="B816">
        <v>1</v>
      </c>
    </row>
    <row r="817" spans="1:2">
      <c r="A817" t="s">
        <v>7419</v>
      </c>
      <c r="B817">
        <v>1</v>
      </c>
    </row>
    <row r="818" spans="1:2">
      <c r="A818" t="s">
        <v>7418</v>
      </c>
      <c r="B818">
        <v>1</v>
      </c>
    </row>
    <row r="819" spans="1:2">
      <c r="A819" t="s">
        <v>7242</v>
      </c>
      <c r="B819">
        <v>1</v>
      </c>
    </row>
    <row r="820" spans="1:2">
      <c r="A820" t="s">
        <v>7413</v>
      </c>
      <c r="B820">
        <v>1</v>
      </c>
    </row>
    <row r="821" spans="1:2">
      <c r="A821" t="s">
        <v>7410</v>
      </c>
      <c r="B821">
        <v>1</v>
      </c>
    </row>
    <row r="822" spans="1:2">
      <c r="A822" t="s">
        <v>7406</v>
      </c>
      <c r="B822">
        <v>1</v>
      </c>
    </row>
    <row r="823" spans="1:2">
      <c r="A823" t="s">
        <v>7339</v>
      </c>
      <c r="B823">
        <v>1</v>
      </c>
    </row>
    <row r="824" spans="1:2">
      <c r="A824" t="s">
        <v>7337</v>
      </c>
      <c r="B824">
        <v>1</v>
      </c>
    </row>
    <row r="825" spans="1:2">
      <c r="A825" t="s">
        <v>7335</v>
      </c>
      <c r="B825">
        <v>1</v>
      </c>
    </row>
    <row r="826" spans="1:2">
      <c r="A826" t="s">
        <v>7294</v>
      </c>
      <c r="B826">
        <v>1</v>
      </c>
    </row>
    <row r="827" spans="1:2">
      <c r="A827" t="s">
        <v>7288</v>
      </c>
      <c r="B827">
        <v>1</v>
      </c>
    </row>
    <row r="828" spans="1:2">
      <c r="A828" t="s">
        <v>7286</v>
      </c>
      <c r="B828">
        <v>1</v>
      </c>
    </row>
    <row r="829" spans="1:2">
      <c r="A829" t="s">
        <v>7284</v>
      </c>
      <c r="B829">
        <v>1</v>
      </c>
    </row>
    <row r="830" spans="1:2">
      <c r="A830" t="s">
        <v>7282</v>
      </c>
      <c r="B830">
        <v>1</v>
      </c>
    </row>
    <row r="831" spans="1:2">
      <c r="A831" t="s">
        <v>7280</v>
      </c>
      <c r="B831">
        <v>1</v>
      </c>
    </row>
    <row r="832" spans="1:2">
      <c r="A832" t="s">
        <v>7102</v>
      </c>
      <c r="B832">
        <v>1</v>
      </c>
    </row>
    <row r="833" spans="1:2">
      <c r="A833" t="s">
        <v>7276</v>
      </c>
      <c r="B833">
        <v>1</v>
      </c>
    </row>
    <row r="834" spans="1:2">
      <c r="A834" t="s">
        <v>7265</v>
      </c>
      <c r="B834">
        <v>1</v>
      </c>
    </row>
    <row r="835" spans="1:2">
      <c r="A835" t="s">
        <v>7262</v>
      </c>
      <c r="B835">
        <v>1</v>
      </c>
    </row>
    <row r="836" spans="1:2">
      <c r="A836" t="s">
        <v>7255</v>
      </c>
      <c r="B836">
        <v>1</v>
      </c>
    </row>
    <row r="837" spans="1:2">
      <c r="A837" t="s">
        <v>7251</v>
      </c>
      <c r="B837">
        <v>1</v>
      </c>
    </row>
    <row r="838" spans="1:2">
      <c r="A838" t="s">
        <v>7248</v>
      </c>
      <c r="B838">
        <v>1</v>
      </c>
    </row>
    <row r="839" spans="1:2">
      <c r="A839" t="s">
        <v>7290</v>
      </c>
      <c r="B839">
        <v>1</v>
      </c>
    </row>
    <row r="840" spans="1:2">
      <c r="A840" t="s">
        <v>7296</v>
      </c>
      <c r="B840">
        <v>1</v>
      </c>
    </row>
    <row r="841" spans="1:2">
      <c r="A841" t="s">
        <v>7331</v>
      </c>
      <c r="B841">
        <v>1</v>
      </c>
    </row>
    <row r="842" spans="1:2">
      <c r="A842" t="s">
        <v>7298</v>
      </c>
      <c r="B842">
        <v>1</v>
      </c>
    </row>
    <row r="843" spans="1:2">
      <c r="A843" t="s">
        <v>7327</v>
      </c>
      <c r="B843">
        <v>1</v>
      </c>
    </row>
    <row r="844" spans="1:2">
      <c r="A844" t="s">
        <v>7326</v>
      </c>
      <c r="B844">
        <v>1</v>
      </c>
    </row>
    <row r="845" spans="1:2">
      <c r="A845" t="s">
        <v>7324</v>
      </c>
      <c r="B845">
        <v>1</v>
      </c>
    </row>
    <row r="846" spans="1:2">
      <c r="A846" t="s">
        <v>7304</v>
      </c>
      <c r="B846">
        <v>1</v>
      </c>
    </row>
    <row r="847" spans="1:2">
      <c r="A847" t="s">
        <v>7302</v>
      </c>
      <c r="B847">
        <v>1</v>
      </c>
    </row>
    <row r="848" spans="1:2">
      <c r="A848" t="s">
        <v>7481</v>
      </c>
      <c r="B848">
        <v>1</v>
      </c>
    </row>
    <row r="849" spans="1:2">
      <c r="A849" t="s">
        <v>7447</v>
      </c>
      <c r="B849">
        <v>1</v>
      </c>
    </row>
    <row r="850" spans="1:2">
      <c r="A850" t="s">
        <v>7306</v>
      </c>
      <c r="B850">
        <v>1</v>
      </c>
    </row>
    <row r="851" spans="1:2">
      <c r="A851" t="s">
        <v>7310</v>
      </c>
      <c r="B851">
        <v>1</v>
      </c>
    </row>
    <row r="852" spans="1:2">
      <c r="A852" t="s">
        <v>7312</v>
      </c>
      <c r="B852">
        <v>1</v>
      </c>
    </row>
    <row r="853" spans="1:2">
      <c r="A853" t="s">
        <v>7314</v>
      </c>
      <c r="B853">
        <v>1</v>
      </c>
    </row>
    <row r="854" spans="1:2">
      <c r="A854" t="s">
        <v>7316</v>
      </c>
      <c r="B854">
        <v>1</v>
      </c>
    </row>
    <row r="855" spans="1:2">
      <c r="A855" t="s">
        <v>7317</v>
      </c>
      <c r="B855">
        <v>1</v>
      </c>
    </row>
    <row r="856" spans="1:2">
      <c r="A856" t="s">
        <v>7318</v>
      </c>
      <c r="B856">
        <v>1</v>
      </c>
    </row>
    <row r="857" spans="1:2">
      <c r="A857" t="s">
        <v>7320</v>
      </c>
      <c r="B857">
        <v>1</v>
      </c>
    </row>
    <row r="858" spans="1:2">
      <c r="A858" t="s">
        <v>7322</v>
      </c>
      <c r="B858">
        <v>1</v>
      </c>
    </row>
    <row r="859" spans="1:2">
      <c r="A859" t="s">
        <v>7278</v>
      </c>
      <c r="B859">
        <v>1</v>
      </c>
    </row>
    <row r="860" spans="1:2">
      <c r="A860" t="s">
        <v>7422</v>
      </c>
      <c r="B860">
        <v>1</v>
      </c>
    </row>
    <row r="861" spans="1:2">
      <c r="A861" t="s">
        <v>7428</v>
      </c>
      <c r="B861">
        <v>1</v>
      </c>
    </row>
    <row r="862" spans="1:2">
      <c r="A862" t="s">
        <v>7443</v>
      </c>
      <c r="B862">
        <v>1</v>
      </c>
    </row>
    <row r="863" spans="1:2">
      <c r="A863" t="s">
        <v>7430</v>
      </c>
      <c r="B863">
        <v>1</v>
      </c>
    </row>
    <row r="864" spans="1:2">
      <c r="A864" t="s">
        <v>7432</v>
      </c>
      <c r="B864">
        <v>1</v>
      </c>
    </row>
    <row r="865" spans="1:2">
      <c r="A865" t="s">
        <v>7434</v>
      </c>
      <c r="B865">
        <v>1</v>
      </c>
    </row>
    <row r="866" spans="1:2">
      <c r="A866" t="s">
        <v>7435</v>
      </c>
      <c r="B866">
        <v>1</v>
      </c>
    </row>
    <row r="867" spans="1:2">
      <c r="A867" t="s">
        <v>7437</v>
      </c>
      <c r="B867">
        <v>1</v>
      </c>
    </row>
    <row r="868" spans="1:2">
      <c r="A868" t="s">
        <v>7439</v>
      </c>
      <c r="B868">
        <v>1</v>
      </c>
    </row>
    <row r="869" spans="1:2">
      <c r="A869" t="s">
        <v>7441</v>
      </c>
      <c r="B869">
        <v>1</v>
      </c>
    </row>
    <row r="870" spans="1:2">
      <c r="A870" t="s">
        <v>7404</v>
      </c>
      <c r="B870">
        <v>1</v>
      </c>
    </row>
    <row r="871" spans="1:2">
      <c r="A871" t="s">
        <v>7402</v>
      </c>
      <c r="B871">
        <v>1</v>
      </c>
    </row>
    <row r="872" spans="1:2">
      <c r="A872" t="s">
        <v>7400</v>
      </c>
      <c r="B872">
        <v>1</v>
      </c>
    </row>
    <row r="873" spans="1:2">
      <c r="A873" t="s">
        <v>7398</v>
      </c>
      <c r="B873">
        <v>1</v>
      </c>
    </row>
    <row r="874" spans="1:2">
      <c r="A874" t="s">
        <v>7343</v>
      </c>
      <c r="B874">
        <v>1</v>
      </c>
    </row>
    <row r="875" spans="1:2">
      <c r="A875" t="s">
        <v>7344</v>
      </c>
      <c r="B875">
        <v>1</v>
      </c>
    </row>
    <row r="876" spans="1:2">
      <c r="A876" t="s">
        <v>7351</v>
      </c>
      <c r="B876">
        <v>1</v>
      </c>
    </row>
    <row r="877" spans="1:2">
      <c r="A877" t="s">
        <v>7355</v>
      </c>
      <c r="B877">
        <v>1</v>
      </c>
    </row>
    <row r="878" spans="1:2">
      <c r="A878" t="s">
        <v>7359</v>
      </c>
      <c r="B878">
        <v>1</v>
      </c>
    </row>
    <row r="879" spans="1:2">
      <c r="A879" t="s">
        <v>7363</v>
      </c>
      <c r="B879">
        <v>1</v>
      </c>
    </row>
    <row r="880" spans="1:2">
      <c r="A880" t="s">
        <v>7367</v>
      </c>
      <c r="B880">
        <v>1</v>
      </c>
    </row>
    <row r="881" spans="1:2">
      <c r="A881" t="s">
        <v>7371</v>
      </c>
      <c r="B881">
        <v>1</v>
      </c>
    </row>
    <row r="882" spans="1:2">
      <c r="A882" t="s">
        <v>7375</v>
      </c>
      <c r="B882">
        <v>1</v>
      </c>
    </row>
    <row r="883" spans="1:2">
      <c r="A883" t="s">
        <v>7379</v>
      </c>
      <c r="B883">
        <v>1</v>
      </c>
    </row>
    <row r="884" spans="1:2">
      <c r="A884" t="s">
        <v>7383</v>
      </c>
      <c r="B884">
        <v>1</v>
      </c>
    </row>
    <row r="885" spans="1:2">
      <c r="A885" t="s">
        <v>7424</v>
      </c>
      <c r="B885">
        <v>1</v>
      </c>
    </row>
    <row r="886" spans="1:2">
      <c r="A886" t="s">
        <v>7240</v>
      </c>
      <c r="B886">
        <v>1</v>
      </c>
    </row>
    <row r="887" spans="1:2">
      <c r="A887" t="s">
        <v>7128</v>
      </c>
      <c r="B887">
        <v>1</v>
      </c>
    </row>
    <row r="888" spans="1:2">
      <c r="A888" t="s">
        <v>7091</v>
      </c>
      <c r="B888">
        <v>1</v>
      </c>
    </row>
    <row r="889" spans="1:2">
      <c r="A889" t="s">
        <v>7087</v>
      </c>
      <c r="B889">
        <v>1</v>
      </c>
    </row>
    <row r="890" spans="1:2">
      <c r="A890" t="s">
        <v>7083</v>
      </c>
      <c r="B890">
        <v>1</v>
      </c>
    </row>
    <row r="891" spans="1:2">
      <c r="A891" t="s">
        <v>7076</v>
      </c>
      <c r="B891">
        <v>1</v>
      </c>
    </row>
    <row r="892" spans="1:2">
      <c r="A892" t="s">
        <v>7069</v>
      </c>
      <c r="B892">
        <v>1</v>
      </c>
    </row>
    <row r="893" spans="1:2">
      <c r="A893" t="s">
        <v>7065</v>
      </c>
      <c r="B893">
        <v>1</v>
      </c>
    </row>
    <row r="894" spans="1:2">
      <c r="A894" t="s">
        <v>7061</v>
      </c>
      <c r="B894">
        <v>1</v>
      </c>
    </row>
    <row r="895" spans="1:2">
      <c r="A895" t="s">
        <v>7057</v>
      </c>
      <c r="B895">
        <v>1</v>
      </c>
    </row>
    <row r="896" spans="1:2">
      <c r="A896" t="s">
        <v>7049</v>
      </c>
      <c r="B896">
        <v>1</v>
      </c>
    </row>
    <row r="897" spans="1:2">
      <c r="A897" t="s">
        <v>7095</v>
      </c>
      <c r="B897">
        <v>1</v>
      </c>
    </row>
    <row r="898" spans="1:2">
      <c r="A898" t="s">
        <v>7038</v>
      </c>
      <c r="B898">
        <v>1</v>
      </c>
    </row>
    <row r="899" spans="1:2">
      <c r="A899" t="s">
        <v>7020</v>
      </c>
      <c r="B899">
        <v>1</v>
      </c>
    </row>
    <row r="900" spans="1:2">
      <c r="A900" t="s">
        <v>7033</v>
      </c>
      <c r="B900">
        <v>1</v>
      </c>
    </row>
    <row r="901" spans="1:2">
      <c r="A901" t="s">
        <v>7024</v>
      </c>
      <c r="B901">
        <v>1</v>
      </c>
    </row>
    <row r="902" spans="1:2">
      <c r="A902" t="s">
        <v>7029</v>
      </c>
      <c r="B902">
        <v>1</v>
      </c>
    </row>
    <row r="903" spans="1:2">
      <c r="A903" t="s">
        <v>7027</v>
      </c>
      <c r="B903">
        <v>1</v>
      </c>
    </row>
    <row r="904" spans="1:2">
      <c r="A904" t="s">
        <v>7013</v>
      </c>
      <c r="B904">
        <v>1</v>
      </c>
    </row>
    <row r="905" spans="1:2">
      <c r="A905" t="s">
        <v>7098</v>
      </c>
      <c r="B905">
        <v>1</v>
      </c>
    </row>
    <row r="906" spans="1:2">
      <c r="A906" t="s">
        <v>7169</v>
      </c>
      <c r="B906">
        <v>1</v>
      </c>
    </row>
    <row r="907" spans="1:2">
      <c r="A907" t="s">
        <v>7106</v>
      </c>
      <c r="B907">
        <v>1</v>
      </c>
    </row>
    <row r="908" spans="1:2">
      <c r="A908" t="s">
        <v>7181</v>
      </c>
      <c r="B908">
        <v>1</v>
      </c>
    </row>
    <row r="909" spans="1:2">
      <c r="A909" t="s">
        <v>7187</v>
      </c>
      <c r="B909">
        <v>1</v>
      </c>
    </row>
    <row r="910" spans="1:2">
      <c r="A910" t="s">
        <v>7197</v>
      </c>
      <c r="B910">
        <v>1</v>
      </c>
    </row>
    <row r="911" spans="1:2">
      <c r="A911" t="s">
        <v>7201</v>
      </c>
      <c r="B911">
        <v>1</v>
      </c>
    </row>
    <row r="912" spans="1:2">
      <c r="A912" t="s">
        <v>7238</v>
      </c>
      <c r="B912">
        <v>1</v>
      </c>
    </row>
    <row r="913" spans="1:2">
      <c r="A913" t="s">
        <v>7217</v>
      </c>
      <c r="B913">
        <v>1</v>
      </c>
    </row>
    <row r="914" spans="1:2">
      <c r="A914" t="s">
        <v>7221</v>
      </c>
      <c r="B914">
        <v>1</v>
      </c>
    </row>
    <row r="915" spans="1:2">
      <c r="A915" t="s">
        <v>7225</v>
      </c>
      <c r="B915">
        <v>1</v>
      </c>
    </row>
    <row r="916" spans="1:2">
      <c r="A916" t="s">
        <v>7229</v>
      </c>
      <c r="B916">
        <v>1</v>
      </c>
    </row>
    <row r="917" spans="1:2">
      <c r="A917" t="s">
        <v>7234</v>
      </c>
      <c r="B917">
        <v>1</v>
      </c>
    </row>
    <row r="918" spans="1:2">
      <c r="A918" t="s">
        <v>7205</v>
      </c>
      <c r="B918">
        <v>1</v>
      </c>
    </row>
    <row r="919" spans="1:2">
      <c r="A919" t="s">
        <v>7173</v>
      </c>
      <c r="B919">
        <v>1</v>
      </c>
    </row>
    <row r="920" spans="1:2">
      <c r="A920" t="s">
        <v>7134</v>
      </c>
      <c r="B920">
        <v>1</v>
      </c>
    </row>
    <row r="921" spans="1:2">
      <c r="A921" t="s">
        <v>7110</v>
      </c>
      <c r="B921">
        <v>1</v>
      </c>
    </row>
    <row r="922" spans="1:2">
      <c r="A922" t="s">
        <v>7114</v>
      </c>
      <c r="B922">
        <v>1</v>
      </c>
    </row>
    <row r="923" spans="1:2">
      <c r="A923" t="s">
        <v>7118</v>
      </c>
      <c r="B923">
        <v>1</v>
      </c>
    </row>
    <row r="924" spans="1:2">
      <c r="A924" t="s">
        <v>7122</v>
      </c>
      <c r="B924">
        <v>1</v>
      </c>
    </row>
    <row r="925" spans="1:2">
      <c r="A925" t="s">
        <v>7126</v>
      </c>
      <c r="B925">
        <v>1</v>
      </c>
    </row>
    <row r="926" spans="1:2">
      <c r="A926" t="s">
        <v>7130</v>
      </c>
      <c r="B926">
        <v>1</v>
      </c>
    </row>
    <row r="927" spans="1:2">
      <c r="A927" t="s">
        <v>7166</v>
      </c>
      <c r="B927">
        <v>1</v>
      </c>
    </row>
    <row r="928" spans="1:2">
      <c r="A928" t="s">
        <v>7144</v>
      </c>
      <c r="B928">
        <v>1</v>
      </c>
    </row>
    <row r="929" spans="1:2">
      <c r="A929" t="s">
        <v>7148</v>
      </c>
      <c r="B929">
        <v>1</v>
      </c>
    </row>
    <row r="930" spans="1:2">
      <c r="A930" t="s">
        <v>7152</v>
      </c>
      <c r="B930">
        <v>1</v>
      </c>
    </row>
    <row r="931" spans="1:2">
      <c r="A931" t="s">
        <v>7155</v>
      </c>
      <c r="B931">
        <v>1</v>
      </c>
    </row>
    <row r="932" spans="1:2">
      <c r="A932" t="s">
        <v>7159</v>
      </c>
      <c r="B932">
        <v>1</v>
      </c>
    </row>
    <row r="933" spans="1:2">
      <c r="A933" t="s">
        <v>7163</v>
      </c>
      <c r="B933">
        <v>1</v>
      </c>
    </row>
    <row r="934" spans="1:2">
      <c r="A934" t="s">
        <v>7415</v>
      </c>
      <c r="B934">
        <v>1</v>
      </c>
    </row>
    <row r="935" spans="1:2">
      <c r="A935" t="s">
        <v>7445</v>
      </c>
      <c r="B935">
        <v>1</v>
      </c>
    </row>
    <row r="936" spans="1:2">
      <c r="A936" t="s">
        <v>7483</v>
      </c>
      <c r="B936">
        <v>1</v>
      </c>
    </row>
    <row r="937" spans="1:2">
      <c r="A937" t="s">
        <v>7449</v>
      </c>
      <c r="B937">
        <v>1</v>
      </c>
    </row>
    <row r="938" spans="1:2">
      <c r="A938" t="s">
        <v>7501</v>
      </c>
      <c r="B938">
        <v>1</v>
      </c>
    </row>
    <row r="939" spans="1:2">
      <c r="A939" t="s">
        <v>7503</v>
      </c>
      <c r="B939">
        <v>1</v>
      </c>
    </row>
    <row r="940" spans="1:2">
      <c r="A940" t="s">
        <v>7506</v>
      </c>
      <c r="B940">
        <v>1</v>
      </c>
    </row>
    <row r="941" spans="1:2">
      <c r="A941" t="s">
        <v>7519</v>
      </c>
      <c r="B941">
        <v>1</v>
      </c>
    </row>
    <row r="942" spans="1:2">
      <c r="A942" t="s">
        <v>7509</v>
      </c>
      <c r="B942">
        <v>1</v>
      </c>
    </row>
    <row r="943" spans="1:2">
      <c r="A943" t="s">
        <v>7511</v>
      </c>
      <c r="B943">
        <v>1</v>
      </c>
    </row>
    <row r="944" spans="1:2">
      <c r="A944" t="s">
        <v>7513</v>
      </c>
      <c r="B944">
        <v>1</v>
      </c>
    </row>
    <row r="945" spans="1:2">
      <c r="A945" t="s">
        <v>7515</v>
      </c>
      <c r="B945">
        <v>1</v>
      </c>
    </row>
    <row r="946" spans="1:2">
      <c r="A946" t="s">
        <v>7533</v>
      </c>
      <c r="B946">
        <v>1</v>
      </c>
    </row>
    <row r="947" spans="1:2">
      <c r="A947" t="s">
        <v>7521</v>
      </c>
      <c r="B947">
        <v>1</v>
      </c>
    </row>
    <row r="948" spans="1:2">
      <c r="A948" t="s">
        <v>7523</v>
      </c>
      <c r="B948">
        <v>1</v>
      </c>
    </row>
    <row r="949" spans="1:2">
      <c r="A949" t="s">
        <v>7526</v>
      </c>
      <c r="B949">
        <v>1</v>
      </c>
    </row>
    <row r="950" spans="1:2">
      <c r="A950" t="s">
        <v>7529</v>
      </c>
      <c r="B950">
        <v>1</v>
      </c>
    </row>
    <row r="951" spans="1:2">
      <c r="A951" t="s">
        <v>7531</v>
      </c>
      <c r="B951">
        <v>1</v>
      </c>
    </row>
    <row r="952" spans="1:2">
      <c r="A952" t="s">
        <v>7528</v>
      </c>
      <c r="B952">
        <v>1</v>
      </c>
    </row>
    <row r="953" spans="1:2">
      <c r="A953" t="s">
        <v>7497</v>
      </c>
      <c r="B953">
        <v>1</v>
      </c>
    </row>
    <row r="954" spans="1:2">
      <c r="A954" t="s">
        <v>7507</v>
      </c>
      <c r="B954">
        <v>1</v>
      </c>
    </row>
    <row r="955" spans="1:2">
      <c r="A955" t="s">
        <v>7489</v>
      </c>
      <c r="B955">
        <v>1</v>
      </c>
    </row>
    <row r="956" spans="1:2">
      <c r="A956" t="s">
        <v>7467</v>
      </c>
      <c r="B956">
        <v>1</v>
      </c>
    </row>
    <row r="957" spans="1:2">
      <c r="A957" t="s">
        <v>7451</v>
      </c>
      <c r="B957">
        <v>1</v>
      </c>
    </row>
    <row r="958" spans="1:2">
      <c r="A958" t="s">
        <v>7454</v>
      </c>
      <c r="B958">
        <v>1</v>
      </c>
    </row>
    <row r="959" spans="1:2">
      <c r="A959" t="s">
        <v>7493</v>
      </c>
      <c r="B959">
        <v>1</v>
      </c>
    </row>
    <row r="960" spans="1:2">
      <c r="A960" t="s">
        <v>7456</v>
      </c>
      <c r="B960">
        <v>1</v>
      </c>
    </row>
    <row r="961" spans="1:2">
      <c r="A961" t="s">
        <v>7458</v>
      </c>
      <c r="B961">
        <v>1</v>
      </c>
    </row>
    <row r="962" spans="1:2">
      <c r="A962" t="s">
        <v>7461</v>
      </c>
      <c r="B962">
        <v>1</v>
      </c>
    </row>
    <row r="963" spans="1:2">
      <c r="A963" t="s">
        <v>7464</v>
      </c>
      <c r="B963">
        <v>1</v>
      </c>
    </row>
    <row r="964" spans="1:2">
      <c r="A964" t="s">
        <v>7471</v>
      </c>
      <c r="B964">
        <v>1</v>
      </c>
    </row>
    <row r="965" spans="1:2">
      <c r="A965" t="s">
        <v>7487</v>
      </c>
      <c r="B965">
        <v>1</v>
      </c>
    </row>
    <row r="966" spans="1:2">
      <c r="A966" t="s">
        <v>7474</v>
      </c>
      <c r="B966">
        <v>1</v>
      </c>
    </row>
    <row r="967" spans="1:2">
      <c r="A967" t="s">
        <v>7475</v>
      </c>
      <c r="B967">
        <v>1</v>
      </c>
    </row>
    <row r="968" spans="1:2">
      <c r="A968" t="s">
        <v>7477</v>
      </c>
      <c r="B968">
        <v>1</v>
      </c>
    </row>
    <row r="969" spans="1:2">
      <c r="A969" t="s">
        <v>7479</v>
      </c>
      <c r="B969">
        <v>1</v>
      </c>
    </row>
    <row r="970" spans="1:2">
      <c r="A970" t="s">
        <v>7629</v>
      </c>
      <c r="B970">
        <v>1</v>
      </c>
    </row>
    <row r="971" spans="1:2">
      <c r="A971" t="s">
        <v>7602</v>
      </c>
      <c r="B971">
        <v>1</v>
      </c>
    </row>
    <row r="972" spans="1:2">
      <c r="A972" t="s">
        <v>7651</v>
      </c>
      <c r="B972">
        <v>1</v>
      </c>
    </row>
    <row r="973" spans="1:2">
      <c r="A973" t="s">
        <v>7648</v>
      </c>
      <c r="B973">
        <v>1</v>
      </c>
    </row>
    <row r="974" spans="1:2">
      <c r="A974" t="s">
        <v>7645</v>
      </c>
      <c r="B974">
        <v>1</v>
      </c>
    </row>
    <row r="975" spans="1:2">
      <c r="A975" t="s">
        <v>7641</v>
      </c>
      <c r="B975">
        <v>1</v>
      </c>
    </row>
    <row r="976" spans="1:2">
      <c r="A976" t="s">
        <v>7658</v>
      </c>
      <c r="B976">
        <v>1</v>
      </c>
    </row>
    <row r="977" spans="1:2">
      <c r="A977" t="s">
        <v>7675</v>
      </c>
      <c r="B977">
        <v>1</v>
      </c>
    </row>
    <row r="978" spans="1:2">
      <c r="A978" t="s">
        <v>7655</v>
      </c>
      <c r="B978">
        <v>1</v>
      </c>
    </row>
    <row r="979" spans="1:2">
      <c r="A979" t="s">
        <v>7665</v>
      </c>
      <c r="B979">
        <v>1</v>
      </c>
    </row>
    <row r="980" spans="1:2">
      <c r="A980" t="s">
        <v>7662</v>
      </c>
      <c r="B980">
        <v>1</v>
      </c>
    </row>
    <row r="981" spans="1:2">
      <c r="A981" t="s">
        <v>7685</v>
      </c>
      <c r="B981">
        <v>1</v>
      </c>
    </row>
    <row r="982" spans="1:2">
      <c r="A982" t="s">
        <v>7672</v>
      </c>
      <c r="B982">
        <v>1</v>
      </c>
    </row>
    <row r="983" spans="1:2">
      <c r="A983" t="s">
        <v>7669</v>
      </c>
      <c r="B983">
        <v>1</v>
      </c>
    </row>
    <row r="984" spans="1:2">
      <c r="A984" t="s">
        <v>7638</v>
      </c>
      <c r="B984">
        <v>1</v>
      </c>
    </row>
    <row r="985" spans="1:2">
      <c r="A985" t="s">
        <v>7632</v>
      </c>
      <c r="B985">
        <v>1</v>
      </c>
    </row>
    <row r="986" spans="1:2">
      <c r="A986" t="s">
        <v>7606</v>
      </c>
      <c r="B986">
        <v>1</v>
      </c>
    </row>
    <row r="987" spans="1:2">
      <c r="A987" t="s">
        <v>7625</v>
      </c>
      <c r="B987">
        <v>1</v>
      </c>
    </row>
    <row r="988" spans="1:2">
      <c r="A988" t="s">
        <v>7623</v>
      </c>
      <c r="B988">
        <v>1</v>
      </c>
    </row>
    <row r="989" spans="1:2">
      <c r="A989" t="s">
        <v>7635</v>
      </c>
      <c r="B989">
        <v>1</v>
      </c>
    </row>
    <row r="990" spans="1:2">
      <c r="A990" t="s">
        <v>7621</v>
      </c>
      <c r="B990">
        <v>1</v>
      </c>
    </row>
    <row r="991" spans="1:2">
      <c r="A991" t="s">
        <v>7618</v>
      </c>
      <c r="B991">
        <v>1</v>
      </c>
    </row>
    <row r="992" spans="1:2">
      <c r="A992" t="s">
        <v>7615</v>
      </c>
      <c r="B992">
        <v>1</v>
      </c>
    </row>
    <row r="993" spans="1:2">
      <c r="A993" t="s">
        <v>7612</v>
      </c>
      <c r="B993">
        <v>1</v>
      </c>
    </row>
    <row r="994" spans="1:2">
      <c r="A994" t="s">
        <v>7609</v>
      </c>
      <c r="B994">
        <v>1</v>
      </c>
    </row>
    <row r="995" spans="1:2">
      <c r="A995" t="s">
        <v>8199</v>
      </c>
      <c r="B995">
        <v>1</v>
      </c>
    </row>
    <row r="996" spans="1:2">
      <c r="A996" t="s">
        <v>8195</v>
      </c>
      <c r="B996">
        <v>1</v>
      </c>
    </row>
    <row r="997" spans="1:2">
      <c r="A997" t="s">
        <v>8191</v>
      </c>
      <c r="B997">
        <v>1</v>
      </c>
    </row>
    <row r="998" spans="1:2">
      <c r="A998" t="s">
        <v>8187</v>
      </c>
      <c r="B998">
        <v>1</v>
      </c>
    </row>
    <row r="999" spans="1:2">
      <c r="A999" t="s">
        <v>8185</v>
      </c>
      <c r="B999">
        <v>1</v>
      </c>
    </row>
    <row r="1000" spans="1:2">
      <c r="A1000" t="s">
        <v>8657</v>
      </c>
      <c r="B1000">
        <v>1</v>
      </c>
    </row>
    <row r="1001" spans="1:2">
      <c r="A1001" t="s">
        <v>8654</v>
      </c>
      <c r="B1001">
        <v>1</v>
      </c>
    </row>
    <row r="1002" spans="1:2">
      <c r="A1002" t="s">
        <v>8850</v>
      </c>
      <c r="B1002">
        <v>1</v>
      </c>
    </row>
    <row r="1003" spans="1:2">
      <c r="A1003" t="s">
        <v>8832</v>
      </c>
      <c r="B1003">
        <v>1</v>
      </c>
    </row>
    <row r="1004" spans="1:2">
      <c r="A1004" t="s">
        <v>8821</v>
      </c>
      <c r="B1004">
        <v>1</v>
      </c>
    </row>
    <row r="1005" spans="1:2">
      <c r="A1005" t="s">
        <v>8836</v>
      </c>
      <c r="B1005">
        <v>1</v>
      </c>
    </row>
    <row r="1006" spans="1:2">
      <c r="A1006" t="s">
        <v>8841</v>
      </c>
      <c r="B1006">
        <v>1</v>
      </c>
    </row>
    <row r="1007" spans="1:2">
      <c r="A1007" t="s">
        <v>8846</v>
      </c>
      <c r="B1007">
        <v>1</v>
      </c>
    </row>
    <row r="1008" spans="1:2">
      <c r="A1008" t="s">
        <v>8853</v>
      </c>
      <c r="B1008">
        <v>1</v>
      </c>
    </row>
    <row r="1009" spans="1:2">
      <c r="A1009" t="s">
        <v>8824</v>
      </c>
      <c r="B1009">
        <v>1</v>
      </c>
    </row>
    <row r="1010" spans="1:2">
      <c r="A1010" t="s">
        <v>8828</v>
      </c>
      <c r="B1010">
        <v>1</v>
      </c>
    </row>
    <row r="1011" spans="1:2">
      <c r="A1011" t="s">
        <v>9119</v>
      </c>
      <c r="B1011">
        <v>1</v>
      </c>
    </row>
    <row r="1012" spans="1:2">
      <c r="A1012" t="s">
        <v>9122</v>
      </c>
      <c r="B1012">
        <v>1</v>
      </c>
    </row>
    <row r="1013" spans="1:2">
      <c r="A1013" t="s">
        <v>9127</v>
      </c>
      <c r="B1013">
        <v>1</v>
      </c>
    </row>
    <row r="1014" spans="1:2">
      <c r="A1014" t="s">
        <v>9130</v>
      </c>
      <c r="B1014">
        <v>1</v>
      </c>
    </row>
    <row r="1015" spans="1:2">
      <c r="A1015" t="s">
        <v>9062</v>
      </c>
      <c r="B1015">
        <v>1</v>
      </c>
    </row>
    <row r="1016" spans="1:2">
      <c r="A1016" t="s">
        <v>9111</v>
      </c>
      <c r="B1016">
        <v>1</v>
      </c>
    </row>
    <row r="1017" spans="1:2">
      <c r="A1017" t="s">
        <v>9107</v>
      </c>
      <c r="B1017">
        <v>1</v>
      </c>
    </row>
    <row r="1018" spans="1:2">
      <c r="A1018" t="s">
        <v>9106</v>
      </c>
      <c r="B1018">
        <v>1</v>
      </c>
    </row>
    <row r="1019" spans="1:2">
      <c r="A1019" t="s">
        <v>9134</v>
      </c>
      <c r="B1019">
        <v>1</v>
      </c>
    </row>
    <row r="1020" spans="1:2">
      <c r="A1020" t="s">
        <v>9115</v>
      </c>
      <c r="B1020">
        <v>1</v>
      </c>
    </row>
    <row r="1021" spans="1:2">
      <c r="A1021" t="s">
        <v>9065</v>
      </c>
      <c r="B1021">
        <v>1</v>
      </c>
    </row>
    <row r="1022" spans="1:2">
      <c r="A1022" t="s">
        <v>9072</v>
      </c>
      <c r="B1022">
        <v>1</v>
      </c>
    </row>
    <row r="1023" spans="1:2">
      <c r="A1023" t="s">
        <v>9077</v>
      </c>
      <c r="B1023">
        <v>1</v>
      </c>
    </row>
    <row r="1024" spans="1:2">
      <c r="A1024" t="s">
        <v>9080</v>
      </c>
      <c r="B1024">
        <v>1</v>
      </c>
    </row>
    <row r="1025" spans="1:2">
      <c r="A1025" t="s">
        <v>9082</v>
      </c>
      <c r="B1025">
        <v>1</v>
      </c>
    </row>
    <row r="1026" spans="1:2">
      <c r="A1026" t="s">
        <v>9085</v>
      </c>
      <c r="B1026">
        <v>1</v>
      </c>
    </row>
    <row r="1027" spans="1:2">
      <c r="A1027" t="s">
        <v>9089</v>
      </c>
      <c r="B1027">
        <v>1</v>
      </c>
    </row>
    <row r="1028" spans="1:2">
      <c r="A1028" t="s">
        <v>9092</v>
      </c>
      <c r="B1028">
        <v>1</v>
      </c>
    </row>
    <row r="1029" spans="1:2">
      <c r="A1029" t="s">
        <v>9097</v>
      </c>
      <c r="B1029">
        <v>1</v>
      </c>
    </row>
    <row r="1030" spans="1:2">
      <c r="A1030" t="s">
        <v>9102</v>
      </c>
      <c r="B1030">
        <v>1</v>
      </c>
    </row>
    <row r="1031" spans="1:2">
      <c r="A1031" t="s">
        <v>9139</v>
      </c>
      <c r="B1031">
        <v>1</v>
      </c>
    </row>
    <row r="1032" spans="1:2">
      <c r="A1032" t="s">
        <v>9240</v>
      </c>
      <c r="B1032">
        <v>1</v>
      </c>
    </row>
    <row r="1033" spans="1:2">
      <c r="A1033" t="s">
        <v>9252</v>
      </c>
      <c r="B1033">
        <v>1</v>
      </c>
    </row>
    <row r="1034" spans="1:2">
      <c r="A1034" t="s">
        <v>9257</v>
      </c>
      <c r="B1034">
        <v>1</v>
      </c>
    </row>
    <row r="1035" spans="1:2">
      <c r="A1035" t="s">
        <v>9243</v>
      </c>
      <c r="B1035">
        <v>1</v>
      </c>
    </row>
    <row r="1036" spans="1:2">
      <c r="A1036" t="s">
        <v>9261</v>
      </c>
      <c r="B1036">
        <v>1</v>
      </c>
    </row>
    <row r="1037" spans="1:2">
      <c r="A1037" t="s">
        <v>9265</v>
      </c>
      <c r="B1037">
        <v>1</v>
      </c>
    </row>
    <row r="1038" spans="1:2">
      <c r="A1038" t="s">
        <v>9268</v>
      </c>
      <c r="B1038">
        <v>1</v>
      </c>
    </row>
    <row r="1039" spans="1:2">
      <c r="A1039" t="s">
        <v>9272</v>
      </c>
      <c r="B1039">
        <v>1</v>
      </c>
    </row>
    <row r="1040" spans="1:2">
      <c r="A1040" t="s">
        <v>9275</v>
      </c>
      <c r="B1040">
        <v>1</v>
      </c>
    </row>
    <row r="1041" spans="1:2">
      <c r="A1041" t="s">
        <v>9278</v>
      </c>
      <c r="B1041">
        <v>1</v>
      </c>
    </row>
    <row r="1042" spans="1:2">
      <c r="A1042" t="s">
        <v>9281</v>
      </c>
      <c r="B1042">
        <v>1</v>
      </c>
    </row>
    <row r="1043" spans="1:2">
      <c r="A1043" t="s">
        <v>9286</v>
      </c>
      <c r="B1043">
        <v>1</v>
      </c>
    </row>
    <row r="1044" spans="1:2">
      <c r="A1044" t="s">
        <v>9283</v>
      </c>
      <c r="B1044">
        <v>1</v>
      </c>
    </row>
    <row r="1045" spans="1:2">
      <c r="A1045" t="s">
        <v>9320</v>
      </c>
      <c r="B1045">
        <v>1</v>
      </c>
    </row>
    <row r="1046" spans="1:2">
      <c r="A1046" t="s">
        <v>9297</v>
      </c>
      <c r="B1046">
        <v>1</v>
      </c>
    </row>
    <row r="1047" spans="1:2">
      <c r="A1047" t="s">
        <v>9329</v>
      </c>
      <c r="B1047">
        <v>1</v>
      </c>
    </row>
    <row r="1048" spans="1:2">
      <c r="A1048" t="s">
        <v>9325</v>
      </c>
      <c r="B1048">
        <v>1</v>
      </c>
    </row>
    <row r="1049" spans="1:2">
      <c r="A1049" t="s">
        <v>9323</v>
      </c>
      <c r="B1049">
        <v>1</v>
      </c>
    </row>
    <row r="1050" spans="1:2">
      <c r="A1050" t="s">
        <v>9316</v>
      </c>
      <c r="B1050">
        <v>1</v>
      </c>
    </row>
    <row r="1051" spans="1:2">
      <c r="A1051" t="s">
        <v>9293</v>
      </c>
      <c r="B1051">
        <v>1</v>
      </c>
    </row>
    <row r="1052" spans="1:2">
      <c r="A1052" t="s">
        <v>9290</v>
      </c>
      <c r="B1052">
        <v>1</v>
      </c>
    </row>
    <row r="1053" spans="1:2">
      <c r="A1053" t="s">
        <v>9300</v>
      </c>
      <c r="B1053">
        <v>1</v>
      </c>
    </row>
    <row r="1054" spans="1:2">
      <c r="A1054" t="s">
        <v>9304</v>
      </c>
      <c r="B1054">
        <v>1</v>
      </c>
    </row>
    <row r="1055" spans="1:2">
      <c r="A1055" t="s">
        <v>9309</v>
      </c>
      <c r="B1055">
        <v>1</v>
      </c>
    </row>
    <row r="1056" spans="1:2">
      <c r="A1056" t="s">
        <v>9313</v>
      </c>
      <c r="B1056">
        <v>1</v>
      </c>
    </row>
    <row r="1057" spans="1:2">
      <c r="A1057" t="s">
        <v>9484</v>
      </c>
      <c r="B1057">
        <v>1</v>
      </c>
    </row>
    <row r="1058" spans="1:2">
      <c r="A1058" t="s">
        <v>9481</v>
      </c>
      <c r="B1058">
        <v>1</v>
      </c>
    </row>
    <row r="1059" spans="1:2">
      <c r="A1059" t="s">
        <v>9478</v>
      </c>
      <c r="B1059">
        <v>1</v>
      </c>
    </row>
    <row r="1060" spans="1:2">
      <c r="A1060" t="s">
        <v>9475</v>
      </c>
      <c r="B1060">
        <v>1</v>
      </c>
    </row>
    <row r="1061" spans="1:2">
      <c r="A1061" t="s">
        <v>9472</v>
      </c>
      <c r="B1061">
        <v>1</v>
      </c>
    </row>
    <row r="1062" spans="1:2">
      <c r="A1062" t="s">
        <v>9467</v>
      </c>
      <c r="B1062">
        <v>1</v>
      </c>
    </row>
    <row r="1063" spans="1:2">
      <c r="A1063" t="s">
        <v>9464</v>
      </c>
      <c r="B1063">
        <v>1</v>
      </c>
    </row>
    <row r="1064" spans="1:2">
      <c r="A1064" t="s">
        <v>9461</v>
      </c>
      <c r="B1064">
        <v>1</v>
      </c>
    </row>
    <row r="1065" spans="1:2">
      <c r="A1065" t="s">
        <v>9458</v>
      </c>
      <c r="B1065">
        <v>1</v>
      </c>
    </row>
    <row r="1066" spans="1:2">
      <c r="A1066" t="s">
        <v>9455</v>
      </c>
      <c r="B1066">
        <v>1</v>
      </c>
    </row>
    <row r="1067" spans="1:2">
      <c r="A1067" t="s">
        <v>9451</v>
      </c>
      <c r="B1067">
        <v>1</v>
      </c>
    </row>
    <row r="1068" spans="1:2">
      <c r="A1068" t="s">
        <v>9448</v>
      </c>
      <c r="B1068">
        <v>1</v>
      </c>
    </row>
    <row r="1069" spans="1:2">
      <c r="A1069" t="s">
        <v>9447</v>
      </c>
      <c r="B1069">
        <v>1</v>
      </c>
    </row>
    <row r="1070" spans="1:2">
      <c r="A1070" t="s">
        <v>9361</v>
      </c>
      <c r="B1070">
        <v>1</v>
      </c>
    </row>
    <row r="1071" spans="1:2">
      <c r="A1071" t="s">
        <v>9439</v>
      </c>
      <c r="B1071">
        <v>1</v>
      </c>
    </row>
    <row r="1072" spans="1:2">
      <c r="A1072" t="s">
        <v>9438</v>
      </c>
      <c r="B1072">
        <v>1</v>
      </c>
    </row>
    <row r="1073" spans="1:2">
      <c r="A1073" t="s">
        <v>9495</v>
      </c>
      <c r="B1073">
        <v>1</v>
      </c>
    </row>
    <row r="1074" spans="1:2">
      <c r="A1074" t="s">
        <v>9488</v>
      </c>
      <c r="B1074">
        <v>1</v>
      </c>
    </row>
    <row r="1075" spans="1:2">
      <c r="A1075" t="s">
        <v>9491</v>
      </c>
      <c r="B1075">
        <v>1</v>
      </c>
    </row>
    <row r="1076" spans="1:2">
      <c r="A1076" t="s">
        <v>5691</v>
      </c>
      <c r="B1076">
        <v>1</v>
      </c>
    </row>
    <row r="1077" spans="1:2">
      <c r="A1077" t="s">
        <v>9535</v>
      </c>
      <c r="B1077">
        <v>1</v>
      </c>
    </row>
    <row r="1078" spans="1:2">
      <c r="A1078" t="s">
        <v>9543</v>
      </c>
      <c r="B1078">
        <v>1</v>
      </c>
    </row>
    <row r="1079" spans="1:2">
      <c r="A1079" t="s">
        <v>9540</v>
      </c>
      <c r="B1079">
        <v>1</v>
      </c>
    </row>
    <row r="1080" spans="1:2">
      <c r="A1080" t="s">
        <v>9539</v>
      </c>
      <c r="B1080">
        <v>1</v>
      </c>
    </row>
    <row r="1081" spans="1:2">
      <c r="A1081" t="s">
        <v>9536</v>
      </c>
      <c r="B1081">
        <v>1</v>
      </c>
    </row>
    <row r="1082" spans="1:2">
      <c r="A1082" t="s">
        <v>9534</v>
      </c>
      <c r="B1082">
        <v>1</v>
      </c>
    </row>
    <row r="1083" spans="1:2">
      <c r="A1083" t="s">
        <v>9533</v>
      </c>
      <c r="B1083">
        <v>1</v>
      </c>
    </row>
    <row r="1084" spans="1:2">
      <c r="A1084" t="s">
        <v>9531</v>
      </c>
      <c r="B1084">
        <v>1</v>
      </c>
    </row>
    <row r="1085" spans="1:2">
      <c r="A1085" t="s">
        <v>9525</v>
      </c>
      <c r="B1085">
        <v>1</v>
      </c>
    </row>
    <row r="1086" spans="1:2">
      <c r="A1086" t="s">
        <v>9523</v>
      </c>
      <c r="B1086">
        <v>1</v>
      </c>
    </row>
    <row r="1087" spans="1:2">
      <c r="A1087" t="s">
        <v>9527</v>
      </c>
      <c r="B1087">
        <v>1</v>
      </c>
    </row>
    <row r="1088" spans="1:2">
      <c r="A1088" t="s">
        <v>9519</v>
      </c>
      <c r="B1088">
        <v>1</v>
      </c>
    </row>
    <row r="1089" spans="1:2">
      <c r="A1089" t="s">
        <v>9517</v>
      </c>
      <c r="B1089">
        <v>1</v>
      </c>
    </row>
    <row r="1090" spans="1:2">
      <c r="A1090" t="s">
        <v>9515</v>
      </c>
      <c r="B1090">
        <v>1</v>
      </c>
    </row>
    <row r="1091" spans="1:2">
      <c r="A1091" t="s">
        <v>9512</v>
      </c>
      <c r="B1091">
        <v>1</v>
      </c>
    </row>
    <row r="1092" spans="1:2">
      <c r="A1092" t="s">
        <v>9508</v>
      </c>
      <c r="B1092">
        <v>1</v>
      </c>
    </row>
    <row r="1093" spans="1:2">
      <c r="A1093" t="s">
        <v>9506</v>
      </c>
      <c r="B1093">
        <v>1</v>
      </c>
    </row>
    <row r="1094" spans="1:2">
      <c r="A1094" t="s">
        <v>9503</v>
      </c>
      <c r="B1094">
        <v>1</v>
      </c>
    </row>
    <row r="1095" spans="1:2">
      <c r="A1095" t="s">
        <v>9501</v>
      </c>
      <c r="B1095">
        <v>1</v>
      </c>
    </row>
    <row r="1096" spans="1:2">
      <c r="A1096" t="s">
        <v>9429</v>
      </c>
      <c r="B1096">
        <v>1</v>
      </c>
    </row>
    <row r="1097" spans="1:2">
      <c r="A1097" t="s">
        <v>9434</v>
      </c>
      <c r="B1097">
        <v>1</v>
      </c>
    </row>
    <row r="1098" spans="1:2">
      <c r="A1098" t="s">
        <v>9422</v>
      </c>
      <c r="B1098">
        <v>1</v>
      </c>
    </row>
    <row r="1099" spans="1:2">
      <c r="A1099" t="s">
        <v>9391</v>
      </c>
      <c r="B1099">
        <v>1</v>
      </c>
    </row>
    <row r="1100" spans="1:2">
      <c r="A1100" t="s">
        <v>9339</v>
      </c>
      <c r="B1100">
        <v>1</v>
      </c>
    </row>
    <row r="1101" spans="1:2">
      <c r="A1101" t="s">
        <v>9357</v>
      </c>
      <c r="B1101">
        <v>1</v>
      </c>
    </row>
    <row r="1102" spans="1:2">
      <c r="A1102" t="s">
        <v>9353</v>
      </c>
      <c r="B1102">
        <v>1</v>
      </c>
    </row>
    <row r="1103" spans="1:2">
      <c r="A1103" t="s">
        <v>9335</v>
      </c>
      <c r="B1103">
        <v>1</v>
      </c>
    </row>
    <row r="1104" spans="1:2">
      <c r="A1104" t="s">
        <v>9349</v>
      </c>
      <c r="B1104">
        <v>1</v>
      </c>
    </row>
    <row r="1105" spans="1:2">
      <c r="A1105" t="s">
        <v>9364</v>
      </c>
      <c r="B1105">
        <v>1</v>
      </c>
    </row>
    <row r="1106" spans="1:2">
      <c r="A1106" t="s">
        <v>9415</v>
      </c>
      <c r="B1106">
        <v>1</v>
      </c>
    </row>
    <row r="1107" spans="1:2">
      <c r="A1107" t="s">
        <v>9413</v>
      </c>
      <c r="B1107">
        <v>1</v>
      </c>
    </row>
    <row r="1108" spans="1:2">
      <c r="A1108" t="s">
        <v>9411</v>
      </c>
      <c r="B1108">
        <v>1</v>
      </c>
    </row>
    <row r="1109" spans="1:2">
      <c r="A1109" t="s">
        <v>9410</v>
      </c>
      <c r="B1109">
        <v>1</v>
      </c>
    </row>
    <row r="1110" spans="1:2">
      <c r="A1110" t="s">
        <v>9408</v>
      </c>
      <c r="B1110">
        <v>1</v>
      </c>
    </row>
    <row r="1111" spans="1:2">
      <c r="A1111" t="s">
        <v>9405</v>
      </c>
      <c r="B1111">
        <v>1</v>
      </c>
    </row>
    <row r="1112" spans="1:2">
      <c r="A1112" t="s">
        <v>9443</v>
      </c>
      <c r="B1112">
        <v>1</v>
      </c>
    </row>
    <row r="1113" spans="1:2">
      <c r="A1113" t="s">
        <v>9426</v>
      </c>
      <c r="B1113">
        <v>1</v>
      </c>
    </row>
    <row r="1114" spans="1:2">
      <c r="A1114" t="s">
        <v>9366</v>
      </c>
      <c r="B1114">
        <v>1</v>
      </c>
    </row>
    <row r="1115" spans="1:2">
      <c r="A1115" t="s">
        <v>9368</v>
      </c>
      <c r="B1115">
        <v>1</v>
      </c>
    </row>
    <row r="1116" spans="1:2">
      <c r="A1116" t="s">
        <v>9371</v>
      </c>
      <c r="B1116">
        <v>1</v>
      </c>
    </row>
    <row r="1117" spans="1:2">
      <c r="A1117" t="s">
        <v>9375</v>
      </c>
      <c r="B1117">
        <v>1</v>
      </c>
    </row>
    <row r="1118" spans="1:2">
      <c r="A1118" t="s">
        <v>9378</v>
      </c>
      <c r="B1118">
        <v>1</v>
      </c>
    </row>
    <row r="1119" spans="1:2">
      <c r="A1119" t="s">
        <v>9380</v>
      </c>
      <c r="B1119">
        <v>1</v>
      </c>
    </row>
    <row r="1120" spans="1:2">
      <c r="A1120" t="s">
        <v>9383</v>
      </c>
      <c r="B1120">
        <v>1</v>
      </c>
    </row>
    <row r="1121" spans="1:2">
      <c r="A1121" t="s">
        <v>9386</v>
      </c>
      <c r="B1121">
        <v>1</v>
      </c>
    </row>
    <row r="1122" spans="1:2">
      <c r="A1122" t="s">
        <v>9389</v>
      </c>
      <c r="B1122">
        <v>1</v>
      </c>
    </row>
    <row r="1123" spans="1:2">
      <c r="A1123" t="s">
        <v>9394</v>
      </c>
      <c r="B1123">
        <v>1</v>
      </c>
    </row>
    <row r="1124" spans="1:2">
      <c r="A1124" t="s">
        <v>9419</v>
      </c>
      <c r="B1124">
        <v>1</v>
      </c>
    </row>
    <row r="1125" spans="1:2">
      <c r="A1125" t="s">
        <v>9397</v>
      </c>
      <c r="B1125">
        <v>1</v>
      </c>
    </row>
    <row r="1126" spans="1:2">
      <c r="A1126" t="s">
        <v>9400</v>
      </c>
      <c r="B1126">
        <v>1</v>
      </c>
    </row>
    <row r="1127" spans="1:2">
      <c r="A1127" t="s">
        <v>9402</v>
      </c>
      <c r="B1127">
        <v>1</v>
      </c>
    </row>
    <row r="1128" spans="1:2">
      <c r="A1128" t="s">
        <v>9976</v>
      </c>
      <c r="B1128">
        <v>1</v>
      </c>
    </row>
    <row r="1129" spans="1:2">
      <c r="A1129" t="s">
        <v>9969</v>
      </c>
      <c r="B1129">
        <v>1</v>
      </c>
    </row>
    <row r="1130" spans="1:2">
      <c r="A1130" t="s">
        <v>9965</v>
      </c>
      <c r="B1130">
        <v>1</v>
      </c>
    </row>
    <row r="1131" spans="1:2">
      <c r="A1131" t="s">
        <v>9958</v>
      </c>
      <c r="B1131">
        <v>1</v>
      </c>
    </row>
    <row r="1132" spans="1:2">
      <c r="A1132" t="s">
        <v>9955</v>
      </c>
      <c r="B1132">
        <v>1</v>
      </c>
    </row>
    <row r="1133" spans="1:2">
      <c r="A1133" t="s">
        <v>9961</v>
      </c>
      <c r="B1133">
        <v>1</v>
      </c>
    </row>
    <row r="1134" spans="1:2">
      <c r="A1134" t="s">
        <v>9717</v>
      </c>
      <c r="B1134">
        <v>1</v>
      </c>
    </row>
    <row r="1135" spans="1:2">
      <c r="A1135" t="s">
        <v>9713</v>
      </c>
      <c r="B1135">
        <v>1</v>
      </c>
    </row>
    <row r="1136" spans="1:2">
      <c r="A1136" t="s">
        <v>9709</v>
      </c>
      <c r="B1136">
        <v>1</v>
      </c>
    </row>
    <row r="1137" spans="1:2">
      <c r="A1137" t="s">
        <v>9705</v>
      </c>
      <c r="B1137">
        <v>1</v>
      </c>
    </row>
    <row r="1138" spans="1:2">
      <c r="A1138" t="s">
        <v>9715</v>
      </c>
      <c r="B1138">
        <v>1</v>
      </c>
    </row>
    <row r="1139" spans="1:2">
      <c r="A1139" t="s">
        <v>10058</v>
      </c>
      <c r="B1139">
        <v>1</v>
      </c>
    </row>
    <row r="1140" spans="1:2">
      <c r="A1140" t="s">
        <v>10078</v>
      </c>
      <c r="B1140">
        <v>1</v>
      </c>
    </row>
    <row r="1141" spans="1:2">
      <c r="A1141" t="s">
        <v>10062</v>
      </c>
      <c r="B1141">
        <v>1</v>
      </c>
    </row>
    <row r="1142" spans="1:2">
      <c r="A1142" t="s">
        <v>10066</v>
      </c>
      <c r="B1142">
        <v>1</v>
      </c>
    </row>
    <row r="1143" spans="1:2">
      <c r="A1143" t="s">
        <v>10069</v>
      </c>
      <c r="B1143">
        <v>1</v>
      </c>
    </row>
    <row r="1144" spans="1:2">
      <c r="A1144" t="s">
        <v>10072</v>
      </c>
      <c r="B1144">
        <v>1</v>
      </c>
    </row>
    <row r="1145" spans="1:2">
      <c r="A1145" t="s">
        <v>10075</v>
      </c>
      <c r="B1145">
        <v>1</v>
      </c>
    </row>
    <row r="1146" spans="1:2">
      <c r="A1146" t="s">
        <v>10055</v>
      </c>
      <c r="B1146">
        <v>1</v>
      </c>
    </row>
    <row r="1147" spans="1:2">
      <c r="A1147" t="s">
        <v>10082</v>
      </c>
      <c r="B1147">
        <v>1</v>
      </c>
    </row>
    <row r="1148" spans="1:2">
      <c r="A1148" t="s">
        <v>10093</v>
      </c>
      <c r="B1148">
        <v>1</v>
      </c>
    </row>
    <row r="1149" spans="1:2">
      <c r="A1149" t="s">
        <v>10090</v>
      </c>
      <c r="B1149">
        <v>1</v>
      </c>
    </row>
    <row r="1150" spans="1:2">
      <c r="A1150" t="s">
        <v>10086</v>
      </c>
      <c r="B1150">
        <v>1</v>
      </c>
    </row>
    <row r="1151" spans="1:2">
      <c r="A1151" t="s">
        <v>10111</v>
      </c>
      <c r="B1151">
        <v>1</v>
      </c>
    </row>
    <row r="1152" spans="1:2">
      <c r="A1152" t="s">
        <v>10106</v>
      </c>
      <c r="B1152">
        <v>1</v>
      </c>
    </row>
    <row r="1153" spans="1:2">
      <c r="A1153" t="s">
        <v>10096</v>
      </c>
      <c r="B1153">
        <v>1</v>
      </c>
    </row>
    <row r="1154" spans="1:2">
      <c r="A1154" t="s">
        <v>10107</v>
      </c>
      <c r="B1154">
        <v>1</v>
      </c>
    </row>
    <row r="1155" spans="1:2">
      <c r="A1155" t="s">
        <v>10263</v>
      </c>
      <c r="B1155">
        <v>1</v>
      </c>
    </row>
    <row r="1156" spans="1:2">
      <c r="A1156" t="s">
        <v>10265</v>
      </c>
      <c r="B1156">
        <v>1</v>
      </c>
    </row>
    <row r="1157" spans="1:2">
      <c r="A1157" t="s">
        <v>10246</v>
      </c>
      <c r="B1157">
        <v>1</v>
      </c>
    </row>
    <row r="1158" spans="1:2">
      <c r="A1158" t="s">
        <v>10270</v>
      </c>
      <c r="B1158">
        <v>1</v>
      </c>
    </row>
    <row r="1159" spans="1:2">
      <c r="A1159" t="s">
        <v>10251</v>
      </c>
      <c r="B1159">
        <v>1</v>
      </c>
    </row>
    <row r="1160" spans="1:2">
      <c r="A1160" t="s">
        <v>10255</v>
      </c>
      <c r="B1160">
        <v>1</v>
      </c>
    </row>
    <row r="1161" spans="1:2">
      <c r="A1161" t="s">
        <v>10261</v>
      </c>
      <c r="B1161">
        <v>1</v>
      </c>
    </row>
    <row r="1162" spans="1:2">
      <c r="A1162" t="s">
        <v>9756</v>
      </c>
      <c r="B1162">
        <v>1</v>
      </c>
    </row>
    <row r="1163" spans="1:2">
      <c r="A1163" t="s">
        <v>9759</v>
      </c>
      <c r="B1163">
        <v>1</v>
      </c>
    </row>
    <row r="1164" spans="1:2">
      <c r="A1164" t="s">
        <v>9762</v>
      </c>
      <c r="B1164">
        <v>1</v>
      </c>
    </row>
    <row r="1165" spans="1:2">
      <c r="A1165" t="s">
        <v>9764</v>
      </c>
      <c r="B1165">
        <v>1</v>
      </c>
    </row>
    <row r="1166" spans="1:2">
      <c r="A1166" t="s">
        <v>9752</v>
      </c>
      <c r="B1166">
        <v>1</v>
      </c>
    </row>
    <row r="1167" spans="1:2">
      <c r="A1167" t="s">
        <v>9768</v>
      </c>
      <c r="B1167">
        <v>1</v>
      </c>
    </row>
    <row r="1168" spans="1:2">
      <c r="A1168" t="s">
        <v>9774</v>
      </c>
      <c r="B1168">
        <v>1</v>
      </c>
    </row>
    <row r="1169" spans="1:2">
      <c r="A1169" t="s">
        <v>9770</v>
      </c>
      <c r="B1169">
        <v>1</v>
      </c>
    </row>
    <row r="1170" spans="1:2">
      <c r="A1170" t="s">
        <v>10527</v>
      </c>
      <c r="B1170">
        <v>1</v>
      </c>
    </row>
    <row r="1171" spans="1:2">
      <c r="A1171" t="s">
        <v>10523</v>
      </c>
      <c r="B1171">
        <v>1</v>
      </c>
    </row>
    <row r="1172" spans="1:2">
      <c r="A1172" t="s">
        <v>10536</v>
      </c>
      <c r="B1172">
        <v>1</v>
      </c>
    </row>
    <row r="1173" spans="1:2">
      <c r="A1173" t="s">
        <v>10519</v>
      </c>
      <c r="B1173">
        <v>1</v>
      </c>
    </row>
    <row r="1174" spans="1:2">
      <c r="A1174" t="s">
        <v>10532</v>
      </c>
      <c r="B1174">
        <v>1</v>
      </c>
    </row>
    <row r="1175" spans="1:2">
      <c r="A1175" t="s">
        <v>10670</v>
      </c>
      <c r="B1175">
        <v>1</v>
      </c>
    </row>
    <row r="1176" spans="1:2">
      <c r="A1176" t="s">
        <v>10666</v>
      </c>
      <c r="B1176">
        <v>1</v>
      </c>
    </row>
    <row r="1177" spans="1:2">
      <c r="A1177" t="s">
        <v>10643</v>
      </c>
      <c r="B1177">
        <v>1</v>
      </c>
    </row>
    <row r="1178" spans="1:2">
      <c r="A1178" t="s">
        <v>10664</v>
      </c>
      <c r="B1178">
        <v>1</v>
      </c>
    </row>
    <row r="1179" spans="1:2">
      <c r="A1179" t="s">
        <v>10661</v>
      </c>
      <c r="B1179">
        <v>1</v>
      </c>
    </row>
    <row r="1180" spans="1:2">
      <c r="A1180" t="s">
        <v>10657</v>
      </c>
      <c r="B1180">
        <v>1</v>
      </c>
    </row>
    <row r="1181" spans="1:2">
      <c r="A1181" t="s">
        <v>10653</v>
      </c>
      <c r="B1181">
        <v>1</v>
      </c>
    </row>
    <row r="1182" spans="1:2">
      <c r="A1182" t="s">
        <v>10649</v>
      </c>
      <c r="B1182">
        <v>1</v>
      </c>
    </row>
    <row r="1183" spans="1:2">
      <c r="A1183" t="s">
        <v>10640</v>
      </c>
      <c r="B1183">
        <v>1</v>
      </c>
    </row>
    <row r="1184" spans="1:2">
      <c r="A1184" t="s">
        <v>10674</v>
      </c>
      <c r="B1184">
        <v>1</v>
      </c>
    </row>
    <row r="1185" spans="1:2">
      <c r="A1185" t="s">
        <v>9805</v>
      </c>
      <c r="B1185">
        <v>1</v>
      </c>
    </row>
    <row r="1186" spans="1:2">
      <c r="A1186" t="s">
        <v>9801</v>
      </c>
      <c r="B1186">
        <v>1</v>
      </c>
    </row>
    <row r="1187" spans="1:2">
      <c r="A1187" t="s">
        <v>9793</v>
      </c>
      <c r="B1187">
        <v>1</v>
      </c>
    </row>
    <row r="1188" spans="1:2">
      <c r="A1188" t="s">
        <v>9789</v>
      </c>
      <c r="B1188">
        <v>1</v>
      </c>
    </row>
    <row r="1189" spans="1:2">
      <c r="A1189" t="s">
        <v>9785</v>
      </c>
      <c r="B1189">
        <v>1</v>
      </c>
    </row>
    <row r="1190" spans="1:2">
      <c r="A1190" t="s">
        <v>9780</v>
      </c>
      <c r="B1190">
        <v>1</v>
      </c>
    </row>
    <row r="1191" spans="1:2">
      <c r="A1191" t="s">
        <v>9777</v>
      </c>
      <c r="B1191">
        <v>1</v>
      </c>
    </row>
    <row r="1192" spans="1:2">
      <c r="A1192" t="s">
        <v>9796</v>
      </c>
      <c r="B1192">
        <v>1</v>
      </c>
    </row>
    <row r="1193" spans="1:2">
      <c r="A1193" t="s">
        <v>9807</v>
      </c>
      <c r="B1193">
        <v>1</v>
      </c>
    </row>
    <row r="1194" spans="1:2">
      <c r="A1194" t="s">
        <v>11776</v>
      </c>
      <c r="B1194">
        <v>1</v>
      </c>
    </row>
    <row r="1195" spans="1:2">
      <c r="A1195" t="s">
        <v>11773</v>
      </c>
      <c r="B1195">
        <v>1</v>
      </c>
    </row>
    <row r="1196" spans="1:2">
      <c r="A1196" t="s">
        <v>11792</v>
      </c>
      <c r="B1196">
        <v>1</v>
      </c>
    </row>
    <row r="1197" spans="1:2">
      <c r="A1197" t="s">
        <v>11789</v>
      </c>
      <c r="B1197">
        <v>1</v>
      </c>
    </row>
    <row r="1198" spans="1:2">
      <c r="A1198" t="s">
        <v>11783</v>
      </c>
      <c r="B1198">
        <v>1</v>
      </c>
    </row>
    <row r="1199" spans="1:2">
      <c r="A1199" t="s">
        <v>11780</v>
      </c>
      <c r="B1199">
        <v>1</v>
      </c>
    </row>
    <row r="1200" spans="1:2">
      <c r="A1200" t="s">
        <v>12136</v>
      </c>
      <c r="B1200">
        <v>1</v>
      </c>
    </row>
    <row r="1201" spans="1:2">
      <c r="A1201" t="s">
        <v>12134</v>
      </c>
      <c r="B1201">
        <v>1</v>
      </c>
    </row>
    <row r="1202" spans="1:2">
      <c r="A1202" t="s">
        <v>12130</v>
      </c>
      <c r="B1202">
        <v>1</v>
      </c>
    </row>
    <row r="1203" spans="1:2">
      <c r="A1203" t="s">
        <v>12128</v>
      </c>
      <c r="B1203">
        <v>1</v>
      </c>
    </row>
    <row r="1204" spans="1:2">
      <c r="A1204" t="s">
        <v>12124</v>
      </c>
      <c r="B1204">
        <v>1</v>
      </c>
    </row>
    <row r="1205" spans="1:2">
      <c r="A1205" t="s">
        <v>12119</v>
      </c>
      <c r="B1205">
        <v>1</v>
      </c>
    </row>
    <row r="1206" spans="1:2">
      <c r="A1206" t="s">
        <v>12122</v>
      </c>
      <c r="B1206">
        <v>1</v>
      </c>
    </row>
    <row r="1207" spans="1:2">
      <c r="A1207" t="s">
        <v>12183</v>
      </c>
      <c r="B1207">
        <v>1</v>
      </c>
    </row>
    <row r="1208" spans="1:2">
      <c r="A1208" t="s">
        <v>12186</v>
      </c>
      <c r="B1208">
        <v>1</v>
      </c>
    </row>
    <row r="1209" spans="1:2">
      <c r="A1209" t="s">
        <v>12189</v>
      </c>
      <c r="B1209">
        <v>1</v>
      </c>
    </row>
    <row r="1210" spans="1:2">
      <c r="A1210" t="s">
        <v>12179</v>
      </c>
      <c r="B1210">
        <v>1</v>
      </c>
    </row>
    <row r="1211" spans="1:2">
      <c r="A1211" t="s">
        <v>12253</v>
      </c>
      <c r="B1211">
        <v>1</v>
      </c>
    </row>
    <row r="1212" spans="1:2">
      <c r="A1212" t="s">
        <v>12194</v>
      </c>
      <c r="B1212">
        <v>1</v>
      </c>
    </row>
    <row r="1213" spans="1:2">
      <c r="A1213" t="s">
        <v>12243</v>
      </c>
      <c r="B1213">
        <v>1</v>
      </c>
    </row>
    <row r="1214" spans="1:2">
      <c r="A1214" t="s">
        <v>12201</v>
      </c>
      <c r="B1214">
        <v>1</v>
      </c>
    </row>
    <row r="1215" spans="1:2">
      <c r="A1215" t="s">
        <v>12204</v>
      </c>
      <c r="B1215">
        <v>1</v>
      </c>
    </row>
    <row r="1216" spans="1:2">
      <c r="A1216" t="s">
        <v>12208</v>
      </c>
      <c r="B1216">
        <v>1</v>
      </c>
    </row>
    <row r="1217" spans="1:2">
      <c r="A1217" t="s">
        <v>12212</v>
      </c>
      <c r="B1217">
        <v>1</v>
      </c>
    </row>
    <row r="1218" spans="1:2">
      <c r="A1218" t="s">
        <v>12215</v>
      </c>
      <c r="B1218">
        <v>1</v>
      </c>
    </row>
    <row r="1219" spans="1:2">
      <c r="A1219" t="s">
        <v>12198</v>
      </c>
      <c r="B1219">
        <v>1</v>
      </c>
    </row>
    <row r="1220" spans="1:2">
      <c r="A1220" t="s">
        <v>12222</v>
      </c>
      <c r="B1220">
        <v>1</v>
      </c>
    </row>
    <row r="1221" spans="1:2">
      <c r="A1221" t="s">
        <v>12227</v>
      </c>
      <c r="B1221">
        <v>1</v>
      </c>
    </row>
    <row r="1222" spans="1:2">
      <c r="A1222" t="s">
        <v>12231</v>
      </c>
      <c r="B1222">
        <v>1</v>
      </c>
    </row>
    <row r="1223" spans="1:2">
      <c r="A1223" t="s">
        <v>12234</v>
      </c>
      <c r="B1223">
        <v>1</v>
      </c>
    </row>
    <row r="1224" spans="1:2">
      <c r="A1224" t="s">
        <v>12238</v>
      </c>
      <c r="B1224">
        <v>1</v>
      </c>
    </row>
    <row r="1225" spans="1:2">
      <c r="A1225" t="s">
        <v>12282</v>
      </c>
      <c r="B1225">
        <v>1</v>
      </c>
    </row>
    <row r="1226" spans="1:2">
      <c r="A1226" t="s">
        <v>12240</v>
      </c>
      <c r="B1226">
        <v>1</v>
      </c>
    </row>
    <row r="1227" spans="1:2">
      <c r="A1227" t="s">
        <v>12248</v>
      </c>
      <c r="B1227">
        <v>1</v>
      </c>
    </row>
    <row r="1228" spans="1:2">
      <c r="A1228" t="s">
        <v>12259</v>
      </c>
      <c r="B1228">
        <v>1</v>
      </c>
    </row>
    <row r="1229" spans="1:2">
      <c r="A1229" t="s">
        <v>12257</v>
      </c>
      <c r="B1229">
        <v>1</v>
      </c>
    </row>
    <row r="1230" spans="1:2">
      <c r="A1230" t="s">
        <v>12263</v>
      </c>
      <c r="B1230">
        <v>1</v>
      </c>
    </row>
    <row r="1231" spans="1:2">
      <c r="A1231" t="s">
        <v>12267</v>
      </c>
      <c r="B1231">
        <v>1</v>
      </c>
    </row>
    <row r="1232" spans="1:2">
      <c r="A1232" t="s">
        <v>12271</v>
      </c>
      <c r="B1232">
        <v>1</v>
      </c>
    </row>
    <row r="1233" spans="1:2">
      <c r="A1233" t="s">
        <v>12275</v>
      </c>
      <c r="B1233">
        <v>1</v>
      </c>
    </row>
    <row r="1234" spans="1:2">
      <c r="A1234" t="s">
        <v>12280</v>
      </c>
      <c r="B1234">
        <v>1</v>
      </c>
    </row>
    <row r="1235" spans="1:2">
      <c r="A1235" t="s">
        <v>12286</v>
      </c>
      <c r="B1235">
        <v>1</v>
      </c>
    </row>
    <row r="1236" spans="1:2">
      <c r="A1236" t="s">
        <v>12288</v>
      </c>
      <c r="B1236">
        <v>1</v>
      </c>
    </row>
    <row r="1237" spans="1:2">
      <c r="A1237" t="s">
        <v>12292</v>
      </c>
      <c r="B1237">
        <v>1</v>
      </c>
    </row>
    <row r="1238" spans="1:2">
      <c r="A1238" t="s">
        <v>12797</v>
      </c>
      <c r="B1238">
        <v>1</v>
      </c>
    </row>
    <row r="1239" spans="1:2">
      <c r="A1239" t="s">
        <v>12794</v>
      </c>
      <c r="B1239">
        <v>1</v>
      </c>
    </row>
    <row r="1240" spans="1:2">
      <c r="A1240" t="s">
        <v>12790</v>
      </c>
      <c r="B1240">
        <v>1</v>
      </c>
    </row>
    <row r="1241" spans="1:2">
      <c r="A1241" t="s">
        <v>12787</v>
      </c>
      <c r="B1241">
        <v>1</v>
      </c>
    </row>
    <row r="1242" spans="1:2">
      <c r="A1242" t="s">
        <v>12784</v>
      </c>
      <c r="B1242">
        <v>1</v>
      </c>
    </row>
    <row r="1243" spans="1:2">
      <c r="A1243" t="s">
        <v>12781</v>
      </c>
      <c r="B1243">
        <v>1</v>
      </c>
    </row>
    <row r="1244" spans="1:2">
      <c r="A1244" t="s">
        <v>12777</v>
      </c>
      <c r="B1244">
        <v>1</v>
      </c>
    </row>
    <row r="1245" spans="1:2">
      <c r="A1245" t="s">
        <v>12774</v>
      </c>
      <c r="B1245">
        <v>1</v>
      </c>
    </row>
    <row r="1246" spans="1:2">
      <c r="A1246" t="s">
        <v>12771</v>
      </c>
      <c r="B1246">
        <v>1</v>
      </c>
    </row>
    <row r="1247" spans="1:2">
      <c r="A1247" t="s">
        <v>12768</v>
      </c>
      <c r="B1247">
        <v>1</v>
      </c>
    </row>
    <row r="1248" spans="1:2">
      <c r="A1248" t="s">
        <v>12800</v>
      </c>
      <c r="B1248">
        <v>1</v>
      </c>
    </row>
    <row r="1249" spans="1:2">
      <c r="A1249" t="s">
        <v>12758</v>
      </c>
      <c r="B1249">
        <v>1</v>
      </c>
    </row>
    <row r="1250" spans="1:2">
      <c r="A1250" t="s">
        <v>12751</v>
      </c>
      <c r="B1250">
        <v>1</v>
      </c>
    </row>
    <row r="1251" spans="1:2">
      <c r="A1251" t="s">
        <v>12747</v>
      </c>
      <c r="B1251">
        <v>1</v>
      </c>
    </row>
    <row r="1252" spans="1:2">
      <c r="A1252" t="s">
        <v>12744</v>
      </c>
      <c r="B1252">
        <v>1</v>
      </c>
    </row>
    <row r="1253" spans="1:2">
      <c r="A1253" t="s">
        <v>12741</v>
      </c>
      <c r="B1253">
        <v>1</v>
      </c>
    </row>
    <row r="1254" spans="1:2">
      <c r="A1254" t="s">
        <v>12738</v>
      </c>
      <c r="B1254">
        <v>1</v>
      </c>
    </row>
    <row r="1255" spans="1:2">
      <c r="A1255" t="s">
        <v>12733</v>
      </c>
      <c r="B1255">
        <v>1</v>
      </c>
    </row>
    <row r="1256" spans="1:2">
      <c r="A1256" t="s">
        <v>12730</v>
      </c>
      <c r="B1256">
        <v>1</v>
      </c>
    </row>
    <row r="1257" spans="1:2">
      <c r="A1257" t="s">
        <v>12727</v>
      </c>
      <c r="B1257">
        <v>1</v>
      </c>
    </row>
    <row r="1258" spans="1:2">
      <c r="A1258" t="s">
        <v>12761</v>
      </c>
      <c r="B1258">
        <v>1</v>
      </c>
    </row>
    <row r="1259" spans="1:2">
      <c r="A1259" t="s">
        <v>12804</v>
      </c>
      <c r="B1259">
        <v>1</v>
      </c>
    </row>
    <row r="1260" spans="1:2">
      <c r="A1260" t="s">
        <v>12808</v>
      </c>
      <c r="B1260">
        <v>1</v>
      </c>
    </row>
    <row r="1261" spans="1:2">
      <c r="A1261" t="s">
        <v>12812</v>
      </c>
      <c r="B1261">
        <v>1</v>
      </c>
    </row>
    <row r="1262" spans="1:2">
      <c r="A1262" t="s">
        <v>12872</v>
      </c>
      <c r="B1262">
        <v>1</v>
      </c>
    </row>
    <row r="1263" spans="1:2">
      <c r="A1263" t="s">
        <v>12868</v>
      </c>
      <c r="B1263">
        <v>1</v>
      </c>
    </row>
    <row r="1264" spans="1:2">
      <c r="A1264" t="s">
        <v>12864</v>
      </c>
      <c r="B1264">
        <v>1</v>
      </c>
    </row>
    <row r="1265" spans="1:2">
      <c r="A1265" t="s">
        <v>12861</v>
      </c>
      <c r="B1265">
        <v>1</v>
      </c>
    </row>
    <row r="1266" spans="1:2">
      <c r="A1266" t="s">
        <v>12860</v>
      </c>
      <c r="B1266">
        <v>1</v>
      </c>
    </row>
    <row r="1267" spans="1:2">
      <c r="A1267" t="s">
        <v>12858</v>
      </c>
      <c r="B1267">
        <v>1</v>
      </c>
    </row>
    <row r="1268" spans="1:2">
      <c r="A1268" t="s">
        <v>12856</v>
      </c>
      <c r="B1268">
        <v>1</v>
      </c>
    </row>
    <row r="1269" spans="1:2">
      <c r="A1269" t="s">
        <v>12854</v>
      </c>
      <c r="B1269">
        <v>1</v>
      </c>
    </row>
    <row r="1270" spans="1:2">
      <c r="A1270" t="s">
        <v>12851</v>
      </c>
      <c r="B1270">
        <v>1</v>
      </c>
    </row>
    <row r="1271" spans="1:2">
      <c r="A1271" t="s">
        <v>12848</v>
      </c>
      <c r="B1271">
        <v>1</v>
      </c>
    </row>
    <row r="1272" spans="1:2">
      <c r="A1272" t="s">
        <v>12845</v>
      </c>
      <c r="B1272">
        <v>1</v>
      </c>
    </row>
    <row r="1273" spans="1:2">
      <c r="A1273" t="s">
        <v>12840</v>
      </c>
      <c r="B1273">
        <v>1</v>
      </c>
    </row>
    <row r="1274" spans="1:2">
      <c r="A1274" t="s">
        <v>12837</v>
      </c>
      <c r="B1274">
        <v>1</v>
      </c>
    </row>
    <row r="1275" spans="1:2">
      <c r="A1275" t="s">
        <v>12834</v>
      </c>
      <c r="B1275">
        <v>1</v>
      </c>
    </row>
    <row r="1276" spans="1:2">
      <c r="A1276" t="s">
        <v>12832</v>
      </c>
      <c r="B1276">
        <v>1</v>
      </c>
    </row>
    <row r="1277" spans="1:2">
      <c r="A1277" t="s">
        <v>12830</v>
      </c>
      <c r="B1277">
        <v>1</v>
      </c>
    </row>
    <row r="1278" spans="1:2">
      <c r="A1278" t="s">
        <v>12828</v>
      </c>
      <c r="B1278">
        <v>1</v>
      </c>
    </row>
    <row r="1279" spans="1:2">
      <c r="A1279" t="s">
        <v>12825</v>
      </c>
      <c r="B1279">
        <v>1</v>
      </c>
    </row>
    <row r="1280" spans="1:2">
      <c r="A1280" t="s">
        <v>12823</v>
      </c>
      <c r="B1280">
        <v>1</v>
      </c>
    </row>
    <row r="1281" spans="1:2">
      <c r="A1281" t="s">
        <v>12820</v>
      </c>
      <c r="B1281">
        <v>1</v>
      </c>
    </row>
    <row r="1282" spans="1:2">
      <c r="A1282" t="s">
        <v>12817</v>
      </c>
      <c r="B1282">
        <v>1</v>
      </c>
    </row>
    <row r="1283" spans="1:2">
      <c r="A1283" t="s">
        <v>12815</v>
      </c>
      <c r="B1283">
        <v>1</v>
      </c>
    </row>
    <row r="1284" spans="1:2">
      <c r="A1284" t="s">
        <v>12725</v>
      </c>
      <c r="B1284">
        <v>1</v>
      </c>
    </row>
    <row r="1285" spans="1:2">
      <c r="A1285" t="s">
        <v>12722</v>
      </c>
      <c r="B1285">
        <v>1</v>
      </c>
    </row>
    <row r="1286" spans="1:2">
      <c r="A1286" t="s">
        <v>12720</v>
      </c>
      <c r="B1286">
        <v>1</v>
      </c>
    </row>
    <row r="1287" spans="1:2">
      <c r="A1287" t="s">
        <v>12630</v>
      </c>
      <c r="B1287">
        <v>1</v>
      </c>
    </row>
    <row r="1288" spans="1:2">
      <c r="A1288" t="s">
        <v>12625</v>
      </c>
      <c r="B1288">
        <v>1</v>
      </c>
    </row>
    <row r="1289" spans="1:2">
      <c r="A1289" t="s">
        <v>12623</v>
      </c>
      <c r="B1289">
        <v>1</v>
      </c>
    </row>
    <row r="1290" spans="1:2">
      <c r="A1290" t="s">
        <v>12620</v>
      </c>
      <c r="B1290">
        <v>1</v>
      </c>
    </row>
    <row r="1291" spans="1:2">
      <c r="A1291" t="s">
        <v>12618</v>
      </c>
      <c r="B1291">
        <v>1</v>
      </c>
    </row>
    <row r="1292" spans="1:2">
      <c r="A1292" t="s">
        <v>12616</v>
      </c>
      <c r="B1292">
        <v>1</v>
      </c>
    </row>
    <row r="1293" spans="1:2">
      <c r="A1293" t="s">
        <v>12614</v>
      </c>
      <c r="B1293">
        <v>1</v>
      </c>
    </row>
    <row r="1294" spans="1:2">
      <c r="A1294" t="s">
        <v>12612</v>
      </c>
      <c r="B1294">
        <v>1</v>
      </c>
    </row>
    <row r="1295" spans="1:2">
      <c r="A1295" t="s">
        <v>12609</v>
      </c>
      <c r="B1295">
        <v>1</v>
      </c>
    </row>
    <row r="1296" spans="1:2">
      <c r="A1296" t="s">
        <v>12607</v>
      </c>
      <c r="B1296">
        <v>1</v>
      </c>
    </row>
    <row r="1297" spans="1:2">
      <c r="A1297" t="s">
        <v>12604</v>
      </c>
      <c r="B1297">
        <v>1</v>
      </c>
    </row>
    <row r="1298" spans="1:2">
      <c r="A1298" t="s">
        <v>12627</v>
      </c>
      <c r="B1298">
        <v>1</v>
      </c>
    </row>
    <row r="1299" spans="1:2">
      <c r="A1299" t="s">
        <v>12601</v>
      </c>
      <c r="B1299">
        <v>1</v>
      </c>
    </row>
    <row r="1300" spans="1:2">
      <c r="A1300" t="s">
        <v>12595</v>
      </c>
      <c r="B1300">
        <v>1</v>
      </c>
    </row>
    <row r="1301" spans="1:2">
      <c r="A1301" t="s">
        <v>12593</v>
      </c>
      <c r="B1301">
        <v>1</v>
      </c>
    </row>
    <row r="1302" spans="1:2">
      <c r="A1302" t="s">
        <v>12590</v>
      </c>
      <c r="B1302">
        <v>1</v>
      </c>
    </row>
    <row r="1303" spans="1:2">
      <c r="A1303" t="s">
        <v>12588</v>
      </c>
      <c r="B1303">
        <v>1</v>
      </c>
    </row>
    <row r="1304" spans="1:2">
      <c r="A1304" t="s">
        <v>12582</v>
      </c>
      <c r="B1304">
        <v>1</v>
      </c>
    </row>
    <row r="1305" spans="1:2">
      <c r="A1305" t="s">
        <v>12579</v>
      </c>
      <c r="B1305">
        <v>1</v>
      </c>
    </row>
    <row r="1306" spans="1:2">
      <c r="A1306" t="s">
        <v>12576</v>
      </c>
      <c r="B1306">
        <v>1</v>
      </c>
    </row>
    <row r="1307" spans="1:2">
      <c r="A1307" t="s">
        <v>12570</v>
      </c>
      <c r="B1307">
        <v>1</v>
      </c>
    </row>
    <row r="1308" spans="1:2">
      <c r="A1308" t="s">
        <v>12598</v>
      </c>
      <c r="B1308">
        <v>1</v>
      </c>
    </row>
    <row r="1309" spans="1:2">
      <c r="A1309" t="s">
        <v>12632</v>
      </c>
      <c r="B1309">
        <v>1</v>
      </c>
    </row>
    <row r="1310" spans="1:2">
      <c r="A1310" t="s">
        <v>12676</v>
      </c>
      <c r="B1310">
        <v>1</v>
      </c>
    </row>
    <row r="1311" spans="1:2">
      <c r="A1311" t="s">
        <v>12636</v>
      </c>
      <c r="B1311">
        <v>1</v>
      </c>
    </row>
    <row r="1312" spans="1:2">
      <c r="A1312" t="s">
        <v>12703</v>
      </c>
      <c r="B1312">
        <v>1</v>
      </c>
    </row>
    <row r="1313" spans="1:2">
      <c r="A1313" t="s">
        <v>12699</v>
      </c>
      <c r="B1313">
        <v>1</v>
      </c>
    </row>
    <row r="1314" spans="1:2">
      <c r="A1314" t="s">
        <v>12691</v>
      </c>
      <c r="B1314">
        <v>1</v>
      </c>
    </row>
    <row r="1315" spans="1:2">
      <c r="A1315" t="s">
        <v>12880</v>
      </c>
      <c r="B1315">
        <v>1</v>
      </c>
    </row>
    <row r="1316" spans="1:2">
      <c r="A1316" t="s">
        <v>12684</v>
      </c>
      <c r="B1316">
        <v>1</v>
      </c>
    </row>
    <row r="1317" spans="1:2">
      <c r="A1317" t="s">
        <v>12680</v>
      </c>
      <c r="B1317">
        <v>1</v>
      </c>
    </row>
    <row r="1318" spans="1:2">
      <c r="A1318" t="s">
        <v>12672</v>
      </c>
      <c r="B1318">
        <v>1</v>
      </c>
    </row>
    <row r="1319" spans="1:2">
      <c r="A1319" t="s">
        <v>12665</v>
      </c>
      <c r="B1319">
        <v>1</v>
      </c>
    </row>
    <row r="1320" spans="1:2">
      <c r="A1320" t="s">
        <v>12652</v>
      </c>
      <c r="B1320">
        <v>1</v>
      </c>
    </row>
    <row r="1321" spans="1:2">
      <c r="A1321" t="s">
        <v>12648</v>
      </c>
      <c r="B1321">
        <v>1</v>
      </c>
    </row>
    <row r="1322" spans="1:2">
      <c r="A1322" t="s">
        <v>12644</v>
      </c>
      <c r="B1322">
        <v>1</v>
      </c>
    </row>
    <row r="1323" spans="1:2">
      <c r="A1323" t="s">
        <v>12640</v>
      </c>
      <c r="B1323">
        <v>1</v>
      </c>
    </row>
    <row r="1324" spans="1:2">
      <c r="A1324" t="s">
        <v>12873</v>
      </c>
      <c r="B1324">
        <v>1</v>
      </c>
    </row>
    <row r="1325" spans="1:2">
      <c r="A1325" t="s">
        <v>12876</v>
      </c>
      <c r="B1325">
        <v>1</v>
      </c>
    </row>
    <row r="1326" spans="1:2">
      <c r="A1326" t="s">
        <v>12938</v>
      </c>
      <c r="B1326">
        <v>1</v>
      </c>
    </row>
    <row r="1327" spans="1:2">
      <c r="A1327" t="s">
        <v>12934</v>
      </c>
      <c r="B1327">
        <v>1</v>
      </c>
    </row>
    <row r="1328" spans="1:2">
      <c r="A1328" t="s">
        <v>12950</v>
      </c>
      <c r="B1328">
        <v>1</v>
      </c>
    </row>
    <row r="1329" spans="1:2">
      <c r="A1329" t="s">
        <v>12966</v>
      </c>
      <c r="B1329">
        <v>1</v>
      </c>
    </row>
    <row r="1330" spans="1:2">
      <c r="A1330" t="s">
        <v>12959</v>
      </c>
      <c r="B1330">
        <v>1</v>
      </c>
    </row>
    <row r="1331" spans="1:2">
      <c r="A1331" t="s">
        <v>12930</v>
      </c>
      <c r="B1331">
        <v>1</v>
      </c>
    </row>
    <row r="1332" spans="1:2">
      <c r="A1332" t="s">
        <v>12884</v>
      </c>
      <c r="B1332">
        <v>1</v>
      </c>
    </row>
    <row r="1333" spans="1:2">
      <c r="A1333" t="s">
        <v>12923</v>
      </c>
      <c r="B1333">
        <v>1</v>
      </c>
    </row>
    <row r="1334" spans="1:2">
      <c r="A1334" t="s">
        <v>12892</v>
      </c>
      <c r="B1334">
        <v>1</v>
      </c>
    </row>
    <row r="1335" spans="1:2">
      <c r="A1335" t="s">
        <v>12896</v>
      </c>
      <c r="B1335">
        <v>1</v>
      </c>
    </row>
    <row r="1336" spans="1:2">
      <c r="A1336" t="s">
        <v>12899</v>
      </c>
      <c r="B1336">
        <v>1</v>
      </c>
    </row>
    <row r="1337" spans="1:2">
      <c r="A1337" t="s">
        <v>12904</v>
      </c>
      <c r="B1337">
        <v>1</v>
      </c>
    </row>
    <row r="1338" spans="1:2">
      <c r="A1338" t="s">
        <v>12919</v>
      </c>
      <c r="B1338">
        <v>1</v>
      </c>
    </row>
    <row r="1339" spans="1:2">
      <c r="A1339" t="s">
        <v>12907</v>
      </c>
      <c r="B1339">
        <v>1</v>
      </c>
    </row>
    <row r="1340" spans="1:2">
      <c r="A1340" t="s">
        <v>12909</v>
      </c>
      <c r="B1340">
        <v>1</v>
      </c>
    </row>
    <row r="1341" spans="1:2">
      <c r="A1341" t="s">
        <v>12910</v>
      </c>
      <c r="B1341">
        <v>1</v>
      </c>
    </row>
    <row r="1342" spans="1:2">
      <c r="A1342" t="s">
        <v>12912</v>
      </c>
      <c r="B1342">
        <v>1</v>
      </c>
    </row>
    <row r="1343" spans="1:2">
      <c r="A1343" t="s">
        <v>12914</v>
      </c>
      <c r="B1343">
        <v>1</v>
      </c>
    </row>
    <row r="1344" spans="1:2">
      <c r="A1344" t="s">
        <v>12915</v>
      </c>
      <c r="B1344">
        <v>1</v>
      </c>
    </row>
    <row r="1345" spans="1:2">
      <c r="A1345" t="s">
        <v>12942</v>
      </c>
      <c r="B1345">
        <v>1</v>
      </c>
    </row>
    <row r="1346" spans="1:2">
      <c r="A1346" t="s">
        <v>12927</v>
      </c>
      <c r="B1346">
        <v>1</v>
      </c>
    </row>
    <row r="1347" spans="1:2">
      <c r="A1347" t="s">
        <v>12891</v>
      </c>
      <c r="B1347">
        <v>1</v>
      </c>
    </row>
    <row r="1348" spans="1:2">
      <c r="A1348" t="s">
        <v>12890</v>
      </c>
      <c r="B1348">
        <v>1</v>
      </c>
    </row>
    <row r="1349" spans="1:2">
      <c r="A1349" t="s">
        <v>12888</v>
      </c>
      <c r="B1349">
        <v>1</v>
      </c>
    </row>
    <row r="1350" spans="1:2">
      <c r="A1350" t="s">
        <v>12903</v>
      </c>
      <c r="B1350">
        <v>1</v>
      </c>
    </row>
    <row r="1351" spans="1:2">
      <c r="A1351" t="s">
        <v>12948</v>
      </c>
      <c r="B1351">
        <v>1</v>
      </c>
    </row>
    <row r="1352" spans="1:2">
      <c r="A1352" t="s">
        <v>12688</v>
      </c>
      <c r="B1352">
        <v>1</v>
      </c>
    </row>
    <row r="1353" spans="1:2">
      <c r="A1353" t="s">
        <v>12566</v>
      </c>
      <c r="B1353">
        <v>1</v>
      </c>
    </row>
    <row r="1354" spans="1:2">
      <c r="A1354" t="s">
        <v>12539</v>
      </c>
      <c r="B1354">
        <v>1</v>
      </c>
    </row>
    <row r="1355" spans="1:2">
      <c r="A1355" t="s">
        <v>12393</v>
      </c>
      <c r="B1355">
        <v>1</v>
      </c>
    </row>
    <row r="1356" spans="1:2">
      <c r="A1356" t="s">
        <v>12391</v>
      </c>
      <c r="B1356">
        <v>1</v>
      </c>
    </row>
    <row r="1357" spans="1:2">
      <c r="A1357" t="s">
        <v>12389</v>
      </c>
      <c r="B1357">
        <v>1</v>
      </c>
    </row>
    <row r="1358" spans="1:2">
      <c r="A1358" t="s">
        <v>12387</v>
      </c>
      <c r="B1358">
        <v>1</v>
      </c>
    </row>
    <row r="1359" spans="1:2">
      <c r="A1359" t="s">
        <v>12569</v>
      </c>
      <c r="B1359">
        <v>1</v>
      </c>
    </row>
    <row r="1360" spans="1:2">
      <c r="A1360" t="s">
        <v>12405</v>
      </c>
      <c r="B1360">
        <v>1</v>
      </c>
    </row>
    <row r="1361" spans="1:2">
      <c r="A1361" t="s">
        <v>12384</v>
      </c>
      <c r="B1361">
        <v>1</v>
      </c>
    </row>
    <row r="1362" spans="1:2">
      <c r="A1362" t="s">
        <v>12379</v>
      </c>
      <c r="B1362">
        <v>1</v>
      </c>
    </row>
    <row r="1363" spans="1:2">
      <c r="A1363" t="s">
        <v>12375</v>
      </c>
      <c r="B1363">
        <v>1</v>
      </c>
    </row>
    <row r="1364" spans="1:2">
      <c r="A1364" t="s">
        <v>12373</v>
      </c>
      <c r="B1364">
        <v>1</v>
      </c>
    </row>
    <row r="1365" spans="1:2">
      <c r="A1365" t="s">
        <v>12370</v>
      </c>
      <c r="B1365">
        <v>1</v>
      </c>
    </row>
    <row r="1366" spans="1:2">
      <c r="A1366" t="s">
        <v>12367</v>
      </c>
      <c r="B1366">
        <v>1</v>
      </c>
    </row>
    <row r="1367" spans="1:2">
      <c r="A1367" t="s">
        <v>12365</v>
      </c>
      <c r="B1367">
        <v>1</v>
      </c>
    </row>
    <row r="1368" spans="1:2">
      <c r="A1368" t="s">
        <v>12358</v>
      </c>
      <c r="B1368">
        <v>1</v>
      </c>
    </row>
    <row r="1369" spans="1:2">
      <c r="A1369" t="s">
        <v>12395</v>
      </c>
      <c r="B1369">
        <v>1</v>
      </c>
    </row>
    <row r="1370" spans="1:2">
      <c r="A1370" t="s">
        <v>12467</v>
      </c>
      <c r="B1370">
        <v>1</v>
      </c>
    </row>
    <row r="1371" spans="1:2">
      <c r="A1371" t="s">
        <v>12466</v>
      </c>
      <c r="B1371">
        <v>1</v>
      </c>
    </row>
    <row r="1372" spans="1:2">
      <c r="A1372" t="s">
        <v>12464</v>
      </c>
      <c r="B1372">
        <v>1</v>
      </c>
    </row>
    <row r="1373" spans="1:2">
      <c r="A1373" t="s">
        <v>12462</v>
      </c>
      <c r="B1373">
        <v>1</v>
      </c>
    </row>
    <row r="1374" spans="1:2">
      <c r="A1374" t="s">
        <v>12461</v>
      </c>
      <c r="B1374">
        <v>1</v>
      </c>
    </row>
    <row r="1375" spans="1:2">
      <c r="A1375" t="s">
        <v>12460</v>
      </c>
      <c r="B1375">
        <v>1</v>
      </c>
    </row>
    <row r="1376" spans="1:2">
      <c r="A1376" t="s">
        <v>12459</v>
      </c>
      <c r="B1376">
        <v>1</v>
      </c>
    </row>
    <row r="1377" spans="1:2">
      <c r="A1377" t="s">
        <v>12458</v>
      </c>
      <c r="B1377">
        <v>1</v>
      </c>
    </row>
    <row r="1378" spans="1:2">
      <c r="A1378" t="s">
        <v>12456</v>
      </c>
      <c r="B1378">
        <v>1</v>
      </c>
    </row>
    <row r="1379" spans="1:2">
      <c r="A1379" t="s">
        <v>12455</v>
      </c>
      <c r="B1379">
        <v>1</v>
      </c>
    </row>
    <row r="1380" spans="1:2">
      <c r="A1380" t="s">
        <v>12454</v>
      </c>
      <c r="B1380">
        <v>1</v>
      </c>
    </row>
    <row r="1381" spans="1:2">
      <c r="A1381" t="s">
        <v>12468</v>
      </c>
      <c r="B1381">
        <v>1</v>
      </c>
    </row>
    <row r="1382" spans="1:2">
      <c r="A1382" t="s">
        <v>12451</v>
      </c>
      <c r="B1382">
        <v>1</v>
      </c>
    </row>
    <row r="1383" spans="1:2">
      <c r="A1383" t="s">
        <v>12444</v>
      </c>
      <c r="B1383">
        <v>1</v>
      </c>
    </row>
    <row r="1384" spans="1:2">
      <c r="A1384" t="s">
        <v>12442</v>
      </c>
      <c r="B1384">
        <v>1</v>
      </c>
    </row>
    <row r="1385" spans="1:2">
      <c r="A1385" t="s">
        <v>12440</v>
      </c>
      <c r="B1385">
        <v>1</v>
      </c>
    </row>
    <row r="1386" spans="1:2">
      <c r="A1386" t="s">
        <v>12438</v>
      </c>
      <c r="B1386">
        <v>1</v>
      </c>
    </row>
    <row r="1387" spans="1:2">
      <c r="A1387" t="s">
        <v>12437</v>
      </c>
      <c r="B1387">
        <v>1</v>
      </c>
    </row>
    <row r="1388" spans="1:2">
      <c r="A1388" t="s">
        <v>12434</v>
      </c>
      <c r="B1388">
        <v>1</v>
      </c>
    </row>
    <row r="1389" spans="1:2">
      <c r="A1389" t="s">
        <v>12432</v>
      </c>
      <c r="B1389">
        <v>1</v>
      </c>
    </row>
    <row r="1390" spans="1:2">
      <c r="A1390" t="s">
        <v>12429</v>
      </c>
      <c r="B1390">
        <v>1</v>
      </c>
    </row>
    <row r="1391" spans="1:2">
      <c r="A1391" t="s">
        <v>12425</v>
      </c>
      <c r="B1391">
        <v>1</v>
      </c>
    </row>
    <row r="1392" spans="1:2">
      <c r="A1392" t="s">
        <v>12421</v>
      </c>
      <c r="B1392">
        <v>1</v>
      </c>
    </row>
    <row r="1393" spans="1:2">
      <c r="A1393" t="s">
        <v>12417</v>
      </c>
      <c r="B1393">
        <v>1</v>
      </c>
    </row>
    <row r="1394" spans="1:2">
      <c r="A1394" t="s">
        <v>12448</v>
      </c>
      <c r="B1394">
        <v>1</v>
      </c>
    </row>
    <row r="1395" spans="1:2">
      <c r="A1395" t="s">
        <v>12474</v>
      </c>
      <c r="B1395">
        <v>1</v>
      </c>
    </row>
    <row r="1396" spans="1:2">
      <c r="A1396" t="s">
        <v>12519</v>
      </c>
      <c r="B1396">
        <v>1</v>
      </c>
    </row>
    <row r="1397" spans="1:2">
      <c r="A1397" t="s">
        <v>12477</v>
      </c>
      <c r="B1397">
        <v>1</v>
      </c>
    </row>
    <row r="1398" spans="1:2">
      <c r="A1398" t="s">
        <v>12559</v>
      </c>
      <c r="B1398">
        <v>1</v>
      </c>
    </row>
    <row r="1399" spans="1:2">
      <c r="A1399" t="s">
        <v>12555</v>
      </c>
      <c r="B1399">
        <v>1</v>
      </c>
    </row>
    <row r="1400" spans="1:2">
      <c r="A1400" t="s">
        <v>12552</v>
      </c>
      <c r="B1400">
        <v>1</v>
      </c>
    </row>
    <row r="1401" spans="1:2">
      <c r="A1401" t="s">
        <v>12547</v>
      </c>
      <c r="B1401">
        <v>1</v>
      </c>
    </row>
    <row r="1402" spans="1:2">
      <c r="A1402" t="s">
        <v>12544</v>
      </c>
      <c r="B1402">
        <v>1</v>
      </c>
    </row>
    <row r="1403" spans="1:2">
      <c r="A1403" t="s">
        <v>12541</v>
      </c>
      <c r="B1403">
        <v>1</v>
      </c>
    </row>
    <row r="1404" spans="1:2">
      <c r="A1404" t="s">
        <v>12411</v>
      </c>
      <c r="B1404">
        <v>1</v>
      </c>
    </row>
    <row r="1405" spans="1:2">
      <c r="A1405" t="s">
        <v>12536</v>
      </c>
      <c r="B1405">
        <v>1</v>
      </c>
    </row>
    <row r="1406" spans="1:2">
      <c r="A1406" t="s">
        <v>12531</v>
      </c>
      <c r="B1406">
        <v>1</v>
      </c>
    </row>
    <row r="1407" spans="1:2">
      <c r="A1407" t="s">
        <v>12526</v>
      </c>
      <c r="B1407">
        <v>1</v>
      </c>
    </row>
    <row r="1408" spans="1:2">
      <c r="A1408" t="s">
        <v>12563</v>
      </c>
      <c r="B1408">
        <v>1</v>
      </c>
    </row>
    <row r="1409" spans="1:2">
      <c r="A1409" t="s">
        <v>12522</v>
      </c>
      <c r="B1409">
        <v>1</v>
      </c>
    </row>
    <row r="1410" spans="1:2">
      <c r="A1410" t="s">
        <v>12517</v>
      </c>
      <c r="B1410">
        <v>1</v>
      </c>
    </row>
    <row r="1411" spans="1:2">
      <c r="A1411" t="s">
        <v>12513</v>
      </c>
      <c r="B1411">
        <v>1</v>
      </c>
    </row>
    <row r="1412" spans="1:2">
      <c r="A1412" t="s">
        <v>12510</v>
      </c>
      <c r="B1412">
        <v>1</v>
      </c>
    </row>
    <row r="1413" spans="1:2">
      <c r="A1413" t="s">
        <v>12506</v>
      </c>
      <c r="B1413">
        <v>1</v>
      </c>
    </row>
    <row r="1414" spans="1:2">
      <c r="A1414" t="s">
        <v>12499</v>
      </c>
      <c r="B1414">
        <v>1</v>
      </c>
    </row>
    <row r="1415" spans="1:2">
      <c r="A1415" t="s">
        <v>12494</v>
      </c>
      <c r="B1415">
        <v>1</v>
      </c>
    </row>
    <row r="1416" spans="1:2">
      <c r="A1416" t="s">
        <v>12492</v>
      </c>
      <c r="B1416">
        <v>1</v>
      </c>
    </row>
    <row r="1417" spans="1:2">
      <c r="A1417" t="s">
        <v>12489</v>
      </c>
      <c r="B1417">
        <v>1</v>
      </c>
    </row>
    <row r="1418" spans="1:2">
      <c r="A1418" t="s">
        <v>12485</v>
      </c>
      <c r="B1418">
        <v>1</v>
      </c>
    </row>
    <row r="1419" spans="1:2">
      <c r="A1419" t="s">
        <v>12481</v>
      </c>
      <c r="B1419">
        <v>1</v>
      </c>
    </row>
    <row r="1420" spans="1:2">
      <c r="A1420" t="s">
        <v>12470</v>
      </c>
      <c r="B1420">
        <v>1</v>
      </c>
    </row>
    <row r="1421" spans="1:2">
      <c r="A1421" t="s">
        <v>12407</v>
      </c>
      <c r="B1421">
        <v>1</v>
      </c>
    </row>
    <row r="1422" spans="1:2">
      <c r="A1422" t="s">
        <v>12372</v>
      </c>
      <c r="B1422">
        <v>1</v>
      </c>
    </row>
    <row r="1423" spans="1:2">
      <c r="A1423" t="s">
        <v>12348</v>
      </c>
      <c r="B1423">
        <v>1</v>
      </c>
    </row>
    <row r="1424" spans="1:2">
      <c r="A1424" t="s">
        <v>12344</v>
      </c>
      <c r="B1424">
        <v>1</v>
      </c>
    </row>
    <row r="1425" spans="1:2">
      <c r="A1425" t="s">
        <v>12339</v>
      </c>
      <c r="B1425">
        <v>1</v>
      </c>
    </row>
    <row r="1426" spans="1:2">
      <c r="A1426" t="s">
        <v>12331</v>
      </c>
      <c r="B1426">
        <v>1</v>
      </c>
    </row>
    <row r="1427" spans="1:2">
      <c r="A1427" t="s">
        <v>12328</v>
      </c>
      <c r="B1427">
        <v>1</v>
      </c>
    </row>
    <row r="1428" spans="1:2">
      <c r="A1428" t="s">
        <v>12326</v>
      </c>
      <c r="B1428">
        <v>1</v>
      </c>
    </row>
    <row r="1429" spans="1:2">
      <c r="A1429" t="s">
        <v>12324</v>
      </c>
      <c r="B1429">
        <v>1</v>
      </c>
    </row>
    <row r="1430" spans="1:2">
      <c r="A1430" t="s">
        <v>12317</v>
      </c>
      <c r="B1430">
        <v>1</v>
      </c>
    </row>
    <row r="1431" spans="1:2">
      <c r="A1431" t="s">
        <v>12314</v>
      </c>
      <c r="B1431">
        <v>1</v>
      </c>
    </row>
    <row r="1432" spans="1:2">
      <c r="A1432" t="s">
        <v>12311</v>
      </c>
      <c r="B1432">
        <v>1</v>
      </c>
    </row>
    <row r="1433" spans="1:2">
      <c r="A1433" t="s">
        <v>12307</v>
      </c>
      <c r="B1433">
        <v>1</v>
      </c>
    </row>
    <row r="1434" spans="1:2">
      <c r="A1434" t="s">
        <v>12304</v>
      </c>
      <c r="B1434">
        <v>1</v>
      </c>
    </row>
    <row r="1435" spans="1:2">
      <c r="A1435" t="s">
        <v>12300</v>
      </c>
      <c r="B1435">
        <v>1</v>
      </c>
    </row>
    <row r="1436" spans="1:2">
      <c r="A1436" t="s">
        <v>12296</v>
      </c>
      <c r="B1436">
        <v>1</v>
      </c>
    </row>
    <row r="1437" spans="1:2">
      <c r="A1437" t="s">
        <v>12352</v>
      </c>
      <c r="B1437">
        <v>1</v>
      </c>
    </row>
    <row r="1438" spans="1:2">
      <c r="A1438" t="s">
        <v>12356</v>
      </c>
      <c r="B1438">
        <v>1</v>
      </c>
    </row>
    <row r="1439" spans="1:2">
      <c r="A1439" t="s">
        <v>12361</v>
      </c>
      <c r="B1439">
        <v>1</v>
      </c>
    </row>
    <row r="1440" spans="1:2">
      <c r="A1440" t="s">
        <v>12401</v>
      </c>
      <c r="B1440">
        <v>1</v>
      </c>
    </row>
    <row r="1441" spans="1:2">
      <c r="A1441" t="s">
        <v>12397</v>
      </c>
      <c r="B1441">
        <v>1</v>
      </c>
    </row>
    <row r="1442" spans="1:2">
      <c r="A1442" t="s">
        <v>12968</v>
      </c>
      <c r="B1442">
        <v>1</v>
      </c>
    </row>
    <row r="1443" spans="1:2">
      <c r="A1443" t="s">
        <v>12977</v>
      </c>
      <c r="B1443">
        <v>1</v>
      </c>
    </row>
    <row r="1444" spans="1:2">
      <c r="A1444" t="s">
        <v>12972</v>
      </c>
      <c r="B1444">
        <v>1</v>
      </c>
    </row>
    <row r="1445" spans="1:2">
      <c r="A1445" t="s">
        <v>13051</v>
      </c>
      <c r="B1445">
        <v>1</v>
      </c>
    </row>
    <row r="1446" spans="1:2">
      <c r="A1446" t="s">
        <v>13055</v>
      </c>
      <c r="B1446">
        <v>1</v>
      </c>
    </row>
    <row r="1447" spans="1:2">
      <c r="A1447" t="s">
        <v>13059</v>
      </c>
      <c r="B1447">
        <v>1</v>
      </c>
    </row>
    <row r="1448" spans="1:2">
      <c r="A1448" t="s">
        <v>13063</v>
      </c>
      <c r="B1448">
        <v>1</v>
      </c>
    </row>
    <row r="1449" spans="1:2">
      <c r="A1449" t="s">
        <v>13068</v>
      </c>
      <c r="B1449">
        <v>1</v>
      </c>
    </row>
    <row r="1450" spans="1:2">
      <c r="A1450" t="s">
        <v>13071</v>
      </c>
      <c r="B1450">
        <v>1</v>
      </c>
    </row>
    <row r="1451" spans="1:2">
      <c r="A1451" t="s">
        <v>13075</v>
      </c>
      <c r="B1451">
        <v>1</v>
      </c>
    </row>
    <row r="1452" spans="1:2">
      <c r="A1452" t="s">
        <v>13096</v>
      </c>
      <c r="B1452">
        <v>1</v>
      </c>
    </row>
    <row r="1453" spans="1:2">
      <c r="A1453" t="s">
        <v>13084</v>
      </c>
      <c r="B1453">
        <v>1</v>
      </c>
    </row>
    <row r="1454" spans="1:2">
      <c r="A1454" t="s">
        <v>13079</v>
      </c>
      <c r="B1454">
        <v>1</v>
      </c>
    </row>
    <row r="1455" spans="1:2">
      <c r="A1455" t="s">
        <v>13086</v>
      </c>
      <c r="B1455">
        <v>1</v>
      </c>
    </row>
    <row r="1456" spans="1:2">
      <c r="A1456" t="s">
        <v>13088</v>
      </c>
      <c r="B1456">
        <v>1</v>
      </c>
    </row>
    <row r="1457" spans="1:2">
      <c r="A1457" t="s">
        <v>13090</v>
      </c>
      <c r="B1457">
        <v>1</v>
      </c>
    </row>
    <row r="1458" spans="1:2">
      <c r="A1458" t="s">
        <v>13092</v>
      </c>
      <c r="B1458">
        <v>1</v>
      </c>
    </row>
    <row r="1459" spans="1:2">
      <c r="A1459" t="s">
        <v>13099</v>
      </c>
      <c r="B1459">
        <v>1</v>
      </c>
    </row>
    <row r="1460" spans="1:2">
      <c r="A1460" t="s">
        <v>13213</v>
      </c>
      <c r="B1460">
        <v>1</v>
      </c>
    </row>
    <row r="1461" spans="1:2">
      <c r="A1461" t="s">
        <v>13210</v>
      </c>
      <c r="B1461">
        <v>1</v>
      </c>
    </row>
    <row r="1462" spans="1:2">
      <c r="A1462" t="s">
        <v>13206</v>
      </c>
      <c r="B1462">
        <v>1</v>
      </c>
    </row>
    <row r="1463" spans="1:2">
      <c r="A1463" t="s">
        <v>13201</v>
      </c>
      <c r="B1463">
        <v>1</v>
      </c>
    </row>
    <row r="1464" spans="1:2">
      <c r="A1464" t="s">
        <v>13193</v>
      </c>
      <c r="B1464">
        <v>1</v>
      </c>
    </row>
    <row r="1465" spans="1:2">
      <c r="A1465" t="s">
        <v>13166</v>
      </c>
      <c r="B1465">
        <v>1</v>
      </c>
    </row>
    <row r="1466" spans="1:2">
      <c r="A1466" t="s">
        <v>13185</v>
      </c>
      <c r="B1466">
        <v>1</v>
      </c>
    </row>
    <row r="1467" spans="1:2">
      <c r="A1467" t="s">
        <v>13180</v>
      </c>
      <c r="B1467">
        <v>1</v>
      </c>
    </row>
    <row r="1468" spans="1:2">
      <c r="A1468" t="s">
        <v>13176</v>
      </c>
      <c r="B1468">
        <v>1</v>
      </c>
    </row>
    <row r="1469" spans="1:2">
      <c r="A1469" t="s">
        <v>13162</v>
      </c>
      <c r="B1469">
        <v>1</v>
      </c>
    </row>
    <row r="1470" spans="1:2">
      <c r="A1470" t="s">
        <v>13154</v>
      </c>
      <c r="B1470">
        <v>1</v>
      </c>
    </row>
    <row r="1471" spans="1:2">
      <c r="A1471" t="s">
        <v>13189</v>
      </c>
      <c r="B1471">
        <v>1</v>
      </c>
    </row>
    <row r="1472" spans="1:2">
      <c r="A1472" t="s">
        <v>13158</v>
      </c>
      <c r="B1472">
        <v>1</v>
      </c>
    </row>
    <row r="1473" spans="1:2">
      <c r="A1473" t="s">
        <v>13195</v>
      </c>
      <c r="B1473">
        <v>1</v>
      </c>
    </row>
    <row r="1474" spans="1:2">
      <c r="A1474" t="s">
        <v>13173</v>
      </c>
      <c r="B1474">
        <v>1</v>
      </c>
    </row>
    <row r="1475" spans="1:2">
      <c r="A1475" t="s">
        <v>13170</v>
      </c>
      <c r="B1475">
        <v>1</v>
      </c>
    </row>
    <row r="1476" spans="1:2">
      <c r="A1476" t="s">
        <v>14667</v>
      </c>
      <c r="B1476">
        <v>1</v>
      </c>
    </row>
    <row r="1477" spans="1:2">
      <c r="A1477" t="s">
        <v>14646</v>
      </c>
      <c r="B1477">
        <v>1</v>
      </c>
    </row>
    <row r="1478" spans="1:2">
      <c r="A1478" t="s">
        <v>14660</v>
      </c>
      <c r="B1478">
        <v>1</v>
      </c>
    </row>
    <row r="1479" spans="1:2">
      <c r="A1479" t="s">
        <v>14655</v>
      </c>
      <c r="B1479">
        <v>1</v>
      </c>
    </row>
    <row r="1480" spans="1:2">
      <c r="A1480" t="s">
        <v>14672</v>
      </c>
      <c r="B1480">
        <v>1</v>
      </c>
    </row>
    <row r="1481" spans="1:2">
      <c r="A1481" t="s">
        <v>15540</v>
      </c>
      <c r="B1481">
        <v>1</v>
      </c>
    </row>
    <row r="1482" spans="1:2">
      <c r="A1482" t="s">
        <v>15560</v>
      </c>
      <c r="B1482">
        <v>1</v>
      </c>
    </row>
    <row r="1483" spans="1:2">
      <c r="A1483" t="s">
        <v>15558</v>
      </c>
      <c r="B1483">
        <v>1</v>
      </c>
    </row>
    <row r="1484" spans="1:2">
      <c r="A1484" t="s">
        <v>15554</v>
      </c>
      <c r="B1484">
        <v>1</v>
      </c>
    </row>
    <row r="1485" spans="1:2">
      <c r="A1485" t="s">
        <v>15548</v>
      </c>
      <c r="B1485">
        <v>1</v>
      </c>
    </row>
    <row r="1486" spans="1:2">
      <c r="A1486" t="s">
        <v>15544</v>
      </c>
      <c r="B1486">
        <v>1</v>
      </c>
    </row>
    <row r="1487" spans="1:2">
      <c r="A1487" t="s">
        <v>15533</v>
      </c>
      <c r="B1487">
        <v>1</v>
      </c>
    </row>
    <row r="1488" spans="1:2">
      <c r="A1488" t="s">
        <v>15567</v>
      </c>
      <c r="B1488">
        <v>1</v>
      </c>
    </row>
    <row r="1489" spans="1:2">
      <c r="A1489" t="s">
        <v>15571</v>
      </c>
      <c r="B1489">
        <v>1</v>
      </c>
    </row>
    <row r="1490" spans="1:2">
      <c r="A1490" t="s">
        <v>15575</v>
      </c>
      <c r="B1490">
        <v>1</v>
      </c>
    </row>
    <row r="1491" spans="1:2">
      <c r="A1491" t="s">
        <v>15579</v>
      </c>
      <c r="B1491">
        <v>1</v>
      </c>
    </row>
    <row r="1492" spans="1:2">
      <c r="A1492" t="s">
        <v>15582</v>
      </c>
      <c r="B1492">
        <v>1</v>
      </c>
    </row>
    <row r="1493" spans="1:2">
      <c r="A1493" t="s">
        <v>15596</v>
      </c>
      <c r="B1493">
        <v>1</v>
      </c>
    </row>
    <row r="1494" spans="1:2">
      <c r="A1494" t="s">
        <v>15590</v>
      </c>
      <c r="B1494">
        <v>1</v>
      </c>
    </row>
    <row r="1495" spans="1:2">
      <c r="A1495" t="s">
        <v>15592</v>
      </c>
      <c r="B1495">
        <v>1</v>
      </c>
    </row>
    <row r="1496" spans="1:2">
      <c r="A1496" t="s">
        <v>15586</v>
      </c>
      <c r="B1496">
        <v>1</v>
      </c>
    </row>
    <row r="1497" spans="1:2">
      <c r="A1497" t="s">
        <v>15709</v>
      </c>
      <c r="B1497">
        <v>1</v>
      </c>
    </row>
    <row r="1498" spans="1:2">
      <c r="A1498" t="s">
        <v>15705</v>
      </c>
      <c r="B1498">
        <v>1</v>
      </c>
    </row>
    <row r="1499" spans="1:2">
      <c r="A1499" t="s">
        <v>15719</v>
      </c>
      <c r="B1499">
        <v>1</v>
      </c>
    </row>
    <row r="1500" spans="1:2">
      <c r="A1500" t="s">
        <v>15712</v>
      </c>
      <c r="B1500">
        <v>1</v>
      </c>
    </row>
    <row r="1501" spans="1:2">
      <c r="A1501" t="s">
        <v>15716</v>
      </c>
      <c r="B1501">
        <v>1</v>
      </c>
    </row>
    <row r="1502" spans="1:2">
      <c r="A1502" t="s">
        <v>15747</v>
      </c>
      <c r="B1502">
        <v>1</v>
      </c>
    </row>
    <row r="1503" spans="1:2">
      <c r="A1503" t="s">
        <v>15745</v>
      </c>
      <c r="B1503">
        <v>1</v>
      </c>
    </row>
    <row r="1504" spans="1:2">
      <c r="A1504" t="s">
        <v>15722</v>
      </c>
      <c r="B1504">
        <v>1</v>
      </c>
    </row>
    <row r="1505" spans="1:2">
      <c r="A1505" t="s">
        <v>15726</v>
      </c>
      <c r="B1505">
        <v>1</v>
      </c>
    </row>
    <row r="1506" spans="1:2">
      <c r="A1506" t="s">
        <v>15729</v>
      </c>
      <c r="B1506">
        <v>1</v>
      </c>
    </row>
    <row r="1507" spans="1:2">
      <c r="A1507" t="s">
        <v>15734</v>
      </c>
      <c r="B1507">
        <v>1</v>
      </c>
    </row>
    <row r="1508" spans="1:2">
      <c r="A1508" t="s">
        <v>15737</v>
      </c>
      <c r="B1508">
        <v>1</v>
      </c>
    </row>
    <row r="1509" spans="1:2">
      <c r="A1509" t="s">
        <v>15741</v>
      </c>
      <c r="B1509">
        <v>1</v>
      </c>
    </row>
    <row r="1510" spans="1:2">
      <c r="A1510" t="s">
        <v>15752</v>
      </c>
      <c r="B1510">
        <v>1</v>
      </c>
    </row>
    <row r="1511" spans="1:2">
      <c r="A1511" t="s">
        <v>15750</v>
      </c>
      <c r="B1511">
        <v>1</v>
      </c>
    </row>
    <row r="1512" spans="1:2">
      <c r="A1512" t="s">
        <v>15755</v>
      </c>
      <c r="B1512">
        <v>1</v>
      </c>
    </row>
    <row r="1513" spans="1:2">
      <c r="A1513" t="s">
        <v>15995</v>
      </c>
      <c r="B1513">
        <v>1</v>
      </c>
    </row>
    <row r="1514" spans="1:2">
      <c r="A1514" t="s">
        <v>16057</v>
      </c>
      <c r="B1514">
        <v>1</v>
      </c>
    </row>
    <row r="1515" spans="1:2">
      <c r="A1515" t="s">
        <v>16054</v>
      </c>
      <c r="B1515">
        <v>1</v>
      </c>
    </row>
    <row r="1516" spans="1:2">
      <c r="A1516" t="s">
        <v>16050</v>
      </c>
      <c r="B1516">
        <v>1</v>
      </c>
    </row>
    <row r="1517" spans="1:2">
      <c r="A1517" t="s">
        <v>16046</v>
      </c>
      <c r="B1517">
        <v>1</v>
      </c>
    </row>
    <row r="1518" spans="1:2">
      <c r="A1518" t="s">
        <v>16041</v>
      </c>
      <c r="B1518">
        <v>1</v>
      </c>
    </row>
    <row r="1519" spans="1:2">
      <c r="A1519" t="s">
        <v>16058</v>
      </c>
      <c r="B1519">
        <v>1</v>
      </c>
    </row>
    <row r="1520" spans="1:2">
      <c r="A1520" t="s">
        <v>16035</v>
      </c>
      <c r="B1520">
        <v>1</v>
      </c>
    </row>
    <row r="1521" spans="1:2">
      <c r="A1521" t="s">
        <v>16037</v>
      </c>
      <c r="B1521">
        <v>1</v>
      </c>
    </row>
    <row r="1522" spans="1:2">
      <c r="A1522" t="s">
        <v>16031</v>
      </c>
      <c r="B1522">
        <v>1</v>
      </c>
    </row>
    <row r="1523" spans="1:2">
      <c r="A1523" t="s">
        <v>16027</v>
      </c>
      <c r="B1523">
        <v>1</v>
      </c>
    </row>
    <row r="1524" spans="1:2">
      <c r="A1524" t="s">
        <v>16023</v>
      </c>
      <c r="B1524">
        <v>1</v>
      </c>
    </row>
    <row r="1525" spans="1:2">
      <c r="A1525" t="s">
        <v>15999</v>
      </c>
      <c r="B1525">
        <v>1</v>
      </c>
    </row>
    <row r="1526" spans="1:2">
      <c r="A1526" t="s">
        <v>16020</v>
      </c>
      <c r="B1526">
        <v>1</v>
      </c>
    </row>
    <row r="1527" spans="1:2">
      <c r="A1527" t="s">
        <v>16016</v>
      </c>
      <c r="B1527">
        <v>1</v>
      </c>
    </row>
    <row r="1528" spans="1:2">
      <c r="A1528" t="s">
        <v>16011</v>
      </c>
      <c r="B1528">
        <v>1</v>
      </c>
    </row>
    <row r="1529" spans="1:2">
      <c r="A1529" t="s">
        <v>16007</v>
      </c>
      <c r="B1529">
        <v>1</v>
      </c>
    </row>
    <row r="1530" spans="1:2">
      <c r="A1530" t="s">
        <v>16003</v>
      </c>
      <c r="B1530">
        <v>1</v>
      </c>
    </row>
    <row r="1531" spans="1:2">
      <c r="A1531" t="s">
        <v>16162</v>
      </c>
      <c r="B1531">
        <v>1</v>
      </c>
    </row>
    <row r="1532" spans="1:2">
      <c r="A1532" t="s">
        <v>16158</v>
      </c>
      <c r="B1532">
        <v>1</v>
      </c>
    </row>
    <row r="1533" spans="1:2">
      <c r="A1533" t="s">
        <v>16165</v>
      </c>
      <c r="B1533">
        <v>1</v>
      </c>
    </row>
    <row r="1534" spans="1:2">
      <c r="A1534" t="s">
        <v>16150</v>
      </c>
      <c r="B1534">
        <v>1</v>
      </c>
    </row>
    <row r="1535" spans="1:2">
      <c r="A1535" t="s">
        <v>16147</v>
      </c>
      <c r="B1535">
        <v>1</v>
      </c>
    </row>
    <row r="1536" spans="1:2">
      <c r="A1536" t="s">
        <v>16373</v>
      </c>
      <c r="B1536">
        <v>1</v>
      </c>
    </row>
    <row r="1537" spans="1:2">
      <c r="A1537" t="s">
        <v>16356</v>
      </c>
      <c r="B1537">
        <v>1</v>
      </c>
    </row>
    <row r="1538" spans="1:2">
      <c r="A1538" t="s">
        <v>16359</v>
      </c>
      <c r="B1538">
        <v>1</v>
      </c>
    </row>
    <row r="1539" spans="1:2">
      <c r="A1539" t="s">
        <v>16347</v>
      </c>
      <c r="B1539">
        <v>1</v>
      </c>
    </row>
    <row r="1540" spans="1:2">
      <c r="A1540" t="s">
        <v>16369</v>
      </c>
      <c r="B1540">
        <v>1</v>
      </c>
    </row>
    <row r="1541" spans="1:2">
      <c r="A1541" t="s">
        <v>16366</v>
      </c>
      <c r="B1541">
        <v>1</v>
      </c>
    </row>
    <row r="1542" spans="1:2">
      <c r="A1542" t="s">
        <v>16384</v>
      </c>
      <c r="B1542">
        <v>1</v>
      </c>
    </row>
    <row r="1543" spans="1:2">
      <c r="A1543" t="s">
        <v>16389</v>
      </c>
      <c r="B1543">
        <v>1</v>
      </c>
    </row>
    <row r="1544" spans="1:2">
      <c r="A1544" t="s">
        <v>16391</v>
      </c>
      <c r="B1544">
        <v>1</v>
      </c>
    </row>
    <row r="1545" spans="1:2">
      <c r="A1545" t="s">
        <v>16380</v>
      </c>
      <c r="B1545">
        <v>1</v>
      </c>
    </row>
    <row r="1546" spans="1:2">
      <c r="A1546" t="s">
        <v>17757</v>
      </c>
      <c r="B1546">
        <v>1</v>
      </c>
    </row>
    <row r="1547" spans="1:2">
      <c r="A1547" t="s">
        <v>17755</v>
      </c>
      <c r="B1547">
        <v>1</v>
      </c>
    </row>
    <row r="1548" spans="1:2">
      <c r="A1548" t="s">
        <v>17761</v>
      </c>
      <c r="B1548">
        <v>1</v>
      </c>
    </row>
    <row r="1549" spans="1:2">
      <c r="A1549" t="s">
        <v>17745</v>
      </c>
      <c r="B1549">
        <v>1</v>
      </c>
    </row>
    <row r="1550" spans="1:2">
      <c r="A1550" t="s">
        <v>17742</v>
      </c>
      <c r="B1550">
        <v>1</v>
      </c>
    </row>
    <row r="1551" spans="1:2">
      <c r="A1551" t="s">
        <v>17739</v>
      </c>
      <c r="B1551">
        <v>1</v>
      </c>
    </row>
    <row r="1552" spans="1:2">
      <c r="A1552" t="s">
        <v>17749</v>
      </c>
      <c r="B1552">
        <v>1</v>
      </c>
    </row>
    <row r="1553" spans="1:2">
      <c r="A1553" t="s">
        <v>17735</v>
      </c>
      <c r="B1553">
        <v>1</v>
      </c>
    </row>
    <row r="1554" spans="1:2">
      <c r="A1554" t="s">
        <v>17819</v>
      </c>
      <c r="B1554">
        <v>1</v>
      </c>
    </row>
    <row r="1555" spans="1:2">
      <c r="A1555" t="s">
        <v>17822</v>
      </c>
      <c r="B1555">
        <v>1</v>
      </c>
    </row>
    <row r="1556" spans="1:2">
      <c r="A1556" t="s">
        <v>17826</v>
      </c>
      <c r="B1556">
        <v>1</v>
      </c>
    </row>
    <row r="1557" spans="1:2">
      <c r="A1557" t="s">
        <v>17812</v>
      </c>
      <c r="B1557">
        <v>1</v>
      </c>
    </row>
    <row r="1558" spans="1:2">
      <c r="A1558" t="s">
        <v>17858</v>
      </c>
      <c r="B1558">
        <v>1</v>
      </c>
    </row>
    <row r="1559" spans="1:2">
      <c r="A1559" t="s">
        <v>17854</v>
      </c>
      <c r="B1559">
        <v>1</v>
      </c>
    </row>
    <row r="1560" spans="1:2">
      <c r="A1560" t="s">
        <v>17851</v>
      </c>
      <c r="B1560">
        <v>1</v>
      </c>
    </row>
    <row r="1561" spans="1:2">
      <c r="A1561" t="s">
        <v>17846</v>
      </c>
      <c r="B1561">
        <v>1</v>
      </c>
    </row>
    <row r="1562" spans="1:2">
      <c r="A1562" t="s">
        <v>17842</v>
      </c>
      <c r="B1562">
        <v>1</v>
      </c>
    </row>
    <row r="1563" spans="1:2">
      <c r="A1563" t="s">
        <v>17838</v>
      </c>
      <c r="B1563">
        <v>1</v>
      </c>
    </row>
    <row r="1564" spans="1:2">
      <c r="A1564" t="s">
        <v>17836</v>
      </c>
      <c r="B1564">
        <v>1</v>
      </c>
    </row>
    <row r="1565" spans="1:2">
      <c r="A1565" t="s">
        <v>17834</v>
      </c>
      <c r="B1565">
        <v>1</v>
      </c>
    </row>
    <row r="1566" spans="1:2">
      <c r="A1566" t="s">
        <v>17830</v>
      </c>
      <c r="B1566">
        <v>1</v>
      </c>
    </row>
    <row r="1567" spans="1:2">
      <c r="A1567" t="s">
        <v>17815</v>
      </c>
      <c r="B1567">
        <v>1</v>
      </c>
    </row>
    <row r="1568" spans="1:2">
      <c r="A1568" t="s">
        <v>18273</v>
      </c>
      <c r="B1568">
        <v>1</v>
      </c>
    </row>
    <row r="1569" spans="1:2">
      <c r="A1569" t="s">
        <v>18270</v>
      </c>
      <c r="B1569">
        <v>1</v>
      </c>
    </row>
    <row r="1570" spans="1:2">
      <c r="A1570" t="s">
        <v>18262</v>
      </c>
      <c r="B1570">
        <v>1</v>
      </c>
    </row>
    <row r="1571" spans="1:2">
      <c r="A1571" t="s">
        <v>18258</v>
      </c>
      <c r="B1571">
        <v>1</v>
      </c>
    </row>
    <row r="1572" spans="1:2">
      <c r="A1572" t="s">
        <v>18256</v>
      </c>
      <c r="B1572">
        <v>1</v>
      </c>
    </row>
    <row r="1573" spans="1:2">
      <c r="A1573" t="s">
        <v>18341</v>
      </c>
      <c r="B1573">
        <v>1</v>
      </c>
    </row>
    <row r="1574" spans="1:2">
      <c r="A1574" t="s">
        <v>18338</v>
      </c>
      <c r="B1574">
        <v>1</v>
      </c>
    </row>
    <row r="1575" spans="1:2">
      <c r="A1575" t="s">
        <v>18335</v>
      </c>
      <c r="B1575">
        <v>1</v>
      </c>
    </row>
    <row r="1576" spans="1:2">
      <c r="A1576" t="s">
        <v>18331</v>
      </c>
      <c r="B1576">
        <v>1</v>
      </c>
    </row>
    <row r="1577" spans="1:2">
      <c r="A1577" t="s">
        <v>18312</v>
      </c>
      <c r="B1577">
        <v>1</v>
      </c>
    </row>
    <row r="1578" spans="1:2">
      <c r="A1578" t="s">
        <v>18346</v>
      </c>
      <c r="B1578">
        <v>1</v>
      </c>
    </row>
    <row r="1579" spans="1:2">
      <c r="A1579" t="s">
        <v>18304</v>
      </c>
      <c r="B1579">
        <v>1</v>
      </c>
    </row>
    <row r="1580" spans="1:2">
      <c r="A1580" t="s">
        <v>18289</v>
      </c>
      <c r="B1580">
        <v>1</v>
      </c>
    </row>
    <row r="1581" spans="1:2">
      <c r="A1581" t="s">
        <v>18285</v>
      </c>
      <c r="B1581">
        <v>1</v>
      </c>
    </row>
    <row r="1582" spans="1:2">
      <c r="A1582" t="s">
        <v>18281</v>
      </c>
      <c r="B1582">
        <v>1</v>
      </c>
    </row>
    <row r="1583" spans="1:2">
      <c r="A1583" t="s">
        <v>18293</v>
      </c>
      <c r="B1583">
        <v>1</v>
      </c>
    </row>
    <row r="1584" spans="1:2">
      <c r="A1584" t="s">
        <v>18300</v>
      </c>
      <c r="B1584">
        <v>1</v>
      </c>
    </row>
    <row r="1585" spans="1:2">
      <c r="A1585" t="s">
        <v>18277</v>
      </c>
      <c r="B1585">
        <v>1</v>
      </c>
    </row>
    <row r="1586" spans="1:2">
      <c r="A1586" t="s">
        <v>18308</v>
      </c>
      <c r="B1586">
        <v>1</v>
      </c>
    </row>
    <row r="1587" spans="1:2">
      <c r="A1587" t="s">
        <v>18350</v>
      </c>
      <c r="B1587">
        <v>1</v>
      </c>
    </row>
    <row r="1588" spans="1:2">
      <c r="A1588" t="s">
        <v>18316</v>
      </c>
      <c r="B1588">
        <v>1</v>
      </c>
    </row>
    <row r="1589" spans="1:2">
      <c r="A1589" t="s">
        <v>18320</v>
      </c>
      <c r="B1589">
        <v>1</v>
      </c>
    </row>
    <row r="1590" spans="1:2">
      <c r="A1590" t="s">
        <v>18323</v>
      </c>
      <c r="B1590">
        <v>1</v>
      </c>
    </row>
    <row r="1591" spans="1:2">
      <c r="A1591" t="s">
        <v>18327</v>
      </c>
      <c r="B1591">
        <v>1</v>
      </c>
    </row>
    <row r="1592" spans="1:2">
      <c r="A1592" t="s">
        <v>18741</v>
      </c>
      <c r="B1592">
        <v>1</v>
      </c>
    </row>
    <row r="1593" spans="1:2">
      <c r="A1593" t="s">
        <v>18737</v>
      </c>
      <c r="B1593">
        <v>1</v>
      </c>
    </row>
    <row r="1594" spans="1:2">
      <c r="A1594" t="s">
        <v>18734</v>
      </c>
      <c r="B1594">
        <v>1</v>
      </c>
    </row>
    <row r="1595" spans="1:2">
      <c r="A1595" t="s">
        <v>18730</v>
      </c>
      <c r="B1595">
        <v>1</v>
      </c>
    </row>
    <row r="1596" spans="1:2">
      <c r="A1596" t="s">
        <v>18728</v>
      </c>
      <c r="B1596">
        <v>1</v>
      </c>
    </row>
    <row r="1597" spans="1:2">
      <c r="A1597" t="s">
        <v>18725</v>
      </c>
      <c r="B1597">
        <v>1</v>
      </c>
    </row>
    <row r="1598" spans="1:2">
      <c r="A1598" t="s">
        <v>18722</v>
      </c>
      <c r="B1598">
        <v>1</v>
      </c>
    </row>
    <row r="1599" spans="1:2">
      <c r="A1599" t="s">
        <v>18719</v>
      </c>
      <c r="B1599">
        <v>1</v>
      </c>
    </row>
    <row r="1600" spans="1:2">
      <c r="A1600" t="s">
        <v>18709</v>
      </c>
      <c r="B1600">
        <v>1</v>
      </c>
    </row>
    <row r="1601" spans="1:2">
      <c r="A1601" t="s">
        <v>18751</v>
      </c>
      <c r="B1601">
        <v>1</v>
      </c>
    </row>
    <row r="1602" spans="1:2">
      <c r="A1602" t="s">
        <v>18743</v>
      </c>
      <c r="B1602">
        <v>1</v>
      </c>
    </row>
    <row r="1603" spans="1:2">
      <c r="A1603" t="s">
        <v>18705</v>
      </c>
      <c r="B1603">
        <v>1</v>
      </c>
    </row>
    <row r="1604" spans="1:2">
      <c r="A1604" t="s">
        <v>18677</v>
      </c>
      <c r="B1604">
        <v>1</v>
      </c>
    </row>
    <row r="1605" spans="1:2">
      <c r="A1605" t="s">
        <v>18680</v>
      </c>
      <c r="B1605">
        <v>1</v>
      </c>
    </row>
    <row r="1606" spans="1:2">
      <c r="A1606" t="s">
        <v>18682</v>
      </c>
      <c r="B1606">
        <v>1</v>
      </c>
    </row>
    <row r="1607" spans="1:2">
      <c r="A1607" t="s">
        <v>18686</v>
      </c>
      <c r="B1607">
        <v>1</v>
      </c>
    </row>
    <row r="1608" spans="1:2">
      <c r="A1608" t="s">
        <v>18701</v>
      </c>
      <c r="B1608">
        <v>1</v>
      </c>
    </row>
    <row r="1609" spans="1:2">
      <c r="A1609" t="s">
        <v>18692</v>
      </c>
      <c r="B1609">
        <v>1</v>
      </c>
    </row>
    <row r="1610" spans="1:2">
      <c r="A1610" t="s">
        <v>18688</v>
      </c>
      <c r="B1610">
        <v>1</v>
      </c>
    </row>
    <row r="1611" spans="1:2">
      <c r="A1611" t="s">
        <v>18696</v>
      </c>
      <c r="B1611">
        <v>1</v>
      </c>
    </row>
    <row r="1612" spans="1:2">
      <c r="A1612" t="s">
        <v>18698</v>
      </c>
      <c r="B1612">
        <v>1</v>
      </c>
    </row>
    <row r="1613" spans="1:2">
      <c r="A1613" t="s">
        <v>18714</v>
      </c>
      <c r="B1613">
        <v>1</v>
      </c>
    </row>
    <row r="1614" spans="1:2">
      <c r="A1614" t="s">
        <v>18747</v>
      </c>
      <c r="B1614">
        <v>1</v>
      </c>
    </row>
    <row r="1615" spans="1:2">
      <c r="A1615" t="s">
        <v>299</v>
      </c>
      <c r="B1615">
        <v>1</v>
      </c>
    </row>
    <row r="1616" spans="1:2">
      <c r="A1616" t="s">
        <v>18756</v>
      </c>
      <c r="B1616">
        <v>1</v>
      </c>
    </row>
    <row r="1617" spans="1:2">
      <c r="A1617" t="s">
        <v>18806</v>
      </c>
      <c r="B1617">
        <v>1</v>
      </c>
    </row>
    <row r="1618" spans="1:2">
      <c r="A1618" t="s">
        <v>18799</v>
      </c>
      <c r="B1618">
        <v>1</v>
      </c>
    </row>
    <row r="1619" spans="1:2">
      <c r="A1619" t="s">
        <v>18796</v>
      </c>
      <c r="B1619">
        <v>1</v>
      </c>
    </row>
    <row r="1620" spans="1:2">
      <c r="A1620" t="s">
        <v>18792</v>
      </c>
      <c r="B1620">
        <v>1</v>
      </c>
    </row>
    <row r="1621" spans="1:2">
      <c r="A1621" t="s">
        <v>18789</v>
      </c>
      <c r="B1621">
        <v>1</v>
      </c>
    </row>
    <row r="1622" spans="1:2">
      <c r="A1622" t="s">
        <v>18802</v>
      </c>
      <c r="B1622">
        <v>1</v>
      </c>
    </row>
    <row r="1623" spans="1:2">
      <c r="A1623" t="s">
        <v>18782</v>
      </c>
      <c r="B1623">
        <v>1</v>
      </c>
    </row>
    <row r="1624" spans="1:2">
      <c r="A1624" t="s">
        <v>18779</v>
      </c>
      <c r="B1624">
        <v>1</v>
      </c>
    </row>
    <row r="1625" spans="1:2">
      <c r="A1625" t="s">
        <v>18776</v>
      </c>
      <c r="B1625">
        <v>1</v>
      </c>
    </row>
    <row r="1626" spans="1:2">
      <c r="A1626" t="s">
        <v>18772</v>
      </c>
      <c r="B1626">
        <v>1</v>
      </c>
    </row>
    <row r="1627" spans="1:2">
      <c r="A1627" t="s">
        <v>18767</v>
      </c>
      <c r="B1627">
        <v>1</v>
      </c>
    </row>
    <row r="1628" spans="1:2">
      <c r="A1628" t="s">
        <v>18763</v>
      </c>
      <c r="B1628">
        <v>1</v>
      </c>
    </row>
    <row r="1629" spans="1:2">
      <c r="A1629" t="s">
        <v>18784</v>
      </c>
      <c r="B1629">
        <v>1</v>
      </c>
    </row>
    <row r="1630" spans="1:2">
      <c r="A1630" t="s">
        <v>19010</v>
      </c>
      <c r="B1630">
        <v>1</v>
      </c>
    </row>
    <row r="1631" spans="1:2">
      <c r="A1631" t="s">
        <v>19006</v>
      </c>
      <c r="B1631">
        <v>1</v>
      </c>
    </row>
    <row r="1632" spans="1:2">
      <c r="A1632" t="s">
        <v>19002</v>
      </c>
      <c r="B1632">
        <v>1</v>
      </c>
    </row>
    <row r="1633" spans="1:2">
      <c r="A1633" t="s">
        <v>18997</v>
      </c>
      <c r="B1633">
        <v>1</v>
      </c>
    </row>
    <row r="1634" spans="1:2">
      <c r="A1634" t="s">
        <v>18989</v>
      </c>
      <c r="B1634">
        <v>1</v>
      </c>
    </row>
    <row r="1635" spans="1:2">
      <c r="A1635" t="s">
        <v>18986</v>
      </c>
      <c r="B1635">
        <v>1</v>
      </c>
    </row>
    <row r="1636" spans="1:2">
      <c r="A1636" t="s">
        <v>18982</v>
      </c>
      <c r="B1636">
        <v>1</v>
      </c>
    </row>
    <row r="1637" spans="1:2">
      <c r="A1637" t="s">
        <v>18978</v>
      </c>
      <c r="B1637">
        <v>1</v>
      </c>
    </row>
    <row r="1638" spans="1:2">
      <c r="A1638" t="s">
        <v>18972</v>
      </c>
      <c r="B1638">
        <v>1</v>
      </c>
    </row>
    <row r="1639" spans="1:2">
      <c r="A1639" t="s">
        <v>18969</v>
      </c>
      <c r="B1639">
        <v>1</v>
      </c>
    </row>
    <row r="1640" spans="1:2">
      <c r="A1640" t="s">
        <v>18967</v>
      </c>
      <c r="B1640">
        <v>1</v>
      </c>
    </row>
    <row r="1641" spans="1:2">
      <c r="A1641" t="s">
        <v>18963</v>
      </c>
      <c r="B1641">
        <v>1</v>
      </c>
    </row>
    <row r="1642" spans="1:2">
      <c r="A1642" t="s">
        <v>18960</v>
      </c>
      <c r="B1642">
        <v>1</v>
      </c>
    </row>
    <row r="1643" spans="1:2">
      <c r="A1643" t="s">
        <v>18956</v>
      </c>
      <c r="B1643">
        <v>1</v>
      </c>
    </row>
    <row r="1644" spans="1:2">
      <c r="A1644" t="s">
        <v>18953</v>
      </c>
      <c r="B1644">
        <v>1</v>
      </c>
    </row>
    <row r="1645" spans="1:2">
      <c r="A1645" t="s">
        <v>19014</v>
      </c>
      <c r="B1645">
        <v>1</v>
      </c>
    </row>
    <row r="1646" spans="1:2">
      <c r="A1646" t="s">
        <v>19020</v>
      </c>
      <c r="B1646">
        <v>1</v>
      </c>
    </row>
    <row r="1647" spans="1:2">
      <c r="A1647" t="s">
        <v>19084</v>
      </c>
      <c r="B1647">
        <v>1</v>
      </c>
    </row>
    <row r="1648" spans="1:2">
      <c r="A1648" t="s">
        <v>19025</v>
      </c>
      <c r="B1648">
        <v>1</v>
      </c>
    </row>
    <row r="1649" spans="1:2">
      <c r="A1649" t="s">
        <v>19080</v>
      </c>
      <c r="B1649">
        <v>1</v>
      </c>
    </row>
    <row r="1650" spans="1:2">
      <c r="A1650" t="s">
        <v>19075</v>
      </c>
      <c r="B1650">
        <v>1</v>
      </c>
    </row>
    <row r="1651" spans="1:2">
      <c r="A1651" t="s">
        <v>19071</v>
      </c>
      <c r="B1651">
        <v>1</v>
      </c>
    </row>
    <row r="1652" spans="1:2">
      <c r="A1652" t="s">
        <v>19067</v>
      </c>
      <c r="B1652">
        <v>1</v>
      </c>
    </row>
    <row r="1653" spans="1:2">
      <c r="A1653" t="s">
        <v>19065</v>
      </c>
      <c r="B1653">
        <v>1</v>
      </c>
    </row>
    <row r="1654" spans="1:2">
      <c r="A1654" t="s">
        <v>19062</v>
      </c>
      <c r="B1654">
        <v>1</v>
      </c>
    </row>
    <row r="1655" spans="1:2">
      <c r="A1655" t="s">
        <v>19058</v>
      </c>
      <c r="B1655">
        <v>1</v>
      </c>
    </row>
    <row r="1656" spans="1:2">
      <c r="A1656" t="s">
        <v>19056</v>
      </c>
      <c r="B1656">
        <v>1</v>
      </c>
    </row>
    <row r="1657" spans="1:2">
      <c r="A1657" t="s">
        <v>19054</v>
      </c>
      <c r="B1657">
        <v>1</v>
      </c>
    </row>
    <row r="1658" spans="1:2">
      <c r="A1658" t="s">
        <v>19052</v>
      </c>
      <c r="B1658">
        <v>1</v>
      </c>
    </row>
    <row r="1659" spans="1:2">
      <c r="A1659" t="s">
        <v>19048</v>
      </c>
      <c r="B1659">
        <v>1</v>
      </c>
    </row>
    <row r="1660" spans="1:2">
      <c r="A1660" t="s">
        <v>19044</v>
      </c>
      <c r="B1660">
        <v>1</v>
      </c>
    </row>
    <row r="1661" spans="1:2">
      <c r="A1661" t="s">
        <v>19040</v>
      </c>
      <c r="B1661">
        <v>1</v>
      </c>
    </row>
    <row r="1662" spans="1:2">
      <c r="A1662" t="s">
        <v>19037</v>
      </c>
      <c r="B1662">
        <v>1</v>
      </c>
    </row>
    <row r="1663" spans="1:2">
      <c r="A1663" t="s">
        <v>19033</v>
      </c>
      <c r="B1663">
        <v>1</v>
      </c>
    </row>
    <row r="1664" spans="1:2">
      <c r="A1664" t="s">
        <v>19031</v>
      </c>
      <c r="B1664">
        <v>1</v>
      </c>
    </row>
    <row r="1665" spans="1:2">
      <c r="A1665" t="s">
        <v>19016</v>
      </c>
      <c r="B1665">
        <v>1</v>
      </c>
    </row>
    <row r="1666" spans="1:2">
      <c r="A1666" t="s">
        <v>18944</v>
      </c>
      <c r="B1666">
        <v>1</v>
      </c>
    </row>
    <row r="1667" spans="1:2">
      <c r="A1667" t="s">
        <v>18882</v>
      </c>
      <c r="B1667">
        <v>1</v>
      </c>
    </row>
    <row r="1668" spans="1:2">
      <c r="A1668" t="s">
        <v>18809</v>
      </c>
      <c r="B1668">
        <v>1</v>
      </c>
    </row>
    <row r="1669" spans="1:2">
      <c r="A1669" t="s">
        <v>18863</v>
      </c>
      <c r="B1669">
        <v>1</v>
      </c>
    </row>
    <row r="1670" spans="1:2">
      <c r="A1670" t="s">
        <v>18856</v>
      </c>
      <c r="B1670">
        <v>1</v>
      </c>
    </row>
    <row r="1671" spans="1:2">
      <c r="A1671" t="s">
        <v>18853</v>
      </c>
      <c r="B1671">
        <v>1</v>
      </c>
    </row>
    <row r="1672" spans="1:2">
      <c r="A1672" t="s">
        <v>18849</v>
      </c>
      <c r="B1672">
        <v>1</v>
      </c>
    </row>
    <row r="1673" spans="1:2">
      <c r="A1673" t="s">
        <v>18845</v>
      </c>
      <c r="B1673">
        <v>1</v>
      </c>
    </row>
    <row r="1674" spans="1:2">
      <c r="A1674" t="s">
        <v>18836</v>
      </c>
      <c r="B1674">
        <v>1</v>
      </c>
    </row>
    <row r="1675" spans="1:2">
      <c r="A1675" t="s">
        <v>18842</v>
      </c>
      <c r="B1675">
        <v>1</v>
      </c>
    </row>
    <row r="1676" spans="1:2">
      <c r="A1676" t="s">
        <v>18841</v>
      </c>
      <c r="B1676">
        <v>1</v>
      </c>
    </row>
    <row r="1677" spans="1:2">
      <c r="A1677" t="s">
        <v>18865</v>
      </c>
      <c r="B1677">
        <v>1</v>
      </c>
    </row>
    <row r="1678" spans="1:2">
      <c r="A1678" t="s">
        <v>18833</v>
      </c>
      <c r="B1678">
        <v>1</v>
      </c>
    </row>
    <row r="1679" spans="1:2">
      <c r="A1679" t="s">
        <v>18830</v>
      </c>
      <c r="B1679">
        <v>1</v>
      </c>
    </row>
    <row r="1680" spans="1:2">
      <c r="A1680" t="s">
        <v>18827</v>
      </c>
      <c r="B1680">
        <v>1</v>
      </c>
    </row>
    <row r="1681" spans="1:2">
      <c r="A1681" t="s">
        <v>18824</v>
      </c>
      <c r="B1681">
        <v>1</v>
      </c>
    </row>
    <row r="1682" spans="1:2">
      <c r="A1682" t="s">
        <v>18821</v>
      </c>
      <c r="B1682">
        <v>1</v>
      </c>
    </row>
    <row r="1683" spans="1:2">
      <c r="A1683" t="s">
        <v>18818</v>
      </c>
      <c r="B1683">
        <v>1</v>
      </c>
    </row>
    <row r="1684" spans="1:2">
      <c r="A1684" t="s">
        <v>18813</v>
      </c>
      <c r="B1684">
        <v>1</v>
      </c>
    </row>
    <row r="1685" spans="1:2">
      <c r="A1685" t="s">
        <v>18859</v>
      </c>
      <c r="B1685">
        <v>1</v>
      </c>
    </row>
    <row r="1686" spans="1:2">
      <c r="A1686" t="s">
        <v>18867</v>
      </c>
      <c r="B1686">
        <v>1</v>
      </c>
    </row>
    <row r="1687" spans="1:2">
      <c r="A1687" t="s">
        <v>18940</v>
      </c>
      <c r="B1687">
        <v>1</v>
      </c>
    </row>
    <row r="1688" spans="1:2">
      <c r="A1688" t="s">
        <v>18876</v>
      </c>
      <c r="B1688">
        <v>1</v>
      </c>
    </row>
    <row r="1689" spans="1:2">
      <c r="A1689" t="s">
        <v>18928</v>
      </c>
      <c r="B1689">
        <v>1</v>
      </c>
    </row>
    <row r="1690" spans="1:2">
      <c r="A1690" t="s">
        <v>18924</v>
      </c>
      <c r="B1690">
        <v>1</v>
      </c>
    </row>
    <row r="1691" spans="1:2">
      <c r="A1691" t="s">
        <v>18920</v>
      </c>
      <c r="B1691">
        <v>1</v>
      </c>
    </row>
    <row r="1692" spans="1:2">
      <c r="A1692" t="s">
        <v>18872</v>
      </c>
      <c r="B1692">
        <v>1</v>
      </c>
    </row>
    <row r="1693" spans="1:2">
      <c r="A1693" t="s">
        <v>6826</v>
      </c>
      <c r="B1693">
        <v>1</v>
      </c>
    </row>
    <row r="1694" spans="1:2">
      <c r="A1694" t="s">
        <v>18913</v>
      </c>
      <c r="B1694">
        <v>1</v>
      </c>
    </row>
    <row r="1695" spans="1:2">
      <c r="A1695" t="s">
        <v>18909</v>
      </c>
      <c r="B1695">
        <v>1</v>
      </c>
    </row>
    <row r="1696" spans="1:2">
      <c r="A1696" t="s">
        <v>18905</v>
      </c>
      <c r="B1696">
        <v>1</v>
      </c>
    </row>
    <row r="1697" spans="1:2">
      <c r="A1697" t="s">
        <v>18900</v>
      </c>
      <c r="B1697">
        <v>1</v>
      </c>
    </row>
    <row r="1698" spans="1:2">
      <c r="A1698" t="s">
        <v>18879</v>
      </c>
      <c r="B1698">
        <v>1</v>
      </c>
    </row>
    <row r="1699" spans="1:2">
      <c r="A1699" t="s">
        <v>18897</v>
      </c>
      <c r="B1699">
        <v>1</v>
      </c>
    </row>
    <row r="1700" spans="1:2">
      <c r="A1700" t="s">
        <v>18890</v>
      </c>
      <c r="B1700">
        <v>1</v>
      </c>
    </row>
    <row r="1701" spans="1:2">
      <c r="A1701" t="s">
        <v>18887</v>
      </c>
      <c r="B1701">
        <v>1</v>
      </c>
    </row>
    <row r="1702" spans="1:2">
      <c r="A1702" t="s">
        <v>18993</v>
      </c>
      <c r="B1702">
        <v>1</v>
      </c>
    </row>
    <row r="1703" spans="1:2">
      <c r="A1703" t="s">
        <v>19088</v>
      </c>
      <c r="B1703">
        <v>1</v>
      </c>
    </row>
    <row r="1704" spans="1:2">
      <c r="A1704" t="s">
        <v>19187</v>
      </c>
      <c r="B1704">
        <v>1</v>
      </c>
    </row>
    <row r="1705" spans="1:2">
      <c r="A1705" t="s">
        <v>19094</v>
      </c>
      <c r="B1705">
        <v>1</v>
      </c>
    </row>
    <row r="1706" spans="1:2">
      <c r="A1706" t="s">
        <v>19204</v>
      </c>
      <c r="B1706">
        <v>1</v>
      </c>
    </row>
    <row r="1707" spans="1:2">
      <c r="A1707" t="s">
        <v>19208</v>
      </c>
      <c r="B1707">
        <v>1</v>
      </c>
    </row>
    <row r="1708" spans="1:2">
      <c r="A1708" t="s">
        <v>19211</v>
      </c>
      <c r="B1708">
        <v>1</v>
      </c>
    </row>
    <row r="1709" spans="1:2">
      <c r="A1709" t="s">
        <v>19200</v>
      </c>
      <c r="B1709">
        <v>1</v>
      </c>
    </row>
    <row r="1710" spans="1:2">
      <c r="A1710" t="s">
        <v>19219</v>
      </c>
      <c r="B1710">
        <v>1</v>
      </c>
    </row>
    <row r="1711" spans="1:2">
      <c r="A1711" t="s">
        <v>19223</v>
      </c>
      <c r="B1711">
        <v>1</v>
      </c>
    </row>
    <row r="1712" spans="1:2">
      <c r="A1712" t="s">
        <v>19225</v>
      </c>
      <c r="B1712">
        <v>1</v>
      </c>
    </row>
    <row r="1713" spans="1:2">
      <c r="A1713" t="s">
        <v>19229</v>
      </c>
      <c r="B1713">
        <v>1</v>
      </c>
    </row>
    <row r="1714" spans="1:2">
      <c r="A1714" t="s">
        <v>19232</v>
      </c>
      <c r="B1714">
        <v>1</v>
      </c>
    </row>
    <row r="1715" spans="1:2">
      <c r="A1715" t="s">
        <v>19236</v>
      </c>
      <c r="B1715">
        <v>1</v>
      </c>
    </row>
    <row r="1716" spans="1:2">
      <c r="A1716" t="s">
        <v>19248</v>
      </c>
      <c r="B1716">
        <v>1</v>
      </c>
    </row>
    <row r="1717" spans="1:2">
      <c r="A1717" t="s">
        <v>19240</v>
      </c>
      <c r="B1717">
        <v>1</v>
      </c>
    </row>
    <row r="1718" spans="1:2">
      <c r="A1718" t="s">
        <v>19242</v>
      </c>
      <c r="B1718">
        <v>1</v>
      </c>
    </row>
    <row r="1719" spans="1:2">
      <c r="A1719" t="s">
        <v>19244</v>
      </c>
      <c r="B1719">
        <v>1</v>
      </c>
    </row>
    <row r="1720" spans="1:2">
      <c r="A1720" t="s">
        <v>19246</v>
      </c>
      <c r="B1720">
        <v>1</v>
      </c>
    </row>
    <row r="1721" spans="1:2">
      <c r="A1721" t="s">
        <v>19261</v>
      </c>
      <c r="B1721">
        <v>1</v>
      </c>
    </row>
    <row r="1722" spans="1:2">
      <c r="A1722" t="s">
        <v>19252</v>
      </c>
      <c r="B1722">
        <v>1</v>
      </c>
    </row>
    <row r="1723" spans="1:2">
      <c r="A1723" t="s">
        <v>19286</v>
      </c>
      <c r="B1723">
        <v>1</v>
      </c>
    </row>
    <row r="1724" spans="1:2">
      <c r="A1724" t="s">
        <v>19279</v>
      </c>
      <c r="B1724">
        <v>1</v>
      </c>
    </row>
    <row r="1725" spans="1:2">
      <c r="A1725" t="s">
        <v>19275</v>
      </c>
      <c r="B1725">
        <v>1</v>
      </c>
    </row>
    <row r="1726" spans="1:2">
      <c r="A1726" t="s">
        <v>19287</v>
      </c>
      <c r="B1726">
        <v>1</v>
      </c>
    </row>
    <row r="1727" spans="1:2">
      <c r="A1727" t="s">
        <v>19269</v>
      </c>
      <c r="B1727">
        <v>1</v>
      </c>
    </row>
    <row r="1728" spans="1:2">
      <c r="A1728" t="s">
        <v>19267</v>
      </c>
      <c r="B1728">
        <v>1</v>
      </c>
    </row>
    <row r="1729" spans="1:2">
      <c r="A1729" t="s">
        <v>19263</v>
      </c>
      <c r="B1729">
        <v>1</v>
      </c>
    </row>
    <row r="1730" spans="1:2">
      <c r="A1730" t="s">
        <v>19273</v>
      </c>
      <c r="B1730">
        <v>1</v>
      </c>
    </row>
    <row r="1731" spans="1:2">
      <c r="A1731" t="s">
        <v>19257</v>
      </c>
      <c r="B1731">
        <v>1</v>
      </c>
    </row>
    <row r="1732" spans="1:2">
      <c r="A1732" t="s">
        <v>19255</v>
      </c>
      <c r="B1732">
        <v>1</v>
      </c>
    </row>
    <row r="1733" spans="1:2">
      <c r="A1733" t="s">
        <v>18947</v>
      </c>
      <c r="B1733">
        <v>1</v>
      </c>
    </row>
    <row r="1734" spans="1:2">
      <c r="A1734" t="s">
        <v>19215</v>
      </c>
      <c r="B1734">
        <v>1</v>
      </c>
    </row>
    <row r="1735" spans="1:2">
      <c r="A1735" t="s">
        <v>19192</v>
      </c>
      <c r="B1735">
        <v>1</v>
      </c>
    </row>
    <row r="1736" spans="1:2">
      <c r="A1736" t="s">
        <v>19141</v>
      </c>
      <c r="B1736">
        <v>1</v>
      </c>
    </row>
    <row r="1737" spans="1:2">
      <c r="A1737" t="s">
        <v>19098</v>
      </c>
      <c r="B1737">
        <v>1</v>
      </c>
    </row>
    <row r="1738" spans="1:2">
      <c r="A1738" t="s">
        <v>19102</v>
      </c>
      <c r="B1738">
        <v>1</v>
      </c>
    </row>
    <row r="1739" spans="1:2">
      <c r="A1739" t="s">
        <v>19106</v>
      </c>
      <c r="B1739">
        <v>1</v>
      </c>
    </row>
    <row r="1740" spans="1:2">
      <c r="A1740" t="s">
        <v>19109</v>
      </c>
      <c r="B1740">
        <v>1</v>
      </c>
    </row>
    <row r="1741" spans="1:2">
      <c r="A1741" t="s">
        <v>19112</v>
      </c>
      <c r="B1741">
        <v>1</v>
      </c>
    </row>
    <row r="1742" spans="1:2">
      <c r="A1742" t="s">
        <v>19114</v>
      </c>
      <c r="B1742">
        <v>1</v>
      </c>
    </row>
    <row r="1743" spans="1:2">
      <c r="A1743" t="s">
        <v>19117</v>
      </c>
      <c r="B1743">
        <v>1</v>
      </c>
    </row>
    <row r="1744" spans="1:2">
      <c r="A1744" t="s">
        <v>19121</v>
      </c>
      <c r="B1744">
        <v>1</v>
      </c>
    </row>
    <row r="1745" spans="1:2">
      <c r="A1745" t="s">
        <v>19125</v>
      </c>
      <c r="B1745">
        <v>1</v>
      </c>
    </row>
    <row r="1746" spans="1:2">
      <c r="A1746" t="s">
        <v>19196</v>
      </c>
      <c r="B1746">
        <v>1</v>
      </c>
    </row>
    <row r="1747" spans="1:2">
      <c r="A1747" t="s">
        <v>19129</v>
      </c>
      <c r="B1747">
        <v>1</v>
      </c>
    </row>
    <row r="1748" spans="1:2">
      <c r="A1748" t="s">
        <v>19131</v>
      </c>
      <c r="B1748">
        <v>1</v>
      </c>
    </row>
    <row r="1749" spans="1:2">
      <c r="A1749" t="s">
        <v>19135</v>
      </c>
      <c r="B1749">
        <v>1</v>
      </c>
    </row>
    <row r="1750" spans="1:2">
      <c r="A1750" t="s">
        <v>19138</v>
      </c>
      <c r="B1750">
        <v>1</v>
      </c>
    </row>
    <row r="1751" spans="1:2">
      <c r="A1751" t="s">
        <v>19145</v>
      </c>
      <c r="B1751">
        <v>1</v>
      </c>
    </row>
    <row r="1752" spans="1:2">
      <c r="A1752" t="s">
        <v>19189</v>
      </c>
      <c r="B1752">
        <v>1</v>
      </c>
    </row>
    <row r="1753" spans="1:2">
      <c r="A1753" t="s">
        <v>19147</v>
      </c>
      <c r="B1753">
        <v>1</v>
      </c>
    </row>
    <row r="1754" spans="1:2">
      <c r="A1754" t="s">
        <v>19151</v>
      </c>
      <c r="B1754">
        <v>1</v>
      </c>
    </row>
    <row r="1755" spans="1:2">
      <c r="A1755" t="s">
        <v>19155</v>
      </c>
      <c r="B1755">
        <v>1</v>
      </c>
    </row>
    <row r="1756" spans="1:2">
      <c r="A1756" t="s">
        <v>19158</v>
      </c>
      <c r="B1756">
        <v>1</v>
      </c>
    </row>
    <row r="1757" spans="1:2">
      <c r="A1757" t="s">
        <v>19161</v>
      </c>
      <c r="B1757">
        <v>1</v>
      </c>
    </row>
    <row r="1758" spans="1:2">
      <c r="A1758" t="s">
        <v>19165</v>
      </c>
      <c r="B1758">
        <v>1</v>
      </c>
    </row>
    <row r="1759" spans="1:2">
      <c r="A1759" t="s">
        <v>19167</v>
      </c>
      <c r="B1759">
        <v>1</v>
      </c>
    </row>
    <row r="1760" spans="1:2">
      <c r="A1760" t="s">
        <v>19171</v>
      </c>
      <c r="B1760">
        <v>1</v>
      </c>
    </row>
    <row r="1761" spans="1:2">
      <c r="A1761" t="s">
        <v>19174</v>
      </c>
      <c r="B1761">
        <v>1</v>
      </c>
    </row>
    <row r="1762" spans="1:2">
      <c r="A1762" t="s">
        <v>19178</v>
      </c>
      <c r="B1762">
        <v>1</v>
      </c>
    </row>
    <row r="1763" spans="1:2">
      <c r="A1763" t="s">
        <v>19181</v>
      </c>
      <c r="B1763">
        <v>1</v>
      </c>
    </row>
    <row r="1764" spans="1:2">
      <c r="A1764" t="s">
        <v>19184</v>
      </c>
      <c r="B1764">
        <v>1</v>
      </c>
    </row>
    <row r="1765" spans="1:2">
      <c r="A1765" t="s">
        <v>19370</v>
      </c>
      <c r="B1765">
        <v>1</v>
      </c>
    </row>
    <row r="1766" spans="1:2">
      <c r="A1766" t="s">
        <v>19427</v>
      </c>
      <c r="B1766">
        <v>1</v>
      </c>
    </row>
    <row r="1767" spans="1:2">
      <c r="A1767" t="s">
        <v>19423</v>
      </c>
      <c r="B1767">
        <v>1</v>
      </c>
    </row>
    <row r="1768" spans="1:2">
      <c r="A1768" t="s">
        <v>19420</v>
      </c>
      <c r="B1768">
        <v>1</v>
      </c>
    </row>
    <row r="1769" spans="1:2">
      <c r="A1769" t="s">
        <v>19416</v>
      </c>
      <c r="B1769">
        <v>1</v>
      </c>
    </row>
    <row r="1770" spans="1:2">
      <c r="A1770" t="s">
        <v>19411</v>
      </c>
      <c r="B1770">
        <v>1</v>
      </c>
    </row>
    <row r="1771" spans="1:2">
      <c r="A1771" t="s">
        <v>19407</v>
      </c>
      <c r="B1771">
        <v>1</v>
      </c>
    </row>
    <row r="1772" spans="1:2">
      <c r="A1772" t="s">
        <v>19400</v>
      </c>
      <c r="B1772">
        <v>1</v>
      </c>
    </row>
    <row r="1773" spans="1:2">
      <c r="A1773" t="s">
        <v>19395</v>
      </c>
      <c r="B1773">
        <v>1</v>
      </c>
    </row>
    <row r="1774" spans="1:2">
      <c r="A1774" t="s">
        <v>19390</v>
      </c>
      <c r="B1774">
        <v>1</v>
      </c>
    </row>
    <row r="1775" spans="1:2">
      <c r="A1775" t="s">
        <v>19387</v>
      </c>
      <c r="B1775">
        <v>1</v>
      </c>
    </row>
    <row r="1776" spans="1:2">
      <c r="A1776" t="s">
        <v>19383</v>
      </c>
      <c r="B1776">
        <v>1</v>
      </c>
    </row>
    <row r="1777" spans="1:2">
      <c r="A1777" t="s">
        <v>19378</v>
      </c>
      <c r="B1777">
        <v>1</v>
      </c>
    </row>
    <row r="1778" spans="1:2">
      <c r="A1778" t="s">
        <v>19373</v>
      </c>
      <c r="B1778">
        <v>1</v>
      </c>
    </row>
    <row r="1779" spans="1:2">
      <c r="A1779" t="s">
        <v>19430</v>
      </c>
      <c r="B1779">
        <v>1</v>
      </c>
    </row>
    <row r="1780" spans="1:2">
      <c r="A1780" t="s">
        <v>513</v>
      </c>
      <c r="B1780">
        <v>1</v>
      </c>
    </row>
    <row r="1781" spans="1:2">
      <c r="A1781" t="s">
        <v>509</v>
      </c>
      <c r="B1781">
        <v>1</v>
      </c>
    </row>
    <row r="1782" spans="1:2">
      <c r="A1782" t="s">
        <v>501</v>
      </c>
      <c r="B1782">
        <v>1</v>
      </c>
    </row>
    <row r="1783" spans="1:2">
      <c r="A1783" t="s">
        <v>498</v>
      </c>
      <c r="B1783">
        <v>1</v>
      </c>
    </row>
    <row r="1784" spans="1:2">
      <c r="A1784" t="s">
        <v>775</v>
      </c>
      <c r="B1784">
        <v>1</v>
      </c>
    </row>
    <row r="1785" spans="1:2">
      <c r="A1785" t="s">
        <v>1099</v>
      </c>
      <c r="B1785">
        <v>1</v>
      </c>
    </row>
    <row r="1786" spans="1:2">
      <c r="A1786" t="s">
        <v>1097</v>
      </c>
      <c r="B1786">
        <v>1</v>
      </c>
    </row>
    <row r="1787" spans="1:2">
      <c r="A1787" t="s">
        <v>1092</v>
      </c>
      <c r="B1787">
        <v>1</v>
      </c>
    </row>
    <row r="1788" spans="1:2">
      <c r="A1788" t="s">
        <v>1090</v>
      </c>
      <c r="B1788">
        <v>1</v>
      </c>
    </row>
    <row r="1789" spans="1:2">
      <c r="A1789" t="s">
        <v>1086</v>
      </c>
      <c r="B1789">
        <v>1</v>
      </c>
    </row>
    <row r="1790" spans="1:2">
      <c r="A1790" t="s">
        <v>1165</v>
      </c>
      <c r="B1790">
        <v>1</v>
      </c>
    </row>
    <row r="1791" spans="1:2">
      <c r="A1791" t="s">
        <v>1170</v>
      </c>
      <c r="B1791">
        <v>1</v>
      </c>
    </row>
    <row r="1792" spans="1:2">
      <c r="A1792" t="s">
        <v>1236</v>
      </c>
      <c r="B1792">
        <v>1</v>
      </c>
    </row>
    <row r="1793" spans="1:2">
      <c r="A1793" t="s">
        <v>1229</v>
      </c>
      <c r="B1793">
        <v>1</v>
      </c>
    </row>
    <row r="1794" spans="1:2">
      <c r="A1794" t="s">
        <v>1227</v>
      </c>
      <c r="B1794">
        <v>1</v>
      </c>
    </row>
    <row r="1795" spans="1:2">
      <c r="A1795" t="s">
        <v>1224</v>
      </c>
      <c r="B1795">
        <v>1</v>
      </c>
    </row>
    <row r="1796" spans="1:2">
      <c r="A1796" t="s">
        <v>1221</v>
      </c>
      <c r="B1796">
        <v>1</v>
      </c>
    </row>
    <row r="1797" spans="1:2">
      <c r="A1797" t="s">
        <v>1218</v>
      </c>
      <c r="B1797">
        <v>1</v>
      </c>
    </row>
    <row r="1798" spans="1:2">
      <c r="A1798" t="s">
        <v>1215</v>
      </c>
      <c r="B1798">
        <v>1</v>
      </c>
    </row>
    <row r="1799" spans="1:2">
      <c r="A1799" t="s">
        <v>1136</v>
      </c>
      <c r="B1799">
        <v>1</v>
      </c>
    </row>
    <row r="1800" spans="1:2">
      <c r="A1800" t="s">
        <v>1240</v>
      </c>
      <c r="B1800">
        <v>1</v>
      </c>
    </row>
    <row r="1801" spans="1:2">
      <c r="A1801" t="s">
        <v>995</v>
      </c>
      <c r="B1801">
        <v>1</v>
      </c>
    </row>
    <row r="1802" spans="1:2">
      <c r="A1802" t="s">
        <v>998</v>
      </c>
      <c r="B1802">
        <v>1</v>
      </c>
    </row>
    <row r="1803" spans="1:2">
      <c r="A1803" t="s">
        <v>1003</v>
      </c>
      <c r="B1803">
        <v>1</v>
      </c>
    </row>
    <row r="1804" spans="1:2">
      <c r="A1804" t="s">
        <v>1007</v>
      </c>
      <c r="B1804">
        <v>1</v>
      </c>
    </row>
    <row r="1805" spans="1:2">
      <c r="A1805" t="s">
        <v>1010</v>
      </c>
      <c r="B1805">
        <v>1</v>
      </c>
    </row>
    <row r="1806" spans="1:2">
      <c r="A1806" t="s">
        <v>1013</v>
      </c>
      <c r="B1806">
        <v>1</v>
      </c>
    </row>
    <row r="1807" spans="1:2">
      <c r="A1807" t="s">
        <v>1016</v>
      </c>
      <c r="B1807">
        <v>1</v>
      </c>
    </row>
    <row r="1808" spans="1:2">
      <c r="A1808" t="s">
        <v>1019</v>
      </c>
      <c r="B1808">
        <v>1</v>
      </c>
    </row>
    <row r="1809" spans="1:2">
      <c r="A1809" t="s">
        <v>1022</v>
      </c>
      <c r="B1809">
        <v>1</v>
      </c>
    </row>
    <row r="1810" spans="1:2">
      <c r="A1810" t="s">
        <v>1024</v>
      </c>
      <c r="B1810">
        <v>1</v>
      </c>
    </row>
    <row r="1811" spans="1:2">
      <c r="A1811" t="s">
        <v>1027</v>
      </c>
      <c r="B1811">
        <v>1</v>
      </c>
    </row>
    <row r="1812" spans="1:2">
      <c r="A1812" t="s">
        <v>1030</v>
      </c>
      <c r="B1812">
        <v>1</v>
      </c>
    </row>
    <row r="1813" spans="1:2">
      <c r="A1813" t="s">
        <v>1032</v>
      </c>
      <c r="B1813">
        <v>1</v>
      </c>
    </row>
    <row r="1814" spans="1:2">
      <c r="A1814" t="s">
        <v>1035</v>
      </c>
      <c r="B1814">
        <v>1</v>
      </c>
    </row>
    <row r="1815" spans="1:2">
      <c r="A1815" t="s">
        <v>1038</v>
      </c>
      <c r="B1815">
        <v>1</v>
      </c>
    </row>
    <row r="1816" spans="1:2">
      <c r="A1816" t="s">
        <v>1041</v>
      </c>
      <c r="B1816">
        <v>1</v>
      </c>
    </row>
    <row r="1817" spans="1:2">
      <c r="A1817" t="s">
        <v>1045</v>
      </c>
      <c r="B1817">
        <v>1</v>
      </c>
    </row>
    <row r="1818" spans="1:2">
      <c r="A1818" t="s">
        <v>1049</v>
      </c>
      <c r="B1818">
        <v>1</v>
      </c>
    </row>
    <row r="1819" spans="1:2">
      <c r="A1819" t="s">
        <v>1052</v>
      </c>
      <c r="B1819">
        <v>1</v>
      </c>
    </row>
    <row r="1820" spans="1:2">
      <c r="A1820" t="s">
        <v>1056</v>
      </c>
      <c r="B1820">
        <v>1</v>
      </c>
    </row>
    <row r="1821" spans="1:2">
      <c r="A1821" t="s">
        <v>1059</v>
      </c>
      <c r="B1821">
        <v>1</v>
      </c>
    </row>
    <row r="1822" spans="1:2">
      <c r="A1822" t="s">
        <v>1061</v>
      </c>
      <c r="B1822">
        <v>1</v>
      </c>
    </row>
    <row r="1823" spans="1:2">
      <c r="A1823" t="s">
        <v>1064</v>
      </c>
      <c r="B1823">
        <v>1</v>
      </c>
    </row>
    <row r="1824" spans="1:2">
      <c r="A1824" t="s">
        <v>1068</v>
      </c>
      <c r="B1824">
        <v>1</v>
      </c>
    </row>
    <row r="1825" spans="1:2">
      <c r="A1825" t="s">
        <v>991</v>
      </c>
      <c r="B1825">
        <v>1</v>
      </c>
    </row>
    <row r="1826" spans="1:2">
      <c r="A1826" t="s">
        <v>988</v>
      </c>
      <c r="B1826">
        <v>1</v>
      </c>
    </row>
    <row r="1827" spans="1:2">
      <c r="A1827" t="s">
        <v>984</v>
      </c>
      <c r="B1827">
        <v>1</v>
      </c>
    </row>
    <row r="1828" spans="1:2">
      <c r="A1828" t="s">
        <v>938</v>
      </c>
      <c r="B1828">
        <v>1</v>
      </c>
    </row>
    <row r="1829" spans="1:2">
      <c r="A1829" t="s">
        <v>897</v>
      </c>
      <c r="B1829">
        <v>1</v>
      </c>
    </row>
    <row r="1830" spans="1:2">
      <c r="A1830" t="s">
        <v>900</v>
      </c>
      <c r="B1830">
        <v>1</v>
      </c>
    </row>
    <row r="1831" spans="1:2">
      <c r="A1831" t="s">
        <v>905</v>
      </c>
      <c r="B1831">
        <v>1</v>
      </c>
    </row>
    <row r="1832" spans="1:2">
      <c r="A1832" t="s">
        <v>913</v>
      </c>
      <c r="B1832">
        <v>1</v>
      </c>
    </row>
    <row r="1833" spans="1:2">
      <c r="A1833" t="s">
        <v>917</v>
      </c>
      <c r="B1833">
        <v>1</v>
      </c>
    </row>
    <row r="1834" spans="1:2">
      <c r="A1834" t="s">
        <v>919</v>
      </c>
      <c r="B1834">
        <v>1</v>
      </c>
    </row>
    <row r="1835" spans="1:2">
      <c r="A1835" t="s">
        <v>923</v>
      </c>
      <c r="B1835">
        <v>1</v>
      </c>
    </row>
    <row r="1836" spans="1:2">
      <c r="A1836" t="s">
        <v>926</v>
      </c>
      <c r="B1836">
        <v>1</v>
      </c>
    </row>
    <row r="1837" spans="1:2">
      <c r="A1837" t="s">
        <v>930</v>
      </c>
      <c r="B1837">
        <v>1</v>
      </c>
    </row>
    <row r="1838" spans="1:2">
      <c r="A1838" t="s">
        <v>934</v>
      </c>
      <c r="B1838">
        <v>1</v>
      </c>
    </row>
    <row r="1839" spans="1:2">
      <c r="A1839" t="s">
        <v>941</v>
      </c>
      <c r="B1839">
        <v>1</v>
      </c>
    </row>
    <row r="1840" spans="1:2">
      <c r="A1840" t="s">
        <v>982</v>
      </c>
      <c r="B1840">
        <v>1</v>
      </c>
    </row>
    <row r="1841" spans="1:2">
      <c r="A1841" t="s">
        <v>945</v>
      </c>
      <c r="B1841">
        <v>1</v>
      </c>
    </row>
    <row r="1842" spans="1:2">
      <c r="A1842" t="s">
        <v>949</v>
      </c>
      <c r="B1842">
        <v>1</v>
      </c>
    </row>
    <row r="1843" spans="1:2">
      <c r="A1843" t="s">
        <v>952</v>
      </c>
      <c r="B1843">
        <v>1</v>
      </c>
    </row>
    <row r="1844" spans="1:2">
      <c r="A1844" t="s">
        <v>961</v>
      </c>
      <c r="B1844">
        <v>1</v>
      </c>
    </row>
    <row r="1845" spans="1:2">
      <c r="A1845" t="s">
        <v>964</v>
      </c>
      <c r="B1845">
        <v>1</v>
      </c>
    </row>
    <row r="1846" spans="1:2">
      <c r="A1846" t="s">
        <v>971</v>
      </c>
      <c r="B1846">
        <v>1</v>
      </c>
    </row>
    <row r="1847" spans="1:2">
      <c r="A1847" t="s">
        <v>974</v>
      </c>
      <c r="B1847">
        <v>1</v>
      </c>
    </row>
    <row r="1848" spans="1:2">
      <c r="A1848" t="s">
        <v>978</v>
      </c>
      <c r="B1848">
        <v>1</v>
      </c>
    </row>
    <row r="1849" spans="1:2">
      <c r="A1849" t="s">
        <v>1071</v>
      </c>
      <c r="B1849">
        <v>1</v>
      </c>
    </row>
    <row r="1850" spans="1:2">
      <c r="A1850" t="s">
        <v>1076</v>
      </c>
      <c r="B1850">
        <v>1</v>
      </c>
    </row>
    <row r="1851" spans="1:2">
      <c r="A1851" t="s">
        <v>1080</v>
      </c>
      <c r="B1851">
        <v>1</v>
      </c>
    </row>
    <row r="1852" spans="1:2">
      <c r="A1852" t="s">
        <v>1083</v>
      </c>
      <c r="B1852">
        <v>1</v>
      </c>
    </row>
    <row r="1853" spans="1:2">
      <c r="A1853" t="s">
        <v>1173</v>
      </c>
      <c r="B1853">
        <v>1</v>
      </c>
    </row>
    <row r="1854" spans="1:2">
      <c r="A1854" t="s">
        <v>1178</v>
      </c>
      <c r="B1854">
        <v>1</v>
      </c>
    </row>
    <row r="1855" spans="1:2">
      <c r="A1855" t="s">
        <v>1187</v>
      </c>
      <c r="B1855">
        <v>1</v>
      </c>
    </row>
    <row r="1856" spans="1:2">
      <c r="A1856" t="s">
        <v>1189</v>
      </c>
      <c r="B1856">
        <v>1</v>
      </c>
    </row>
    <row r="1857" spans="1:2">
      <c r="A1857" t="s">
        <v>1192</v>
      </c>
      <c r="B1857">
        <v>1</v>
      </c>
    </row>
    <row r="1858" spans="1:2">
      <c r="A1858" t="s">
        <v>1195</v>
      </c>
      <c r="B1858">
        <v>1</v>
      </c>
    </row>
    <row r="1859" spans="1:2">
      <c r="A1859" t="s">
        <v>1196</v>
      </c>
      <c r="B1859">
        <v>1</v>
      </c>
    </row>
    <row r="1860" spans="1:2">
      <c r="A1860" t="s">
        <v>1200</v>
      </c>
      <c r="B1860">
        <v>1</v>
      </c>
    </row>
    <row r="1861" spans="1:2">
      <c r="A1861" t="s">
        <v>1202</v>
      </c>
      <c r="B1861">
        <v>1</v>
      </c>
    </row>
    <row r="1862" spans="1:2">
      <c r="A1862" t="s">
        <v>1205</v>
      </c>
      <c r="B1862">
        <v>1</v>
      </c>
    </row>
    <row r="1863" spans="1:2">
      <c r="A1863" t="s">
        <v>1208</v>
      </c>
      <c r="B1863">
        <v>1</v>
      </c>
    </row>
    <row r="1864" spans="1:2">
      <c r="A1864" t="s">
        <v>1209</v>
      </c>
      <c r="B1864">
        <v>1</v>
      </c>
    </row>
    <row r="1865" spans="1:2">
      <c r="A1865" t="s">
        <v>1211</v>
      </c>
      <c r="B1865">
        <v>1</v>
      </c>
    </row>
    <row r="1866" spans="1:2">
      <c r="A1866" t="s">
        <v>1213</v>
      </c>
      <c r="B1866">
        <v>1</v>
      </c>
    </row>
    <row r="1867" spans="1:2">
      <c r="A1867" t="s">
        <v>1214</v>
      </c>
      <c r="B1867">
        <v>1</v>
      </c>
    </row>
    <row r="1868" spans="1:2">
      <c r="A1868" t="s">
        <v>1101</v>
      </c>
      <c r="B1868">
        <v>1</v>
      </c>
    </row>
    <row r="1869" spans="1:2">
      <c r="A1869" t="s">
        <v>1103</v>
      </c>
      <c r="B1869">
        <v>1</v>
      </c>
    </row>
    <row r="1870" spans="1:2">
      <c r="A1870" t="s">
        <v>1105</v>
      </c>
      <c r="B1870">
        <v>1</v>
      </c>
    </row>
    <row r="1871" spans="1:2">
      <c r="A1871" t="s">
        <v>1109</v>
      </c>
      <c r="B1871">
        <v>1</v>
      </c>
    </row>
    <row r="1872" spans="1:2">
      <c r="A1872" t="s">
        <v>1114</v>
      </c>
      <c r="B1872">
        <v>1</v>
      </c>
    </row>
    <row r="1873" spans="1:2">
      <c r="A1873" t="s">
        <v>1116</v>
      </c>
      <c r="B1873">
        <v>1</v>
      </c>
    </row>
    <row r="1874" spans="1:2">
      <c r="A1874" t="s">
        <v>1122</v>
      </c>
      <c r="B1874">
        <v>1</v>
      </c>
    </row>
    <row r="1875" spans="1:2">
      <c r="A1875" t="s">
        <v>1126</v>
      </c>
      <c r="B1875">
        <v>1</v>
      </c>
    </row>
    <row r="1876" spans="1:2">
      <c r="A1876" t="s">
        <v>1130</v>
      </c>
      <c r="B1876">
        <v>1</v>
      </c>
    </row>
    <row r="1877" spans="1:2">
      <c r="A1877" t="s">
        <v>1134</v>
      </c>
      <c r="B1877">
        <v>1</v>
      </c>
    </row>
    <row r="1878" spans="1:2">
      <c r="A1878" t="s">
        <v>890</v>
      </c>
      <c r="B1878">
        <v>1</v>
      </c>
    </row>
    <row r="1879" spans="1:2">
      <c r="A1879" t="s">
        <v>1139</v>
      </c>
      <c r="B1879">
        <v>1</v>
      </c>
    </row>
    <row r="1880" spans="1:2">
      <c r="A1880" t="s">
        <v>1143</v>
      </c>
      <c r="B1880">
        <v>1</v>
      </c>
    </row>
    <row r="1881" spans="1:2">
      <c r="A1881" t="s">
        <v>1146</v>
      </c>
      <c r="B1881">
        <v>1</v>
      </c>
    </row>
    <row r="1882" spans="1:2">
      <c r="A1882" t="s">
        <v>1154</v>
      </c>
      <c r="B1882">
        <v>1</v>
      </c>
    </row>
    <row r="1883" spans="1:2">
      <c r="A1883" t="s">
        <v>1157</v>
      </c>
      <c r="B1883">
        <v>1</v>
      </c>
    </row>
    <row r="1884" spans="1:2">
      <c r="A1884" t="s">
        <v>1160</v>
      </c>
      <c r="B1884">
        <v>1</v>
      </c>
    </row>
    <row r="1885" spans="1:2">
      <c r="A1885" t="s">
        <v>893</v>
      </c>
      <c r="B1885">
        <v>1</v>
      </c>
    </row>
    <row r="1886" spans="1:2">
      <c r="A1886" t="s">
        <v>1168</v>
      </c>
      <c r="B1886">
        <v>1</v>
      </c>
    </row>
    <row r="1887" spans="1:2">
      <c r="A1887" t="s">
        <v>868</v>
      </c>
      <c r="B1887">
        <v>1</v>
      </c>
    </row>
    <row r="1888" spans="1:2">
      <c r="A1888" t="s">
        <v>678</v>
      </c>
      <c r="B1888">
        <v>1</v>
      </c>
    </row>
    <row r="1889" spans="1:2">
      <c r="A1889" t="s">
        <v>680</v>
      </c>
      <c r="B1889">
        <v>1</v>
      </c>
    </row>
    <row r="1890" spans="1:2">
      <c r="A1890" t="s">
        <v>670</v>
      </c>
      <c r="B1890">
        <v>1</v>
      </c>
    </row>
    <row r="1891" spans="1:2">
      <c r="A1891" t="s">
        <v>687</v>
      </c>
      <c r="B1891">
        <v>1</v>
      </c>
    </row>
    <row r="1892" spans="1:2">
      <c r="A1892" t="s">
        <v>691</v>
      </c>
      <c r="B1892">
        <v>1</v>
      </c>
    </row>
    <row r="1893" spans="1:2">
      <c r="A1893" t="s">
        <v>695</v>
      </c>
      <c r="B1893">
        <v>1</v>
      </c>
    </row>
    <row r="1894" spans="1:2">
      <c r="A1894" t="s">
        <v>698</v>
      </c>
      <c r="B1894">
        <v>1</v>
      </c>
    </row>
    <row r="1895" spans="1:2">
      <c r="A1895" t="s">
        <v>700</v>
      </c>
      <c r="B1895">
        <v>1</v>
      </c>
    </row>
    <row r="1896" spans="1:2">
      <c r="A1896" t="s">
        <v>703</v>
      </c>
      <c r="B1896">
        <v>1</v>
      </c>
    </row>
    <row r="1897" spans="1:2">
      <c r="A1897" t="s">
        <v>706</v>
      </c>
      <c r="B1897">
        <v>1</v>
      </c>
    </row>
    <row r="1898" spans="1:2">
      <c r="A1898" t="s">
        <v>709</v>
      </c>
      <c r="B1898">
        <v>1</v>
      </c>
    </row>
    <row r="1899" spans="1:2">
      <c r="A1899" t="s">
        <v>712</v>
      </c>
      <c r="B1899">
        <v>1</v>
      </c>
    </row>
    <row r="1900" spans="1:2">
      <c r="A1900" t="s">
        <v>720</v>
      </c>
      <c r="B1900">
        <v>1</v>
      </c>
    </row>
    <row r="1901" spans="1:2">
      <c r="A1901" t="s">
        <v>723</v>
      </c>
      <c r="B1901">
        <v>1</v>
      </c>
    </row>
    <row r="1902" spans="1:2">
      <c r="A1902" t="s">
        <v>736</v>
      </c>
      <c r="B1902">
        <v>1</v>
      </c>
    </row>
    <row r="1903" spans="1:2">
      <c r="A1903" t="s">
        <v>744</v>
      </c>
      <c r="B1903">
        <v>1</v>
      </c>
    </row>
    <row r="1904" spans="1:2">
      <c r="A1904" t="s">
        <v>748</v>
      </c>
      <c r="B1904">
        <v>1</v>
      </c>
    </row>
    <row r="1905" spans="1:2">
      <c r="A1905" t="s">
        <v>752</v>
      </c>
      <c r="B1905">
        <v>1</v>
      </c>
    </row>
    <row r="1906" spans="1:2">
      <c r="A1906" t="s">
        <v>754</v>
      </c>
      <c r="B1906">
        <v>1</v>
      </c>
    </row>
    <row r="1907" spans="1:2">
      <c r="A1907" t="s">
        <v>673</v>
      </c>
      <c r="B1907">
        <v>1</v>
      </c>
    </row>
    <row r="1908" spans="1:2">
      <c r="A1908" t="s">
        <v>757</v>
      </c>
      <c r="B1908">
        <v>1</v>
      </c>
    </row>
    <row r="1909" spans="1:2">
      <c r="A1909" t="s">
        <v>666</v>
      </c>
      <c r="B1909">
        <v>1</v>
      </c>
    </row>
    <row r="1910" spans="1:2">
      <c r="A1910" t="s">
        <v>645</v>
      </c>
      <c r="B1910">
        <v>1</v>
      </c>
    </row>
    <row r="1911" spans="1:2">
      <c r="A1911" t="s">
        <v>661</v>
      </c>
      <c r="B1911">
        <v>1</v>
      </c>
    </row>
    <row r="1912" spans="1:2">
      <c r="A1912" t="s">
        <v>657</v>
      </c>
      <c r="B1912">
        <v>1</v>
      </c>
    </row>
    <row r="1913" spans="1:2">
      <c r="A1913" t="s">
        <v>652</v>
      </c>
      <c r="B1913">
        <v>1</v>
      </c>
    </row>
    <row r="1914" spans="1:2">
      <c r="A1914" t="s">
        <v>649</v>
      </c>
      <c r="B1914">
        <v>1</v>
      </c>
    </row>
    <row r="1915" spans="1:2">
      <c r="A1915" t="s">
        <v>761</v>
      </c>
      <c r="B1915">
        <v>1</v>
      </c>
    </row>
    <row r="1916" spans="1:2">
      <c r="A1916" t="s">
        <v>856</v>
      </c>
      <c r="B1916">
        <v>1</v>
      </c>
    </row>
    <row r="1917" spans="1:2">
      <c r="A1917" t="s">
        <v>768</v>
      </c>
      <c r="B1917">
        <v>1</v>
      </c>
    </row>
    <row r="1918" spans="1:2">
      <c r="A1918" t="s">
        <v>832</v>
      </c>
      <c r="B1918">
        <v>1</v>
      </c>
    </row>
    <row r="1919" spans="1:2">
      <c r="A1919" t="s">
        <v>835</v>
      </c>
      <c r="B1919">
        <v>1</v>
      </c>
    </row>
    <row r="1920" spans="1:2">
      <c r="A1920" t="s">
        <v>840</v>
      </c>
      <c r="B1920">
        <v>1</v>
      </c>
    </row>
    <row r="1921" spans="1:2">
      <c r="A1921" t="s">
        <v>845</v>
      </c>
      <c r="B1921">
        <v>1</v>
      </c>
    </row>
    <row r="1922" spans="1:2">
      <c r="A1922" t="s">
        <v>850</v>
      </c>
      <c r="B1922">
        <v>1</v>
      </c>
    </row>
    <row r="1923" spans="1:2">
      <c r="A1923" t="s">
        <v>853</v>
      </c>
      <c r="B1923">
        <v>1</v>
      </c>
    </row>
    <row r="1924" spans="1:2">
      <c r="A1924" t="s">
        <v>860</v>
      </c>
      <c r="B1924">
        <v>1</v>
      </c>
    </row>
    <row r="1925" spans="1:2">
      <c r="A1925" t="s">
        <v>882</v>
      </c>
      <c r="B1925">
        <v>1</v>
      </c>
    </row>
    <row r="1926" spans="1:2">
      <c r="A1926" t="s">
        <v>863</v>
      </c>
      <c r="B1926">
        <v>1</v>
      </c>
    </row>
    <row r="1927" spans="1:2">
      <c r="A1927" t="s">
        <v>866</v>
      </c>
      <c r="B1927">
        <v>1</v>
      </c>
    </row>
    <row r="1928" spans="1:2">
      <c r="A1928" t="s">
        <v>764</v>
      </c>
      <c r="B1928">
        <v>1</v>
      </c>
    </row>
    <row r="1929" spans="1:2">
      <c r="A1929" t="s">
        <v>874</v>
      </c>
      <c r="B1929">
        <v>1</v>
      </c>
    </row>
    <row r="1930" spans="1:2">
      <c r="A1930" t="s">
        <v>878</v>
      </c>
      <c r="B1930">
        <v>1</v>
      </c>
    </row>
    <row r="1931" spans="1:2">
      <c r="A1931" t="s">
        <v>825</v>
      </c>
      <c r="B1931">
        <v>1</v>
      </c>
    </row>
    <row r="1932" spans="1:2">
      <c r="A1932" t="s">
        <v>820</v>
      </c>
      <c r="B1932">
        <v>1</v>
      </c>
    </row>
    <row r="1933" spans="1:2">
      <c r="A1933" t="s">
        <v>817</v>
      </c>
      <c r="B1933">
        <v>1</v>
      </c>
    </row>
    <row r="1934" spans="1:2">
      <c r="A1934" t="s">
        <v>814</v>
      </c>
      <c r="B1934">
        <v>1</v>
      </c>
    </row>
    <row r="1935" spans="1:2">
      <c r="A1935" t="s">
        <v>811</v>
      </c>
      <c r="B1935">
        <v>1</v>
      </c>
    </row>
    <row r="1936" spans="1:2">
      <c r="A1936" t="s">
        <v>808</v>
      </c>
      <c r="B1936">
        <v>1</v>
      </c>
    </row>
    <row r="1937" spans="1:2">
      <c r="A1937" t="s">
        <v>804</v>
      </c>
      <c r="B1937">
        <v>1</v>
      </c>
    </row>
    <row r="1938" spans="1:2">
      <c r="A1938" t="s">
        <v>799</v>
      </c>
      <c r="B1938">
        <v>1</v>
      </c>
    </row>
    <row r="1939" spans="1:2">
      <c r="A1939" t="s">
        <v>795</v>
      </c>
      <c r="B1939">
        <v>1</v>
      </c>
    </row>
    <row r="1940" spans="1:2">
      <c r="A1940" t="s">
        <v>791</v>
      </c>
      <c r="B1940">
        <v>1</v>
      </c>
    </row>
    <row r="1941" spans="1:2">
      <c r="A1941" t="s">
        <v>790</v>
      </c>
      <c r="B1941">
        <v>1</v>
      </c>
    </row>
    <row r="1942" spans="1:2">
      <c r="A1942" t="s">
        <v>785</v>
      </c>
      <c r="B1942">
        <v>1</v>
      </c>
    </row>
    <row r="1943" spans="1:2">
      <c r="A1943" t="s">
        <v>781</v>
      </c>
      <c r="B1943">
        <v>1</v>
      </c>
    </row>
    <row r="1944" spans="1:2">
      <c r="A1944" t="s">
        <v>778</v>
      </c>
      <c r="B1944">
        <v>1</v>
      </c>
    </row>
    <row r="1945" spans="1:2">
      <c r="A1945" t="s">
        <v>1617</v>
      </c>
      <c r="B1945">
        <v>1</v>
      </c>
    </row>
    <row r="1946" spans="1:2">
      <c r="A1946" t="s">
        <v>1570</v>
      </c>
      <c r="B1946">
        <v>1</v>
      </c>
    </row>
    <row r="1947" spans="1:2">
      <c r="A1947" t="s">
        <v>1595</v>
      </c>
      <c r="B1947">
        <v>1</v>
      </c>
    </row>
    <row r="1948" spans="1:2">
      <c r="A1948" t="s">
        <v>1562</v>
      </c>
      <c r="B1948">
        <v>1</v>
      </c>
    </row>
    <row r="1949" spans="1:2">
      <c r="A1949" t="s">
        <v>1559</v>
      </c>
      <c r="B1949">
        <v>1</v>
      </c>
    </row>
    <row r="1950" spans="1:2">
      <c r="A1950" t="s">
        <v>1566</v>
      </c>
      <c r="B1950">
        <v>1</v>
      </c>
    </row>
    <row r="1951" spans="1:2">
      <c r="A1951" t="s">
        <v>1508</v>
      </c>
      <c r="B1951">
        <v>1</v>
      </c>
    </row>
    <row r="1952" spans="1:2">
      <c r="A1952" t="s">
        <v>1512</v>
      </c>
      <c r="B1952">
        <v>1</v>
      </c>
    </row>
    <row r="1953" spans="1:2">
      <c r="A1953" t="s">
        <v>1515</v>
      </c>
      <c r="B1953">
        <v>1</v>
      </c>
    </row>
    <row r="1954" spans="1:2">
      <c r="A1954" t="s">
        <v>1523</v>
      </c>
      <c r="B1954">
        <v>1</v>
      </c>
    </row>
    <row r="1955" spans="1:2">
      <c r="A1955" t="s">
        <v>1527</v>
      </c>
      <c r="B1955">
        <v>1</v>
      </c>
    </row>
    <row r="1956" spans="1:2">
      <c r="A1956" t="s">
        <v>1537</v>
      </c>
      <c r="B1956">
        <v>1</v>
      </c>
    </row>
    <row r="1957" spans="1:2">
      <c r="A1957" t="s">
        <v>1505</v>
      </c>
      <c r="B1957">
        <v>1</v>
      </c>
    </row>
    <row r="1958" spans="1:2">
      <c r="A1958" t="s">
        <v>1545</v>
      </c>
      <c r="B1958">
        <v>1</v>
      </c>
    </row>
    <row r="1959" spans="1:2">
      <c r="A1959" t="s">
        <v>1550</v>
      </c>
      <c r="B1959">
        <v>1</v>
      </c>
    </row>
    <row r="1960" spans="1:2">
      <c r="A1960" t="s">
        <v>1587</v>
      </c>
      <c r="B1960">
        <v>1</v>
      </c>
    </row>
    <row r="1961" spans="1:2">
      <c r="A1961" t="s">
        <v>1583</v>
      </c>
      <c r="B1961">
        <v>1</v>
      </c>
    </row>
    <row r="1962" spans="1:2">
      <c r="A1962" t="s">
        <v>1579</v>
      </c>
      <c r="B1962">
        <v>1</v>
      </c>
    </row>
    <row r="1963" spans="1:2">
      <c r="A1963" t="s">
        <v>1576</v>
      </c>
      <c r="B1963">
        <v>1</v>
      </c>
    </row>
    <row r="1964" spans="1:2">
      <c r="A1964" t="s">
        <v>1413</v>
      </c>
      <c r="B1964">
        <v>1</v>
      </c>
    </row>
    <row r="1965" spans="1:2">
      <c r="A1965" t="s">
        <v>1424</v>
      </c>
      <c r="B1965">
        <v>1</v>
      </c>
    </row>
    <row r="1966" spans="1:2">
      <c r="A1966" t="s">
        <v>1611</v>
      </c>
      <c r="B1966">
        <v>1</v>
      </c>
    </row>
    <row r="1967" spans="1:2">
      <c r="A1967" t="s">
        <v>1607</v>
      </c>
      <c r="B1967">
        <v>1</v>
      </c>
    </row>
    <row r="1968" spans="1:2">
      <c r="A1968" t="s">
        <v>1603</v>
      </c>
      <c r="B1968">
        <v>1</v>
      </c>
    </row>
    <row r="1969" spans="1:2">
      <c r="A1969" t="s">
        <v>1620</v>
      </c>
      <c r="B1969">
        <v>1</v>
      </c>
    </row>
    <row r="1970" spans="1:2">
      <c r="A1970" t="s">
        <v>1598</v>
      </c>
      <c r="B1970">
        <v>1</v>
      </c>
    </row>
    <row r="1971" spans="1:2">
      <c r="A1971" t="s">
        <v>1591</v>
      </c>
      <c r="B1971">
        <v>1</v>
      </c>
    </row>
    <row r="1972" spans="1:2">
      <c r="A1972" t="s">
        <v>1541</v>
      </c>
      <c r="B1972">
        <v>1</v>
      </c>
    </row>
    <row r="1973" spans="1:2">
      <c r="A1973" t="s">
        <v>1498</v>
      </c>
      <c r="B1973">
        <v>1</v>
      </c>
    </row>
    <row r="1974" spans="1:2">
      <c r="A1974" t="s">
        <v>1473</v>
      </c>
      <c r="B1974">
        <v>1</v>
      </c>
    </row>
    <row r="1975" spans="1:2">
      <c r="A1975" t="s">
        <v>1428</v>
      </c>
      <c r="B1975">
        <v>1</v>
      </c>
    </row>
    <row r="1976" spans="1:2">
      <c r="A1976" t="s">
        <v>1442</v>
      </c>
      <c r="B1976">
        <v>1</v>
      </c>
    </row>
    <row r="1977" spans="1:2">
      <c r="A1977" t="s">
        <v>1433</v>
      </c>
      <c r="B1977">
        <v>1</v>
      </c>
    </row>
    <row r="1978" spans="1:2">
      <c r="A1978" t="s">
        <v>1449</v>
      </c>
      <c r="B1978">
        <v>1</v>
      </c>
    </row>
    <row r="1979" spans="1:2">
      <c r="A1979" t="s">
        <v>1502</v>
      </c>
      <c r="B1979">
        <v>1</v>
      </c>
    </row>
    <row r="1980" spans="1:2">
      <c r="A1980" t="s">
        <v>1421</v>
      </c>
      <c r="B1980">
        <v>1</v>
      </c>
    </row>
    <row r="1981" spans="1:2">
      <c r="A1981" t="s">
        <v>1419</v>
      </c>
      <c r="B1981">
        <v>1</v>
      </c>
    </row>
    <row r="1982" spans="1:2">
      <c r="A1982" t="s">
        <v>1417</v>
      </c>
      <c r="B1982">
        <v>1</v>
      </c>
    </row>
    <row r="1983" spans="1:2">
      <c r="A1983" t="s">
        <v>1447</v>
      </c>
      <c r="B1983">
        <v>1</v>
      </c>
    </row>
    <row r="1984" spans="1:2">
      <c r="A1984" t="s">
        <v>1452</v>
      </c>
      <c r="B1984">
        <v>1</v>
      </c>
    </row>
    <row r="1985" spans="1:2">
      <c r="A1985" t="s">
        <v>1495</v>
      </c>
      <c r="B1985">
        <v>1</v>
      </c>
    </row>
    <row r="1986" spans="1:2">
      <c r="A1986" t="s">
        <v>1460</v>
      </c>
      <c r="B1986">
        <v>1</v>
      </c>
    </row>
    <row r="1987" spans="1:2">
      <c r="A1987" t="s">
        <v>1462</v>
      </c>
      <c r="B1987">
        <v>1</v>
      </c>
    </row>
    <row r="1988" spans="1:2">
      <c r="A1988" t="s">
        <v>1466</v>
      </c>
      <c r="B1988">
        <v>1</v>
      </c>
    </row>
    <row r="1989" spans="1:2">
      <c r="A1989" t="s">
        <v>1469</v>
      </c>
      <c r="B1989">
        <v>1</v>
      </c>
    </row>
    <row r="1990" spans="1:2">
      <c r="A1990" t="s">
        <v>1456</v>
      </c>
      <c r="B1990">
        <v>1</v>
      </c>
    </row>
    <row r="1991" spans="1:2">
      <c r="A1991" t="s">
        <v>1476</v>
      </c>
      <c r="B1991">
        <v>1</v>
      </c>
    </row>
    <row r="1992" spans="1:2">
      <c r="A1992" t="s">
        <v>1480</v>
      </c>
      <c r="B1992">
        <v>1</v>
      </c>
    </row>
    <row r="1993" spans="1:2">
      <c r="A1993" t="s">
        <v>1482</v>
      </c>
      <c r="B1993">
        <v>1</v>
      </c>
    </row>
    <row r="1994" spans="1:2">
      <c r="A1994" t="s">
        <v>1487</v>
      </c>
      <c r="B1994">
        <v>1</v>
      </c>
    </row>
    <row r="1995" spans="1:2">
      <c r="A1995" t="s">
        <v>1490</v>
      </c>
      <c r="B1995">
        <v>1</v>
      </c>
    </row>
    <row r="1996" spans="1:2">
      <c r="A1996" t="s">
        <v>2345</v>
      </c>
      <c r="B1996">
        <v>1</v>
      </c>
    </row>
    <row r="1997" spans="1:2">
      <c r="A1997" t="s">
        <v>2325</v>
      </c>
      <c r="B1997">
        <v>1</v>
      </c>
    </row>
    <row r="1998" spans="1:2">
      <c r="A1998" t="s">
        <v>2329</v>
      </c>
      <c r="B1998">
        <v>1</v>
      </c>
    </row>
    <row r="1999" spans="1:2">
      <c r="A1999" t="s">
        <v>2333</v>
      </c>
      <c r="B1999">
        <v>1</v>
      </c>
    </row>
    <row r="2000" spans="1:2">
      <c r="A2000" t="s">
        <v>2322</v>
      </c>
      <c r="B2000">
        <v>1</v>
      </c>
    </row>
    <row r="2001" spans="1:2">
      <c r="A2001" t="s">
        <v>2336</v>
      </c>
      <c r="B2001">
        <v>1</v>
      </c>
    </row>
    <row r="2002" spans="1:2">
      <c r="A2002" t="s">
        <v>2340</v>
      </c>
      <c r="B2002">
        <v>1</v>
      </c>
    </row>
    <row r="2003" spans="1:2">
      <c r="A2003" t="s">
        <v>2344</v>
      </c>
      <c r="B2003">
        <v>1</v>
      </c>
    </row>
    <row r="2004" spans="1:2">
      <c r="A2004" t="s">
        <v>2698</v>
      </c>
      <c r="B2004">
        <v>1</v>
      </c>
    </row>
    <row r="2005" spans="1:2">
      <c r="A2005" t="s">
        <v>2676</v>
      </c>
      <c r="B2005">
        <v>1</v>
      </c>
    </row>
    <row r="2006" spans="1:2">
      <c r="A2006" t="s">
        <v>2695</v>
      </c>
      <c r="B2006">
        <v>1</v>
      </c>
    </row>
    <row r="2007" spans="1:2">
      <c r="A2007" t="s">
        <v>2706</v>
      </c>
      <c r="B2007">
        <v>1</v>
      </c>
    </row>
    <row r="2008" spans="1:2">
      <c r="A2008" t="s">
        <v>2658</v>
      </c>
      <c r="B2008">
        <v>1</v>
      </c>
    </row>
    <row r="2009" spans="1:2">
      <c r="A2009" t="s">
        <v>2665</v>
      </c>
      <c r="B2009">
        <v>1</v>
      </c>
    </row>
    <row r="2010" spans="1:2">
      <c r="A2010" t="s">
        <v>2669</v>
      </c>
      <c r="B2010">
        <v>1</v>
      </c>
    </row>
    <row r="2011" spans="1:2">
      <c r="A2011" t="s">
        <v>2672</v>
      </c>
      <c r="B2011">
        <v>1</v>
      </c>
    </row>
    <row r="2012" spans="1:2">
      <c r="A2012" t="s">
        <v>2656</v>
      </c>
      <c r="B2012">
        <v>1</v>
      </c>
    </row>
    <row r="2013" spans="1:2">
      <c r="A2013" t="s">
        <v>2680</v>
      </c>
      <c r="B2013">
        <v>1</v>
      </c>
    </row>
    <row r="2014" spans="1:2">
      <c r="A2014" t="s">
        <v>2682</v>
      </c>
      <c r="B2014">
        <v>1</v>
      </c>
    </row>
    <row r="2015" spans="1:2">
      <c r="A2015" t="s">
        <v>2686</v>
      </c>
      <c r="B2015">
        <v>1</v>
      </c>
    </row>
    <row r="2016" spans="1:2">
      <c r="A2016" t="s">
        <v>2692</v>
      </c>
      <c r="B2016">
        <v>1</v>
      </c>
    </row>
    <row r="2017" spans="1:2">
      <c r="A2017" t="s">
        <v>2712</v>
      </c>
      <c r="B2017">
        <v>1</v>
      </c>
    </row>
    <row r="2018" spans="1:2">
      <c r="A2018" t="s">
        <v>2709</v>
      </c>
      <c r="B2018">
        <v>1</v>
      </c>
    </row>
    <row r="2019" spans="1:2">
      <c r="A2019" t="s">
        <v>2718</v>
      </c>
      <c r="B2019">
        <v>1</v>
      </c>
    </row>
    <row r="2020" spans="1:2">
      <c r="A2020" t="s">
        <v>2716</v>
      </c>
      <c r="B2020">
        <v>1</v>
      </c>
    </row>
    <row r="2021" spans="1:2">
      <c r="A2021" t="s">
        <v>3184</v>
      </c>
      <c r="B2021">
        <v>1</v>
      </c>
    </row>
    <row r="2022" spans="1:2">
      <c r="A2022" t="s">
        <v>3176</v>
      </c>
      <c r="B2022">
        <v>1</v>
      </c>
    </row>
    <row r="2023" spans="1:2">
      <c r="A2023" t="s">
        <v>3185</v>
      </c>
      <c r="B2023">
        <v>1</v>
      </c>
    </row>
    <row r="2024" spans="1:2">
      <c r="A2024" t="s">
        <v>3190</v>
      </c>
      <c r="B2024">
        <v>1</v>
      </c>
    </row>
    <row r="2025" spans="1:2">
      <c r="A2025" t="s">
        <v>3193</v>
      </c>
      <c r="B2025">
        <v>1</v>
      </c>
    </row>
    <row r="2026" spans="1:2">
      <c r="A2026" t="s">
        <v>3196</v>
      </c>
      <c r="B2026">
        <v>1</v>
      </c>
    </row>
    <row r="2027" spans="1:2">
      <c r="A2027" t="s">
        <v>3198</v>
      </c>
      <c r="B2027">
        <v>1</v>
      </c>
    </row>
    <row r="2028" spans="1:2">
      <c r="A2028" t="s">
        <v>3202</v>
      </c>
      <c r="B2028">
        <v>1</v>
      </c>
    </row>
    <row r="2029" spans="1:2">
      <c r="A2029" t="s">
        <v>3210</v>
      </c>
      <c r="B2029">
        <v>1</v>
      </c>
    </row>
    <row r="2030" spans="1:2">
      <c r="A2030" t="s">
        <v>3214</v>
      </c>
      <c r="B2030">
        <v>1</v>
      </c>
    </row>
    <row r="2031" spans="1:2">
      <c r="A2031" t="s">
        <v>3217</v>
      </c>
      <c r="B2031">
        <v>1</v>
      </c>
    </row>
    <row r="2032" spans="1:2">
      <c r="A2032" t="s">
        <v>3221</v>
      </c>
      <c r="B2032">
        <v>1</v>
      </c>
    </row>
    <row r="2033" spans="1:2">
      <c r="A2033" t="s">
        <v>3188</v>
      </c>
      <c r="B2033">
        <v>1</v>
      </c>
    </row>
    <row r="2034" spans="1:2">
      <c r="A2034" t="s">
        <v>3230</v>
      </c>
      <c r="B2034">
        <v>1</v>
      </c>
    </row>
    <row r="2035" spans="1:2">
      <c r="A2035" t="s">
        <v>3234</v>
      </c>
      <c r="B2035">
        <v>1</v>
      </c>
    </row>
    <row r="2036" spans="1:2">
      <c r="A2036" t="s">
        <v>3268</v>
      </c>
      <c r="B2036">
        <v>1</v>
      </c>
    </row>
    <row r="2037" spans="1:2">
      <c r="A2037" t="s">
        <v>3241</v>
      </c>
      <c r="B2037">
        <v>1</v>
      </c>
    </row>
    <row r="2038" spans="1:2">
      <c r="A2038" t="s">
        <v>3245</v>
      </c>
      <c r="B2038">
        <v>1</v>
      </c>
    </row>
    <row r="2039" spans="1:2">
      <c r="A2039" t="s">
        <v>3250</v>
      </c>
      <c r="B2039">
        <v>1</v>
      </c>
    </row>
    <row r="2040" spans="1:2">
      <c r="A2040" t="s">
        <v>3255</v>
      </c>
      <c r="B2040">
        <v>1</v>
      </c>
    </row>
    <row r="2041" spans="1:2">
      <c r="A2041" t="s">
        <v>3258</v>
      </c>
      <c r="B2041">
        <v>1</v>
      </c>
    </row>
    <row r="2042" spans="1:2">
      <c r="A2042" t="s">
        <v>3261</v>
      </c>
      <c r="B2042">
        <v>1</v>
      </c>
    </row>
    <row r="2043" spans="1:2">
      <c r="A2043" t="s">
        <v>3237</v>
      </c>
      <c r="B2043">
        <v>1</v>
      </c>
    </row>
    <row r="2044" spans="1:2">
      <c r="A2044" t="s">
        <v>3264</v>
      </c>
      <c r="B2044">
        <v>1</v>
      </c>
    </row>
    <row r="2045" spans="1:2">
      <c r="A2045" t="s">
        <v>3279</v>
      </c>
      <c r="B2045">
        <v>1</v>
      </c>
    </row>
    <row r="2046" spans="1:2">
      <c r="A2046" t="s">
        <v>3275</v>
      </c>
      <c r="B2046">
        <v>1</v>
      </c>
    </row>
    <row r="2047" spans="1:2">
      <c r="A2047" t="s">
        <v>3272</v>
      </c>
      <c r="B2047">
        <v>1</v>
      </c>
    </row>
    <row r="2048" spans="1:2">
      <c r="A2048" t="s">
        <v>3290</v>
      </c>
      <c r="B2048">
        <v>1</v>
      </c>
    </row>
    <row r="2049" spans="1:2">
      <c r="A2049" t="s">
        <v>3294</v>
      </c>
      <c r="B2049">
        <v>1</v>
      </c>
    </row>
    <row r="2050" spans="1:2">
      <c r="A2050" t="s">
        <v>3307</v>
      </c>
      <c r="B2050">
        <v>1</v>
      </c>
    </row>
    <row r="2051" spans="1:2">
      <c r="A2051" t="s">
        <v>3282</v>
      </c>
      <c r="B2051">
        <v>1</v>
      </c>
    </row>
    <row r="2052" spans="1:2">
      <c r="A2052" t="s">
        <v>3305</v>
      </c>
      <c r="B2052">
        <v>1</v>
      </c>
    </row>
    <row r="2053" spans="1:2">
      <c r="A2053" t="s">
        <v>3286</v>
      </c>
      <c r="B2053">
        <v>1</v>
      </c>
    </row>
    <row r="2054" spans="1:2">
      <c r="A2054" t="s">
        <v>3298</v>
      </c>
      <c r="B2054">
        <v>1</v>
      </c>
    </row>
    <row r="2055" spans="1:2">
      <c r="A2055" t="s">
        <v>3301</v>
      </c>
      <c r="B2055">
        <v>1</v>
      </c>
    </row>
    <row r="2056" spans="1:2">
      <c r="A2056" t="s">
        <v>3475</v>
      </c>
      <c r="B2056">
        <v>1</v>
      </c>
    </row>
    <row r="2057" spans="1:2">
      <c r="A2057" t="s">
        <v>3487</v>
      </c>
      <c r="B2057">
        <v>1</v>
      </c>
    </row>
    <row r="2058" spans="1:2">
      <c r="A2058" t="s">
        <v>3479</v>
      </c>
      <c r="B2058">
        <v>1</v>
      </c>
    </row>
    <row r="2059" spans="1:2">
      <c r="A2059" t="s">
        <v>3484</v>
      </c>
      <c r="B2059">
        <v>1</v>
      </c>
    </row>
    <row r="2060" spans="1:2">
      <c r="A2060" t="s">
        <v>3534</v>
      </c>
      <c r="B2060">
        <v>1</v>
      </c>
    </row>
    <row r="2061" spans="1:2">
      <c r="A2061" t="s">
        <v>3528</v>
      </c>
      <c r="B2061">
        <v>1</v>
      </c>
    </row>
    <row r="2062" spans="1:2">
      <c r="A2062" t="s">
        <v>3538</v>
      </c>
      <c r="B2062">
        <v>1</v>
      </c>
    </row>
    <row r="2063" spans="1:2">
      <c r="A2063" t="s">
        <v>3542</v>
      </c>
      <c r="B2063">
        <v>1</v>
      </c>
    </row>
    <row r="2064" spans="1:2">
      <c r="A2064" t="s">
        <v>4319</v>
      </c>
      <c r="B2064">
        <v>1</v>
      </c>
    </row>
    <row r="2065" spans="1:2">
      <c r="A2065" t="s">
        <v>4341</v>
      </c>
      <c r="B2065">
        <v>1</v>
      </c>
    </row>
    <row r="2066" spans="1:2">
      <c r="A2066" t="s">
        <v>4345</v>
      </c>
      <c r="B2066">
        <v>1</v>
      </c>
    </row>
    <row r="2067" spans="1:2">
      <c r="A2067" t="s">
        <v>4352</v>
      </c>
      <c r="B2067">
        <v>1</v>
      </c>
    </row>
    <row r="2068" spans="1:2">
      <c r="A2068" t="s">
        <v>4356</v>
      </c>
      <c r="B2068">
        <v>1</v>
      </c>
    </row>
    <row r="2069" spans="1:2">
      <c r="A2069" t="s">
        <v>4358</v>
      </c>
      <c r="B2069">
        <v>1</v>
      </c>
    </row>
    <row r="2070" spans="1:2">
      <c r="A2070" t="s">
        <v>4360</v>
      </c>
      <c r="B2070">
        <v>1</v>
      </c>
    </row>
    <row r="2071" spans="1:2">
      <c r="A2071" t="s">
        <v>4363</v>
      </c>
      <c r="B2071">
        <v>1</v>
      </c>
    </row>
    <row r="2072" spans="1:2">
      <c r="A2072" t="s">
        <v>4366</v>
      </c>
      <c r="B2072">
        <v>1</v>
      </c>
    </row>
    <row r="2073" spans="1:2">
      <c r="A2073" t="s">
        <v>4369</v>
      </c>
      <c r="B2073">
        <v>1</v>
      </c>
    </row>
    <row r="2074" spans="1:2">
      <c r="A2074" t="s">
        <v>4323</v>
      </c>
      <c r="B2074">
        <v>1</v>
      </c>
    </row>
    <row r="2075" spans="1:2">
      <c r="A2075" t="s">
        <v>4348</v>
      </c>
      <c r="B2075">
        <v>1</v>
      </c>
    </row>
    <row r="2076" spans="1:2">
      <c r="A2076" t="s">
        <v>4316</v>
      </c>
      <c r="B2076">
        <v>1</v>
      </c>
    </row>
    <row r="2077" spans="1:2">
      <c r="A2077" t="s">
        <v>4305</v>
      </c>
      <c r="B2077">
        <v>1</v>
      </c>
    </row>
    <row r="2078" spans="1:2">
      <c r="A2078" t="s">
        <v>4270</v>
      </c>
      <c r="B2078">
        <v>1</v>
      </c>
    </row>
    <row r="2079" spans="1:2">
      <c r="A2079" t="s">
        <v>4274</v>
      </c>
      <c r="B2079">
        <v>1</v>
      </c>
    </row>
    <row r="2080" spans="1:2">
      <c r="A2080" t="s">
        <v>4276</v>
      </c>
      <c r="B2080">
        <v>1</v>
      </c>
    </row>
    <row r="2081" spans="1:2">
      <c r="A2081" t="s">
        <v>4280</v>
      </c>
      <c r="B2081">
        <v>1</v>
      </c>
    </row>
    <row r="2082" spans="1:2">
      <c r="A2082" t="s">
        <v>4284</v>
      </c>
      <c r="B2082">
        <v>1</v>
      </c>
    </row>
    <row r="2083" spans="1:2">
      <c r="A2083" t="s">
        <v>4327</v>
      </c>
      <c r="B2083">
        <v>1</v>
      </c>
    </row>
    <row r="2084" spans="1:2">
      <c r="A2084" t="s">
        <v>4373</v>
      </c>
      <c r="B2084">
        <v>1</v>
      </c>
    </row>
    <row r="2085" spans="1:2">
      <c r="A2085" t="s">
        <v>4308</v>
      </c>
      <c r="B2085">
        <v>1</v>
      </c>
    </row>
    <row r="2086" spans="1:2">
      <c r="A2086" t="s">
        <v>4299</v>
      </c>
      <c r="B2086">
        <v>1</v>
      </c>
    </row>
    <row r="2087" spans="1:2">
      <c r="A2087" t="s">
        <v>4290</v>
      </c>
      <c r="B2087">
        <v>1</v>
      </c>
    </row>
    <row r="2088" spans="1:2">
      <c r="A2088" t="s">
        <v>4301</v>
      </c>
      <c r="B2088">
        <v>1</v>
      </c>
    </row>
    <row r="2089" spans="1:2">
      <c r="A2089" t="s">
        <v>4296</v>
      </c>
      <c r="B2089">
        <v>1</v>
      </c>
    </row>
    <row r="2090" spans="1:2">
      <c r="A2090" t="s">
        <v>4312</v>
      </c>
      <c r="B2090">
        <v>1</v>
      </c>
    </row>
    <row r="2091" spans="1:2">
      <c r="A2091" t="s">
        <v>4287</v>
      </c>
      <c r="B2091">
        <v>1</v>
      </c>
    </row>
    <row r="2092" spans="1:2">
      <c r="A2092" t="s">
        <v>4380</v>
      </c>
      <c r="B2092">
        <v>1</v>
      </c>
    </row>
    <row r="2093" spans="1:2">
      <c r="A2093" t="s">
        <v>4377</v>
      </c>
      <c r="B2093">
        <v>1</v>
      </c>
    </row>
    <row r="2094" spans="1:2">
      <c r="A2094" t="s">
        <v>4331</v>
      </c>
      <c r="B2094">
        <v>1</v>
      </c>
    </row>
    <row r="2095" spans="1:2">
      <c r="A2095" t="s">
        <v>4335</v>
      </c>
      <c r="B2095">
        <v>1</v>
      </c>
    </row>
    <row r="2096" spans="1:2">
      <c r="A2096" t="s">
        <v>4775</v>
      </c>
      <c r="B2096">
        <v>1</v>
      </c>
    </row>
    <row r="2097" spans="1:2">
      <c r="A2097" t="s">
        <v>4778</v>
      </c>
      <c r="B2097">
        <v>1</v>
      </c>
    </row>
    <row r="2098" spans="1:2">
      <c r="A2098" t="s">
        <v>4782</v>
      </c>
      <c r="B2098">
        <v>1</v>
      </c>
    </row>
    <row r="2099" spans="1:2">
      <c r="A2099" t="s">
        <v>4785</v>
      </c>
      <c r="B2099">
        <v>1</v>
      </c>
    </row>
    <row r="2100" spans="1:2">
      <c r="A2100" t="s">
        <v>4792</v>
      </c>
      <c r="B2100">
        <v>1</v>
      </c>
    </row>
    <row r="2101" spans="1:2">
      <c r="A2101" t="s">
        <v>4798</v>
      </c>
      <c r="B2101">
        <v>1</v>
      </c>
    </row>
    <row r="2102" spans="1:2">
      <c r="A2102" t="s">
        <v>4795</v>
      </c>
      <c r="B2102">
        <v>1</v>
      </c>
    </row>
    <row r="2103" spans="1:2">
      <c r="A2103" t="s">
        <v>4818</v>
      </c>
      <c r="B2103">
        <v>1</v>
      </c>
    </row>
    <row r="2104" spans="1:2">
      <c r="A2104" t="s">
        <v>4801</v>
      </c>
      <c r="B2104">
        <v>1</v>
      </c>
    </row>
    <row r="2105" spans="1:2">
      <c r="A2105" t="s">
        <v>4804</v>
      </c>
      <c r="B2105">
        <v>1</v>
      </c>
    </row>
    <row r="2106" spans="1:2">
      <c r="A2106" t="s">
        <v>4806</v>
      </c>
      <c r="B2106">
        <v>1</v>
      </c>
    </row>
    <row r="2107" spans="1:2">
      <c r="A2107" t="s">
        <v>4810</v>
      </c>
      <c r="B2107">
        <v>1</v>
      </c>
    </row>
    <row r="2108" spans="1:2">
      <c r="A2108" t="s">
        <v>4685</v>
      </c>
      <c r="B2108">
        <v>1</v>
      </c>
    </row>
    <row r="2109" spans="1:2">
      <c r="A2109" t="s">
        <v>4814</v>
      </c>
      <c r="B2109">
        <v>1</v>
      </c>
    </row>
    <row r="2110" spans="1:2">
      <c r="A2110" t="s">
        <v>4817</v>
      </c>
      <c r="B2110">
        <v>1</v>
      </c>
    </row>
    <row r="2111" spans="1:2">
      <c r="A2111" t="s">
        <v>4771</v>
      </c>
      <c r="B2111">
        <v>1</v>
      </c>
    </row>
    <row r="2112" spans="1:2">
      <c r="A2112" t="s">
        <v>4788</v>
      </c>
      <c r="B2112">
        <v>1</v>
      </c>
    </row>
    <row r="2113" spans="1:2">
      <c r="A2113" t="s">
        <v>4766</v>
      </c>
      <c r="B2113">
        <v>1</v>
      </c>
    </row>
    <row r="2114" spans="1:2">
      <c r="A2114" t="s">
        <v>4722</v>
      </c>
      <c r="B2114">
        <v>1</v>
      </c>
    </row>
    <row r="2115" spans="1:2">
      <c r="A2115" t="s">
        <v>4689</v>
      </c>
      <c r="B2115">
        <v>1</v>
      </c>
    </row>
    <row r="2116" spans="1:2">
      <c r="A2116" t="s">
        <v>4693</v>
      </c>
      <c r="B2116">
        <v>1</v>
      </c>
    </row>
    <row r="2117" spans="1:2">
      <c r="A2117" t="s">
        <v>4696</v>
      </c>
      <c r="B2117">
        <v>1</v>
      </c>
    </row>
    <row r="2118" spans="1:2">
      <c r="A2118" t="s">
        <v>4700</v>
      </c>
      <c r="B2118">
        <v>1</v>
      </c>
    </row>
    <row r="2119" spans="1:2">
      <c r="A2119" t="s">
        <v>4704</v>
      </c>
      <c r="B2119">
        <v>1</v>
      </c>
    </row>
    <row r="2120" spans="1:2">
      <c r="A2120" t="s">
        <v>4706</v>
      </c>
      <c r="B2120">
        <v>1</v>
      </c>
    </row>
    <row r="2121" spans="1:2">
      <c r="A2121" t="s">
        <v>4710</v>
      </c>
      <c r="B2121">
        <v>1</v>
      </c>
    </row>
    <row r="2122" spans="1:2">
      <c r="A2122" t="s">
        <v>4714</v>
      </c>
      <c r="B2122">
        <v>1</v>
      </c>
    </row>
    <row r="2123" spans="1:2">
      <c r="A2123" t="s">
        <v>4718</v>
      </c>
      <c r="B2123">
        <v>1</v>
      </c>
    </row>
    <row r="2124" spans="1:2">
      <c r="A2124" t="s">
        <v>4726</v>
      </c>
      <c r="B2124">
        <v>1</v>
      </c>
    </row>
    <row r="2125" spans="1:2">
      <c r="A2125" t="s">
        <v>4763</v>
      </c>
      <c r="B2125">
        <v>1</v>
      </c>
    </row>
    <row r="2126" spans="1:2">
      <c r="A2126" t="s">
        <v>4729</v>
      </c>
      <c r="B2126">
        <v>1</v>
      </c>
    </row>
    <row r="2127" spans="1:2">
      <c r="A2127" t="s">
        <v>4733</v>
      </c>
      <c r="B2127">
        <v>1</v>
      </c>
    </row>
    <row r="2128" spans="1:2">
      <c r="A2128" t="s">
        <v>4736</v>
      </c>
      <c r="B2128">
        <v>1</v>
      </c>
    </row>
    <row r="2129" spans="1:2">
      <c r="A2129" t="s">
        <v>4740</v>
      </c>
      <c r="B2129">
        <v>1</v>
      </c>
    </row>
    <row r="2130" spans="1:2">
      <c r="A2130" t="s">
        <v>4744</v>
      </c>
      <c r="B2130">
        <v>1</v>
      </c>
    </row>
    <row r="2131" spans="1:2">
      <c r="A2131" t="s">
        <v>4748</v>
      </c>
      <c r="B2131">
        <v>1</v>
      </c>
    </row>
    <row r="2132" spans="1:2">
      <c r="A2132" t="s">
        <v>4751</v>
      </c>
      <c r="B2132">
        <v>1</v>
      </c>
    </row>
    <row r="2133" spans="1:2">
      <c r="A2133" t="s">
        <v>4755</v>
      </c>
      <c r="B2133">
        <v>1</v>
      </c>
    </row>
    <row r="2134" spans="1:2">
      <c r="A2134" t="s">
        <v>4758</v>
      </c>
      <c r="B2134">
        <v>1</v>
      </c>
    </row>
    <row r="2135" spans="1:2">
      <c r="A2135" t="s">
        <v>4878</v>
      </c>
      <c r="B2135">
        <v>1</v>
      </c>
    </row>
    <row r="2136" spans="1:2">
      <c r="A2136" t="s">
        <v>4911</v>
      </c>
      <c r="B2136">
        <v>1</v>
      </c>
    </row>
    <row r="2137" spans="1:2">
      <c r="A2137" t="s">
        <v>4908</v>
      </c>
      <c r="B2137">
        <v>1</v>
      </c>
    </row>
    <row r="2138" spans="1:2">
      <c r="A2138" t="s">
        <v>4903</v>
      </c>
      <c r="B2138">
        <v>1</v>
      </c>
    </row>
    <row r="2139" spans="1:2">
      <c r="A2139" t="s">
        <v>4898</v>
      </c>
      <c r="B2139">
        <v>1</v>
      </c>
    </row>
    <row r="2140" spans="1:2">
      <c r="A2140" t="s">
        <v>4894</v>
      </c>
      <c r="B2140">
        <v>1</v>
      </c>
    </row>
    <row r="2141" spans="1:2">
      <c r="A2141" t="s">
        <v>4891</v>
      </c>
      <c r="B2141">
        <v>1</v>
      </c>
    </row>
    <row r="2142" spans="1:2">
      <c r="A2142" t="s">
        <v>4886</v>
      </c>
      <c r="B2142">
        <v>1</v>
      </c>
    </row>
    <row r="2143" spans="1:2">
      <c r="A2143" t="s">
        <v>4874</v>
      </c>
      <c r="B2143">
        <v>1</v>
      </c>
    </row>
    <row r="2144" spans="1:2">
      <c r="A2144" t="s">
        <v>4842</v>
      </c>
      <c r="B2144">
        <v>1</v>
      </c>
    </row>
    <row r="2145" spans="1:2">
      <c r="A2145" t="s">
        <v>4870</v>
      </c>
      <c r="B2145">
        <v>1</v>
      </c>
    </row>
    <row r="2146" spans="1:2">
      <c r="A2146" t="s">
        <v>4868</v>
      </c>
      <c r="B2146">
        <v>1</v>
      </c>
    </row>
    <row r="2147" spans="1:2">
      <c r="A2147" t="s">
        <v>4864</v>
      </c>
      <c r="B2147">
        <v>1</v>
      </c>
    </row>
    <row r="2148" spans="1:2">
      <c r="A2148" t="s">
        <v>4862</v>
      </c>
      <c r="B2148">
        <v>1</v>
      </c>
    </row>
    <row r="2149" spans="1:2">
      <c r="A2149" t="s">
        <v>4860</v>
      </c>
      <c r="B2149">
        <v>1</v>
      </c>
    </row>
    <row r="2150" spans="1:2">
      <c r="A2150" t="s">
        <v>4857</v>
      </c>
      <c r="B2150">
        <v>1</v>
      </c>
    </row>
    <row r="2151" spans="1:2">
      <c r="A2151" t="s">
        <v>4853</v>
      </c>
      <c r="B2151">
        <v>1</v>
      </c>
    </row>
    <row r="2152" spans="1:2">
      <c r="A2152" t="s">
        <v>4849</v>
      </c>
      <c r="B2152">
        <v>1</v>
      </c>
    </row>
    <row r="2153" spans="1:2">
      <c r="A2153" t="s">
        <v>4846</v>
      </c>
      <c r="B2153">
        <v>1</v>
      </c>
    </row>
    <row r="2154" spans="1:2">
      <c r="A2154" t="s">
        <v>4915</v>
      </c>
      <c r="B2154">
        <v>1</v>
      </c>
    </row>
    <row r="2155" spans="1:2">
      <c r="A2155" t="s">
        <v>4924</v>
      </c>
      <c r="B2155">
        <v>1</v>
      </c>
    </row>
    <row r="2156" spans="1:2">
      <c r="A2156" t="s">
        <v>4940</v>
      </c>
      <c r="B2156">
        <v>1</v>
      </c>
    </row>
    <row r="2157" spans="1:2">
      <c r="A2157" t="s">
        <v>4932</v>
      </c>
      <c r="B2157">
        <v>1</v>
      </c>
    </row>
    <row r="2158" spans="1:2">
      <c r="A2158" t="s">
        <v>5051</v>
      </c>
      <c r="B2158">
        <v>1</v>
      </c>
    </row>
    <row r="2159" spans="1:2">
      <c r="A2159" t="s">
        <v>5055</v>
      </c>
      <c r="B2159">
        <v>1</v>
      </c>
    </row>
    <row r="2160" spans="1:2">
      <c r="A2160" t="s">
        <v>4997</v>
      </c>
      <c r="B2160">
        <v>1</v>
      </c>
    </row>
    <row r="2161" spans="1:2">
      <c r="A2161" t="s">
        <v>5036</v>
      </c>
      <c r="B2161">
        <v>1</v>
      </c>
    </row>
    <row r="2162" spans="1:2">
      <c r="A2162" t="s">
        <v>5032</v>
      </c>
      <c r="B2162">
        <v>1</v>
      </c>
    </row>
    <row r="2163" spans="1:2">
      <c r="A2163" t="s">
        <v>5029</v>
      </c>
      <c r="B2163">
        <v>1</v>
      </c>
    </row>
    <row r="2164" spans="1:2">
      <c r="A2164" t="s">
        <v>5027</v>
      </c>
      <c r="B2164">
        <v>1</v>
      </c>
    </row>
    <row r="2165" spans="1:2">
      <c r="A2165" t="s">
        <v>5024</v>
      </c>
      <c r="B2165">
        <v>1</v>
      </c>
    </row>
    <row r="2166" spans="1:2">
      <c r="A2166" t="s">
        <v>5022</v>
      </c>
      <c r="B2166">
        <v>1</v>
      </c>
    </row>
    <row r="2167" spans="1:2">
      <c r="A2167" t="s">
        <v>5039</v>
      </c>
      <c r="B2167">
        <v>1</v>
      </c>
    </row>
    <row r="2168" spans="1:2">
      <c r="A2168" t="s">
        <v>5020</v>
      </c>
      <c r="B2168">
        <v>1</v>
      </c>
    </row>
    <row r="2169" spans="1:2">
      <c r="A2169" t="s">
        <v>5013</v>
      </c>
      <c r="B2169">
        <v>1</v>
      </c>
    </row>
    <row r="2170" spans="1:2">
      <c r="A2170" t="s">
        <v>5000</v>
      </c>
      <c r="B2170">
        <v>1</v>
      </c>
    </row>
    <row r="2171" spans="1:2">
      <c r="A2171" t="s">
        <v>4882</v>
      </c>
      <c r="B2171">
        <v>1</v>
      </c>
    </row>
    <row r="2172" spans="1:2">
      <c r="A2172" t="s">
        <v>5016</v>
      </c>
      <c r="B2172">
        <v>1</v>
      </c>
    </row>
    <row r="2173" spans="1:2">
      <c r="A2173" t="s">
        <v>4992</v>
      </c>
      <c r="B2173">
        <v>1</v>
      </c>
    </row>
    <row r="2174" spans="1:2">
      <c r="A2174" t="s">
        <v>4960</v>
      </c>
      <c r="B2174">
        <v>1</v>
      </c>
    </row>
    <row r="2175" spans="1:2">
      <c r="A2175" t="s">
        <v>4936</v>
      </c>
      <c r="B2175">
        <v>1</v>
      </c>
    </row>
    <row r="2176" spans="1:2">
      <c r="A2176" t="s">
        <v>5044</v>
      </c>
      <c r="B2176">
        <v>1</v>
      </c>
    </row>
    <row r="2177" spans="1:2">
      <c r="A2177" t="s">
        <v>4944</v>
      </c>
      <c r="B2177">
        <v>1</v>
      </c>
    </row>
    <row r="2178" spans="1:2">
      <c r="A2178" t="s">
        <v>4948</v>
      </c>
      <c r="B2178">
        <v>1</v>
      </c>
    </row>
    <row r="2179" spans="1:2">
      <c r="A2179" t="s">
        <v>4952</v>
      </c>
      <c r="B2179">
        <v>1</v>
      </c>
    </row>
    <row r="2180" spans="1:2">
      <c r="A2180" t="s">
        <v>4956</v>
      </c>
      <c r="B2180">
        <v>1</v>
      </c>
    </row>
    <row r="2181" spans="1:2">
      <c r="A2181" t="s">
        <v>4964</v>
      </c>
      <c r="B2181">
        <v>1</v>
      </c>
    </row>
    <row r="2182" spans="1:2">
      <c r="A2182" t="s">
        <v>4985</v>
      </c>
      <c r="B2182">
        <v>1</v>
      </c>
    </row>
    <row r="2183" spans="1:2">
      <c r="A2183" t="s">
        <v>4967</v>
      </c>
      <c r="B2183">
        <v>1</v>
      </c>
    </row>
    <row r="2184" spans="1:2">
      <c r="A2184" t="s">
        <v>4973</v>
      </c>
      <c r="B2184">
        <v>1</v>
      </c>
    </row>
    <row r="2185" spans="1:2">
      <c r="A2185" t="s">
        <v>4976</v>
      </c>
      <c r="B2185">
        <v>1</v>
      </c>
    </row>
    <row r="2186" spans="1:2">
      <c r="A2186" t="s">
        <v>4979</v>
      </c>
      <c r="B2186">
        <v>1</v>
      </c>
    </row>
    <row r="2187" spans="1:2">
      <c r="A2187" t="s">
        <v>4982</v>
      </c>
      <c r="B2187">
        <v>1</v>
      </c>
    </row>
    <row r="2188" spans="1:2">
      <c r="A2188" t="s">
        <v>4989</v>
      </c>
      <c r="B2188">
        <v>1</v>
      </c>
    </row>
    <row r="2189" spans="1:2">
      <c r="A2189" t="s">
        <v>5058</v>
      </c>
      <c r="B2189">
        <v>1</v>
      </c>
    </row>
    <row r="2190" spans="1:2">
      <c r="A2190" t="s">
        <v>5048</v>
      </c>
      <c r="B2190">
        <v>1</v>
      </c>
    </row>
    <row r="2191" spans="1:2">
      <c r="A2191" t="s">
        <v>5068</v>
      </c>
      <c r="B2191">
        <v>1</v>
      </c>
    </row>
    <row r="2192" spans="1:2">
      <c r="A2192" t="s">
        <v>5072</v>
      </c>
      <c r="B2192">
        <v>1</v>
      </c>
    </row>
    <row r="2193" spans="1:2">
      <c r="A2193" t="s">
        <v>5065</v>
      </c>
      <c r="B2193">
        <v>1</v>
      </c>
    </row>
    <row r="2194" spans="1:2">
      <c r="A2194" t="s">
        <v>5075</v>
      </c>
      <c r="B2194">
        <v>1</v>
      </c>
    </row>
    <row r="2195" spans="1:2">
      <c r="A2195" t="s">
        <v>5135</v>
      </c>
      <c r="B2195">
        <v>1</v>
      </c>
    </row>
    <row r="2196" spans="1:2">
      <c r="A2196" t="s">
        <v>5146</v>
      </c>
      <c r="B2196">
        <v>1</v>
      </c>
    </row>
    <row r="2197" spans="1:2">
      <c r="A2197" t="s">
        <v>5149</v>
      </c>
      <c r="B2197">
        <v>1</v>
      </c>
    </row>
    <row r="2198" spans="1:2">
      <c r="A2198" t="s">
        <v>5152</v>
      </c>
      <c r="B2198">
        <v>1</v>
      </c>
    </row>
    <row r="2199" spans="1:2">
      <c r="A2199" t="s">
        <v>5156</v>
      </c>
      <c r="B2199">
        <v>1</v>
      </c>
    </row>
    <row r="2200" spans="1:2">
      <c r="A2200" t="s">
        <v>5160</v>
      </c>
      <c r="B2200">
        <v>1</v>
      </c>
    </row>
    <row r="2201" spans="1:2">
      <c r="A2201" t="s">
        <v>5163</v>
      </c>
      <c r="B2201">
        <v>1</v>
      </c>
    </row>
    <row r="2202" spans="1:2">
      <c r="A2202" t="s">
        <v>5165</v>
      </c>
      <c r="B2202">
        <v>1</v>
      </c>
    </row>
    <row r="2203" spans="1:2">
      <c r="A2203" t="s">
        <v>5171</v>
      </c>
      <c r="B2203">
        <v>1</v>
      </c>
    </row>
    <row r="2204" spans="1:2">
      <c r="A2204" t="s">
        <v>5174</v>
      </c>
      <c r="B2204">
        <v>1</v>
      </c>
    </row>
    <row r="2205" spans="1:2">
      <c r="A2205" t="s">
        <v>5197</v>
      </c>
      <c r="B2205">
        <v>1</v>
      </c>
    </row>
    <row r="2206" spans="1:2">
      <c r="A2206" t="s">
        <v>5180</v>
      </c>
      <c r="B2206">
        <v>1</v>
      </c>
    </row>
    <row r="2207" spans="1:2">
      <c r="A2207" t="s">
        <v>5208</v>
      </c>
      <c r="B2207">
        <v>1</v>
      </c>
    </row>
    <row r="2208" spans="1:2">
      <c r="A2208" t="s">
        <v>5207</v>
      </c>
      <c r="B2208">
        <v>1</v>
      </c>
    </row>
    <row r="2209" spans="1:2">
      <c r="A2209" t="s">
        <v>5205</v>
      </c>
      <c r="B2209">
        <v>1</v>
      </c>
    </row>
    <row r="2210" spans="1:2">
      <c r="A2210" t="s">
        <v>5194</v>
      </c>
      <c r="B2210">
        <v>1</v>
      </c>
    </row>
    <row r="2211" spans="1:2">
      <c r="A2211" t="s">
        <v>5193</v>
      </c>
      <c r="B2211">
        <v>1</v>
      </c>
    </row>
    <row r="2212" spans="1:2">
      <c r="A2212" t="s">
        <v>5192</v>
      </c>
      <c r="B2212">
        <v>1</v>
      </c>
    </row>
    <row r="2213" spans="1:2">
      <c r="A2213" t="s">
        <v>5186</v>
      </c>
      <c r="B2213">
        <v>1</v>
      </c>
    </row>
    <row r="2214" spans="1:2">
      <c r="A2214" t="s">
        <v>5123</v>
      </c>
      <c r="B2214">
        <v>1</v>
      </c>
    </row>
    <row r="2215" spans="1:2">
      <c r="A2215" t="s">
        <v>5125</v>
      </c>
      <c r="B2215">
        <v>1</v>
      </c>
    </row>
    <row r="2216" spans="1:2">
      <c r="A2216" t="s">
        <v>5126</v>
      </c>
      <c r="B2216">
        <v>1</v>
      </c>
    </row>
    <row r="2217" spans="1:2">
      <c r="A2217" t="s">
        <v>5127</v>
      </c>
      <c r="B2217">
        <v>1</v>
      </c>
    </row>
    <row r="2218" spans="1:2">
      <c r="A2218" t="s">
        <v>5129</v>
      </c>
      <c r="B2218">
        <v>1</v>
      </c>
    </row>
    <row r="2219" spans="1:2">
      <c r="A2219" t="s">
        <v>5184</v>
      </c>
      <c r="B2219">
        <v>1</v>
      </c>
    </row>
    <row r="2220" spans="1:2">
      <c r="A2220" t="s">
        <v>5182</v>
      </c>
      <c r="B2220">
        <v>1</v>
      </c>
    </row>
    <row r="2221" spans="1:2">
      <c r="A2221" t="s">
        <v>5141</v>
      </c>
      <c r="B2221">
        <v>1</v>
      </c>
    </row>
    <row r="2222" spans="1:2">
      <c r="A2222" t="s">
        <v>5168</v>
      </c>
      <c r="B2222">
        <v>1</v>
      </c>
    </row>
    <row r="2223" spans="1:2">
      <c r="A2223" t="s">
        <v>5201</v>
      </c>
      <c r="B2223">
        <v>1</v>
      </c>
    </row>
    <row r="2224" spans="1:2">
      <c r="A2224" t="s">
        <v>5139</v>
      </c>
      <c r="B2224">
        <v>1</v>
      </c>
    </row>
    <row r="2225" spans="1:2">
      <c r="A2225" t="s">
        <v>5081</v>
      </c>
      <c r="B2225">
        <v>1</v>
      </c>
    </row>
    <row r="2226" spans="1:2">
      <c r="A2226" t="s">
        <v>5083</v>
      </c>
      <c r="B2226">
        <v>1</v>
      </c>
    </row>
    <row r="2227" spans="1:2">
      <c r="A2227" t="s">
        <v>5086</v>
      </c>
      <c r="B2227">
        <v>1</v>
      </c>
    </row>
    <row r="2228" spans="1:2">
      <c r="A2228" t="s">
        <v>5089</v>
      </c>
      <c r="B2228">
        <v>1</v>
      </c>
    </row>
    <row r="2229" spans="1:2">
      <c r="A2229" t="s">
        <v>5097</v>
      </c>
      <c r="B2229">
        <v>1</v>
      </c>
    </row>
    <row r="2230" spans="1:2">
      <c r="A2230" t="s">
        <v>5101</v>
      </c>
      <c r="B2230">
        <v>1</v>
      </c>
    </row>
    <row r="2231" spans="1:2">
      <c r="A2231" t="s">
        <v>5104</v>
      </c>
      <c r="B2231">
        <v>1</v>
      </c>
    </row>
    <row r="2232" spans="1:2">
      <c r="A2232" t="s">
        <v>5131</v>
      </c>
      <c r="B2232">
        <v>1</v>
      </c>
    </row>
    <row r="2233" spans="1:2">
      <c r="A2233" t="s">
        <v>5107</v>
      </c>
      <c r="B2233">
        <v>1</v>
      </c>
    </row>
    <row r="2234" spans="1:2">
      <c r="A2234" t="s">
        <v>5112</v>
      </c>
      <c r="B2234">
        <v>1</v>
      </c>
    </row>
    <row r="2235" spans="1:2">
      <c r="A2235" t="s">
        <v>5115</v>
      </c>
      <c r="B2235">
        <v>1</v>
      </c>
    </row>
    <row r="2236" spans="1:2">
      <c r="A2236" t="s">
        <v>5117</v>
      </c>
      <c r="B2236">
        <v>1</v>
      </c>
    </row>
    <row r="2237" spans="1:2">
      <c r="A2237" t="s">
        <v>5120</v>
      </c>
      <c r="B2237">
        <v>1</v>
      </c>
    </row>
    <row r="2238" spans="1:2">
      <c r="A2238" t="s">
        <v>6743</v>
      </c>
      <c r="B2238">
        <v>1</v>
      </c>
    </row>
    <row r="2239" spans="1:2">
      <c r="A2239" t="s">
        <v>6746</v>
      </c>
      <c r="B2239">
        <v>1</v>
      </c>
    </row>
    <row r="2240" spans="1:2">
      <c r="A2240" t="s">
        <v>6749</v>
      </c>
      <c r="B2240">
        <v>1</v>
      </c>
    </row>
    <row r="2241" spans="1:2">
      <c r="A2241" t="s">
        <v>6753</v>
      </c>
      <c r="B2241">
        <v>1</v>
      </c>
    </row>
    <row r="2242" spans="1:2">
      <c r="A2242" t="s">
        <v>6757</v>
      </c>
      <c r="B2242">
        <v>1</v>
      </c>
    </row>
    <row r="2243" spans="1:2">
      <c r="A2243" t="s">
        <v>6761</v>
      </c>
      <c r="B2243">
        <v>1</v>
      </c>
    </row>
    <row r="2244" spans="1:2">
      <c r="A2244" t="s">
        <v>6765</v>
      </c>
      <c r="B2244">
        <v>1</v>
      </c>
    </row>
    <row r="2245" spans="1:2">
      <c r="A2245" t="s">
        <v>6770</v>
      </c>
      <c r="B2245">
        <v>1</v>
      </c>
    </row>
    <row r="2246" spans="1:2">
      <c r="A2246" t="s">
        <v>6773</v>
      </c>
      <c r="B2246">
        <v>1</v>
      </c>
    </row>
    <row r="2247" spans="1:2">
      <c r="A2247" t="s">
        <v>6739</v>
      </c>
      <c r="B2247">
        <v>1</v>
      </c>
    </row>
    <row r="2248" spans="1:2">
      <c r="A2248" t="s">
        <v>7553</v>
      </c>
      <c r="B2248">
        <v>1</v>
      </c>
    </row>
    <row r="2249" spans="1:2">
      <c r="A2249" t="s">
        <v>7556</v>
      </c>
      <c r="B2249">
        <v>1</v>
      </c>
    </row>
    <row r="2250" spans="1:2">
      <c r="A2250" t="s">
        <v>7560</v>
      </c>
      <c r="B2250">
        <v>1</v>
      </c>
    </row>
    <row r="2251" spans="1:2">
      <c r="A2251" t="s">
        <v>7549</v>
      </c>
      <c r="B2251">
        <v>1</v>
      </c>
    </row>
    <row r="2252" spans="1:2">
      <c r="A2252" t="s">
        <v>7563</v>
      </c>
      <c r="B2252">
        <v>1</v>
      </c>
    </row>
    <row r="2253" spans="1:2">
      <c r="A2253" t="s">
        <v>7588</v>
      </c>
      <c r="B2253">
        <v>1</v>
      </c>
    </row>
    <row r="2254" spans="1:2">
      <c r="A2254" t="s">
        <v>7572</v>
      </c>
      <c r="B2254">
        <v>1</v>
      </c>
    </row>
    <row r="2255" spans="1:2">
      <c r="A2255" t="s">
        <v>7598</v>
      </c>
      <c r="B2255">
        <v>1</v>
      </c>
    </row>
    <row r="2256" spans="1:2">
      <c r="A2256" t="s">
        <v>7595</v>
      </c>
      <c r="B2256">
        <v>1</v>
      </c>
    </row>
    <row r="2257" spans="1:2">
      <c r="A2257" t="s">
        <v>7594</v>
      </c>
      <c r="B2257">
        <v>1</v>
      </c>
    </row>
    <row r="2258" spans="1:2">
      <c r="A2258" t="s">
        <v>7574</v>
      </c>
      <c r="B2258">
        <v>1</v>
      </c>
    </row>
    <row r="2259" spans="1:2">
      <c r="A2259" t="s">
        <v>7568</v>
      </c>
      <c r="B2259">
        <v>1</v>
      </c>
    </row>
    <row r="2260" spans="1:2">
      <c r="A2260" t="s">
        <v>7575</v>
      </c>
      <c r="B2260">
        <v>1</v>
      </c>
    </row>
    <row r="2261" spans="1:2">
      <c r="A2261" t="s">
        <v>7579</v>
      </c>
      <c r="B2261">
        <v>1</v>
      </c>
    </row>
    <row r="2262" spans="1:2">
      <c r="A2262" t="s">
        <v>7583</v>
      </c>
      <c r="B2262">
        <v>1</v>
      </c>
    </row>
    <row r="2263" spans="1:2">
      <c r="A2263" t="s">
        <v>8213</v>
      </c>
      <c r="B2263">
        <v>1</v>
      </c>
    </row>
    <row r="2264" spans="1:2">
      <c r="A2264" t="s">
        <v>8209</v>
      </c>
      <c r="B2264">
        <v>1</v>
      </c>
    </row>
    <row r="2265" spans="1:2">
      <c r="A2265" t="s">
        <v>8205</v>
      </c>
      <c r="B2265">
        <v>1</v>
      </c>
    </row>
    <row r="2266" spans="1:2">
      <c r="A2266" t="s">
        <v>8233</v>
      </c>
      <c r="B2266">
        <v>1</v>
      </c>
    </row>
    <row r="2267" spans="1:2">
      <c r="A2267" t="s">
        <v>8251</v>
      </c>
      <c r="B2267">
        <v>1</v>
      </c>
    </row>
    <row r="2268" spans="1:2">
      <c r="A2268" t="s">
        <v>8282</v>
      </c>
      <c r="B2268">
        <v>1</v>
      </c>
    </row>
    <row r="2269" spans="1:2">
      <c r="A2269" t="s">
        <v>8258</v>
      </c>
      <c r="B2269">
        <v>1</v>
      </c>
    </row>
    <row r="2270" spans="1:2">
      <c r="A2270" t="s">
        <v>8303</v>
      </c>
      <c r="B2270">
        <v>1</v>
      </c>
    </row>
    <row r="2271" spans="1:2">
      <c r="A2271" t="s">
        <v>8306</v>
      </c>
      <c r="B2271">
        <v>1</v>
      </c>
    </row>
    <row r="2272" spans="1:2">
      <c r="A2272" t="s">
        <v>8311</v>
      </c>
      <c r="B2272">
        <v>1</v>
      </c>
    </row>
    <row r="2273" spans="1:2">
      <c r="A2273" t="s">
        <v>8315</v>
      </c>
      <c r="B2273">
        <v>1</v>
      </c>
    </row>
    <row r="2274" spans="1:2">
      <c r="A2274" t="s">
        <v>8319</v>
      </c>
      <c r="B2274">
        <v>1</v>
      </c>
    </row>
    <row r="2275" spans="1:2">
      <c r="A2275" t="s">
        <v>8322</v>
      </c>
      <c r="B2275">
        <v>1</v>
      </c>
    </row>
    <row r="2276" spans="1:2">
      <c r="A2276" t="s">
        <v>8309</v>
      </c>
      <c r="B2276">
        <v>1</v>
      </c>
    </row>
    <row r="2277" spans="1:2">
      <c r="A2277" t="s">
        <v>8302</v>
      </c>
      <c r="B2277">
        <v>1</v>
      </c>
    </row>
    <row r="2278" spans="1:2">
      <c r="A2278" t="s">
        <v>8326</v>
      </c>
      <c r="B2278">
        <v>1</v>
      </c>
    </row>
    <row r="2279" spans="1:2">
      <c r="A2279" t="s">
        <v>8294</v>
      </c>
      <c r="B2279">
        <v>1</v>
      </c>
    </row>
    <row r="2280" spans="1:2">
      <c r="A2280" t="s">
        <v>8290</v>
      </c>
      <c r="B2280">
        <v>1</v>
      </c>
    </row>
    <row r="2281" spans="1:2">
      <c r="A2281" t="s">
        <v>8286</v>
      </c>
      <c r="B2281">
        <v>1</v>
      </c>
    </row>
    <row r="2282" spans="1:2">
      <c r="A2282" t="s">
        <v>8278</v>
      </c>
      <c r="B2282">
        <v>1</v>
      </c>
    </row>
    <row r="2283" spans="1:2">
      <c r="A2283" t="s">
        <v>8276</v>
      </c>
      <c r="B2283">
        <v>1</v>
      </c>
    </row>
    <row r="2284" spans="1:2">
      <c r="A2284" t="s">
        <v>8272</v>
      </c>
      <c r="B2284">
        <v>1</v>
      </c>
    </row>
    <row r="2285" spans="1:2">
      <c r="A2285" t="s">
        <v>8268</v>
      </c>
      <c r="B2285">
        <v>1</v>
      </c>
    </row>
    <row r="2286" spans="1:2">
      <c r="A2286" t="s">
        <v>8264</v>
      </c>
      <c r="B2286">
        <v>1</v>
      </c>
    </row>
    <row r="2287" spans="1:2">
      <c r="A2287" t="s">
        <v>8202</v>
      </c>
      <c r="B2287">
        <v>1</v>
      </c>
    </row>
    <row r="2288" spans="1:2">
      <c r="A2288" t="s">
        <v>8217</v>
      </c>
      <c r="B2288">
        <v>1</v>
      </c>
    </row>
    <row r="2289" spans="1:2">
      <c r="A2289" t="s">
        <v>8221</v>
      </c>
      <c r="B2289">
        <v>1</v>
      </c>
    </row>
    <row r="2290" spans="1:2">
      <c r="A2290" t="s">
        <v>8224</v>
      </c>
      <c r="B2290">
        <v>1</v>
      </c>
    </row>
    <row r="2291" spans="1:2">
      <c r="A2291" t="s">
        <v>8246</v>
      </c>
      <c r="B2291">
        <v>1</v>
      </c>
    </row>
    <row r="2292" spans="1:2">
      <c r="A2292" t="s">
        <v>8230</v>
      </c>
      <c r="B2292">
        <v>1</v>
      </c>
    </row>
    <row r="2293" spans="1:2">
      <c r="A2293" t="s">
        <v>8255</v>
      </c>
      <c r="B2293">
        <v>1</v>
      </c>
    </row>
    <row r="2294" spans="1:2">
      <c r="A2294" t="s">
        <v>8227</v>
      </c>
      <c r="B2294">
        <v>1</v>
      </c>
    </row>
    <row r="2295" spans="1:2">
      <c r="A2295" t="s">
        <v>8237</v>
      </c>
      <c r="B2295">
        <v>1</v>
      </c>
    </row>
    <row r="2296" spans="1:2">
      <c r="A2296" t="s">
        <v>8240</v>
      </c>
      <c r="B2296">
        <v>1</v>
      </c>
    </row>
    <row r="2297" spans="1:2">
      <c r="A2297" t="s">
        <v>8243</v>
      </c>
      <c r="B2297">
        <v>1</v>
      </c>
    </row>
    <row r="2298" spans="1:2">
      <c r="A2298" t="s">
        <v>8484</v>
      </c>
      <c r="B2298">
        <v>1</v>
      </c>
    </row>
    <row r="2299" spans="1:2">
      <c r="A2299" t="s">
        <v>8481</v>
      </c>
      <c r="B2299">
        <v>1</v>
      </c>
    </row>
    <row r="2300" spans="1:2">
      <c r="A2300" t="s">
        <v>8478</v>
      </c>
      <c r="B2300">
        <v>1</v>
      </c>
    </row>
    <row r="2301" spans="1:2">
      <c r="A2301" t="s">
        <v>8474</v>
      </c>
      <c r="B2301">
        <v>1</v>
      </c>
    </row>
    <row r="2302" spans="1:2">
      <c r="A2302" t="s">
        <v>8467</v>
      </c>
      <c r="B2302">
        <v>1</v>
      </c>
    </row>
    <row r="2303" spans="1:2">
      <c r="A2303" t="s">
        <v>8463</v>
      </c>
      <c r="B2303">
        <v>1</v>
      </c>
    </row>
    <row r="2304" spans="1:2">
      <c r="A2304" t="s">
        <v>8459</v>
      </c>
      <c r="B2304">
        <v>1</v>
      </c>
    </row>
    <row r="2305" spans="1:2">
      <c r="A2305" t="s">
        <v>8456</v>
      </c>
      <c r="B2305">
        <v>1</v>
      </c>
    </row>
    <row r="2306" spans="1:2">
      <c r="A2306" t="s">
        <v>8450</v>
      </c>
      <c r="B2306">
        <v>1</v>
      </c>
    </row>
    <row r="2307" spans="1:2">
      <c r="A2307" t="s">
        <v>8487</v>
      </c>
      <c r="B2307">
        <v>1</v>
      </c>
    </row>
    <row r="2308" spans="1:2">
      <c r="A2308" t="s">
        <v>80</v>
      </c>
      <c r="B2308">
        <v>1</v>
      </c>
    </row>
    <row r="2309" spans="1:2">
      <c r="A2309" t="s">
        <v>8440</v>
      </c>
      <c r="B2309">
        <v>1</v>
      </c>
    </row>
    <row r="2310" spans="1:2">
      <c r="A2310" t="s">
        <v>8436</v>
      </c>
      <c r="B2310">
        <v>1</v>
      </c>
    </row>
    <row r="2311" spans="1:2">
      <c r="A2311" t="s">
        <v>8432</v>
      </c>
      <c r="B2311">
        <v>1</v>
      </c>
    </row>
    <row r="2312" spans="1:2">
      <c r="A2312" t="s">
        <v>8425</v>
      </c>
      <c r="B2312">
        <v>1</v>
      </c>
    </row>
    <row r="2313" spans="1:2">
      <c r="A2313" t="s">
        <v>8421</v>
      </c>
      <c r="B2313">
        <v>1</v>
      </c>
    </row>
    <row r="2314" spans="1:2">
      <c r="A2314" t="s">
        <v>8444</v>
      </c>
      <c r="B2314">
        <v>1</v>
      </c>
    </row>
    <row r="2315" spans="1:2">
      <c r="A2315" t="s">
        <v>8417</v>
      </c>
      <c r="B2315">
        <v>1</v>
      </c>
    </row>
    <row r="2316" spans="1:2">
      <c r="A2316" t="s">
        <v>8402</v>
      </c>
      <c r="B2316">
        <v>1</v>
      </c>
    </row>
    <row r="2317" spans="1:2">
      <c r="A2317" t="s">
        <v>8581</v>
      </c>
      <c r="B2317">
        <v>1</v>
      </c>
    </row>
    <row r="2318" spans="1:2">
      <c r="A2318" t="s">
        <v>8566</v>
      </c>
      <c r="B2318">
        <v>1</v>
      </c>
    </row>
    <row r="2319" spans="1:2">
      <c r="A2319" t="s">
        <v>8569</v>
      </c>
      <c r="B2319">
        <v>1</v>
      </c>
    </row>
    <row r="2320" spans="1:2">
      <c r="A2320" t="s">
        <v>8573</v>
      </c>
      <c r="B2320">
        <v>1</v>
      </c>
    </row>
    <row r="2321" spans="1:2">
      <c r="A2321" t="s">
        <v>8578</v>
      </c>
      <c r="B2321">
        <v>1</v>
      </c>
    </row>
    <row r="2322" spans="1:2">
      <c r="A2322" t="s">
        <v>8541</v>
      </c>
      <c r="B2322">
        <v>1</v>
      </c>
    </row>
    <row r="2323" spans="1:2">
      <c r="A2323" t="s">
        <v>8545</v>
      </c>
      <c r="B2323">
        <v>1</v>
      </c>
    </row>
    <row r="2324" spans="1:2">
      <c r="A2324" t="s">
        <v>8538</v>
      </c>
      <c r="B2324">
        <v>1</v>
      </c>
    </row>
    <row r="2325" spans="1:2">
      <c r="A2325" t="s">
        <v>8536</v>
      </c>
      <c r="B2325">
        <v>1</v>
      </c>
    </row>
    <row r="2326" spans="1:2">
      <c r="A2326" t="s">
        <v>8532</v>
      </c>
      <c r="B2326">
        <v>1</v>
      </c>
    </row>
    <row r="2327" spans="1:2">
      <c r="A2327" t="s">
        <v>8528</v>
      </c>
      <c r="B2327">
        <v>1</v>
      </c>
    </row>
    <row r="2328" spans="1:2">
      <c r="A2328" t="s">
        <v>8525</v>
      </c>
      <c r="B2328">
        <v>1</v>
      </c>
    </row>
    <row r="2329" spans="1:2">
      <c r="A2329" t="s">
        <v>8522</v>
      </c>
      <c r="B2329">
        <v>1</v>
      </c>
    </row>
    <row r="2330" spans="1:2">
      <c r="A2330" t="s">
        <v>8519</v>
      </c>
      <c r="B2330">
        <v>1</v>
      </c>
    </row>
    <row r="2331" spans="1:2">
      <c r="A2331" t="s">
        <v>8516</v>
      </c>
      <c r="B2331">
        <v>1</v>
      </c>
    </row>
    <row r="2332" spans="1:2">
      <c r="A2332" t="s">
        <v>8512</v>
      </c>
      <c r="B2332">
        <v>1</v>
      </c>
    </row>
    <row r="2333" spans="1:2">
      <c r="A2333" t="s">
        <v>8509</v>
      </c>
      <c r="B2333">
        <v>1</v>
      </c>
    </row>
    <row r="2334" spans="1:2">
      <c r="A2334" t="s">
        <v>8557</v>
      </c>
      <c r="B2334">
        <v>1</v>
      </c>
    </row>
    <row r="2335" spans="1:2">
      <c r="A2335" t="s">
        <v>8563</v>
      </c>
      <c r="B2335">
        <v>1</v>
      </c>
    </row>
    <row r="2336" spans="1:2">
      <c r="A2336" t="s">
        <v>8584</v>
      </c>
      <c r="B2336">
        <v>1</v>
      </c>
    </row>
    <row r="2337" spans="1:2">
      <c r="A2337" t="s">
        <v>8553</v>
      </c>
      <c r="B2337">
        <v>1</v>
      </c>
    </row>
    <row r="2338" spans="1:2">
      <c r="A2338" t="s">
        <v>8549</v>
      </c>
      <c r="B2338">
        <v>1</v>
      </c>
    </row>
    <row r="2339" spans="1:2">
      <c r="A2339" t="s">
        <v>8499</v>
      </c>
      <c r="B2339">
        <v>1</v>
      </c>
    </row>
    <row r="2340" spans="1:2">
      <c r="A2340" t="s">
        <v>8503</v>
      </c>
      <c r="B2340">
        <v>1</v>
      </c>
    </row>
    <row r="2341" spans="1:2">
      <c r="A2341" t="s">
        <v>8491</v>
      </c>
      <c r="B2341">
        <v>1</v>
      </c>
    </row>
    <row r="2342" spans="1:2">
      <c r="A2342" t="s">
        <v>8495</v>
      </c>
      <c r="B2342">
        <v>1</v>
      </c>
    </row>
    <row r="2343" spans="1:2">
      <c r="A2343" t="s">
        <v>8406</v>
      </c>
      <c r="B2343">
        <v>1</v>
      </c>
    </row>
    <row r="2344" spans="1:2">
      <c r="A2344" t="s">
        <v>8410</v>
      </c>
      <c r="B2344">
        <v>1</v>
      </c>
    </row>
    <row r="2345" spans="1:2">
      <c r="A2345" t="s">
        <v>8411</v>
      </c>
      <c r="B2345">
        <v>1</v>
      </c>
    </row>
    <row r="2346" spans="1:2">
      <c r="A2346" t="s">
        <v>8413</v>
      </c>
      <c r="B2346">
        <v>1</v>
      </c>
    </row>
    <row r="2347" spans="1:2">
      <c r="A2347" t="s">
        <v>8889</v>
      </c>
      <c r="B2347">
        <v>1</v>
      </c>
    </row>
    <row r="2348" spans="1:2">
      <c r="A2348" t="s">
        <v>8896</v>
      </c>
      <c r="B2348">
        <v>1</v>
      </c>
    </row>
    <row r="2349" spans="1:2">
      <c r="A2349" t="s">
        <v>8866</v>
      </c>
      <c r="B2349">
        <v>1</v>
      </c>
    </row>
    <row r="2350" spans="1:2">
      <c r="A2350" t="s">
        <v>8877</v>
      </c>
      <c r="B2350">
        <v>1</v>
      </c>
    </row>
    <row r="2351" spans="1:2">
      <c r="A2351" t="s">
        <v>8900</v>
      </c>
      <c r="B2351">
        <v>1</v>
      </c>
    </row>
    <row r="2352" spans="1:2">
      <c r="A2352" t="s">
        <v>8881</v>
      </c>
      <c r="B2352">
        <v>1</v>
      </c>
    </row>
    <row r="2353" spans="1:2">
      <c r="A2353" t="s">
        <v>8875</v>
      </c>
      <c r="B2353">
        <v>1</v>
      </c>
    </row>
    <row r="2354" spans="1:2">
      <c r="A2354" t="s">
        <v>8873</v>
      </c>
      <c r="B2354">
        <v>1</v>
      </c>
    </row>
    <row r="2355" spans="1:2">
      <c r="A2355" t="s">
        <v>8869</v>
      </c>
      <c r="B2355">
        <v>1</v>
      </c>
    </row>
    <row r="2356" spans="1:2">
      <c r="A2356" t="s">
        <v>9145</v>
      </c>
      <c r="B2356">
        <v>1</v>
      </c>
    </row>
    <row r="2357" spans="1:2">
      <c r="A2357" t="s">
        <v>9185</v>
      </c>
      <c r="B2357">
        <v>1</v>
      </c>
    </row>
    <row r="2358" spans="1:2">
      <c r="A2358" t="s">
        <v>9149</v>
      </c>
      <c r="B2358">
        <v>1</v>
      </c>
    </row>
    <row r="2359" spans="1:2">
      <c r="A2359" t="s">
        <v>9153</v>
      </c>
      <c r="B2359">
        <v>1</v>
      </c>
    </row>
    <row r="2360" spans="1:2">
      <c r="A2360" t="s">
        <v>9157</v>
      </c>
      <c r="B2360">
        <v>1</v>
      </c>
    </row>
    <row r="2361" spans="1:2">
      <c r="A2361" t="s">
        <v>9161</v>
      </c>
      <c r="B2361">
        <v>1</v>
      </c>
    </row>
    <row r="2362" spans="1:2">
      <c r="A2362" t="s">
        <v>9163</v>
      </c>
      <c r="B2362">
        <v>1</v>
      </c>
    </row>
    <row r="2363" spans="1:2">
      <c r="A2363" t="s">
        <v>9167</v>
      </c>
      <c r="B2363">
        <v>1</v>
      </c>
    </row>
    <row r="2364" spans="1:2">
      <c r="A2364" t="s">
        <v>9170</v>
      </c>
      <c r="B2364">
        <v>1</v>
      </c>
    </row>
    <row r="2365" spans="1:2">
      <c r="A2365" t="s">
        <v>9173</v>
      </c>
      <c r="B2365">
        <v>1</v>
      </c>
    </row>
    <row r="2366" spans="1:2">
      <c r="A2366" t="s">
        <v>9177</v>
      </c>
      <c r="B2366">
        <v>1</v>
      </c>
    </row>
    <row r="2367" spans="1:2">
      <c r="A2367" t="s">
        <v>9179</v>
      </c>
      <c r="B2367">
        <v>1</v>
      </c>
    </row>
    <row r="2368" spans="1:2">
      <c r="A2368" t="s">
        <v>9182</v>
      </c>
      <c r="B2368">
        <v>1</v>
      </c>
    </row>
    <row r="2369" spans="1:2">
      <c r="A2369" t="s">
        <v>9604</v>
      </c>
      <c r="B2369">
        <v>1</v>
      </c>
    </row>
    <row r="2370" spans="1:2">
      <c r="A2370" t="s">
        <v>9607</v>
      </c>
      <c r="B2370">
        <v>1</v>
      </c>
    </row>
    <row r="2371" spans="1:2">
      <c r="A2371" t="s">
        <v>9610</v>
      </c>
      <c r="B2371">
        <v>1</v>
      </c>
    </row>
    <row r="2372" spans="1:2">
      <c r="A2372" t="s">
        <v>9597</v>
      </c>
      <c r="B2372">
        <v>1</v>
      </c>
    </row>
    <row r="2373" spans="1:2">
      <c r="A2373" t="s">
        <v>10010</v>
      </c>
      <c r="B2373">
        <v>1</v>
      </c>
    </row>
    <row r="2374" spans="1:2">
      <c r="A2374" t="s">
        <v>10006</v>
      </c>
      <c r="B2374">
        <v>1</v>
      </c>
    </row>
    <row r="2375" spans="1:2">
      <c r="A2375" t="s">
        <v>9988</v>
      </c>
      <c r="B2375">
        <v>1</v>
      </c>
    </row>
    <row r="2376" spans="1:2">
      <c r="A2376" t="s">
        <v>9980</v>
      </c>
      <c r="B2376">
        <v>1</v>
      </c>
    </row>
    <row r="2377" spans="1:2">
      <c r="A2377" t="s">
        <v>10013</v>
      </c>
      <c r="B2377">
        <v>1</v>
      </c>
    </row>
    <row r="2378" spans="1:2">
      <c r="A2378" t="s">
        <v>10002</v>
      </c>
      <c r="B2378">
        <v>1</v>
      </c>
    </row>
    <row r="2379" spans="1:2">
      <c r="A2379" t="s">
        <v>9998</v>
      </c>
      <c r="B2379">
        <v>1</v>
      </c>
    </row>
    <row r="2380" spans="1:2">
      <c r="A2380" t="s">
        <v>9994</v>
      </c>
      <c r="B2380">
        <v>1</v>
      </c>
    </row>
    <row r="2381" spans="1:2">
      <c r="A2381" t="s">
        <v>9991</v>
      </c>
      <c r="B2381">
        <v>1</v>
      </c>
    </row>
    <row r="2382" spans="1:2">
      <c r="A2382" t="s">
        <v>10017</v>
      </c>
      <c r="B2382">
        <v>1</v>
      </c>
    </row>
    <row r="2383" spans="1:2">
      <c r="A2383" t="s">
        <v>9984</v>
      </c>
      <c r="B2383">
        <v>1</v>
      </c>
    </row>
    <row r="2384" spans="1:2">
      <c r="A2384" t="s">
        <v>10701</v>
      </c>
      <c r="B2384">
        <v>1</v>
      </c>
    </row>
    <row r="2385" spans="1:2">
      <c r="A2385" t="s">
        <v>10700</v>
      </c>
      <c r="B2385">
        <v>1</v>
      </c>
    </row>
    <row r="2386" spans="1:2">
      <c r="A2386" t="s">
        <v>10697</v>
      </c>
      <c r="B2386">
        <v>1</v>
      </c>
    </row>
    <row r="2387" spans="1:2">
      <c r="A2387" t="s">
        <v>10695</v>
      </c>
      <c r="B2387">
        <v>1</v>
      </c>
    </row>
    <row r="2388" spans="1:2">
      <c r="A2388" t="s">
        <v>10691</v>
      </c>
      <c r="B2388">
        <v>1</v>
      </c>
    </row>
    <row r="2389" spans="1:2">
      <c r="A2389" t="s">
        <v>10688</v>
      </c>
      <c r="B2389">
        <v>1</v>
      </c>
    </row>
    <row r="2390" spans="1:2">
      <c r="A2390" t="s">
        <v>10684</v>
      </c>
      <c r="B2390">
        <v>1</v>
      </c>
    </row>
    <row r="2391" spans="1:2">
      <c r="A2391" t="s">
        <v>10682</v>
      </c>
      <c r="B2391">
        <v>1</v>
      </c>
    </row>
    <row r="2392" spans="1:2">
      <c r="A2392" t="s">
        <v>10679</v>
      </c>
      <c r="B2392">
        <v>1</v>
      </c>
    </row>
    <row r="2393" spans="1:2">
      <c r="A2393" t="s">
        <v>10705</v>
      </c>
      <c r="B2393">
        <v>1</v>
      </c>
    </row>
    <row r="2394" spans="1:2">
      <c r="A2394" t="s">
        <v>10752</v>
      </c>
      <c r="B2394">
        <v>1</v>
      </c>
    </row>
    <row r="2395" spans="1:2">
      <c r="A2395" t="s">
        <v>10748</v>
      </c>
      <c r="B2395">
        <v>1</v>
      </c>
    </row>
    <row r="2396" spans="1:2">
      <c r="A2396" t="s">
        <v>10750</v>
      </c>
      <c r="B2396">
        <v>1</v>
      </c>
    </row>
    <row r="2397" spans="1:2">
      <c r="A2397" t="s">
        <v>10763</v>
      </c>
      <c r="B2397">
        <v>1</v>
      </c>
    </row>
    <row r="2398" spans="1:2">
      <c r="A2398" t="s">
        <v>10754</v>
      </c>
      <c r="B2398">
        <v>1</v>
      </c>
    </row>
    <row r="2399" spans="1:2">
      <c r="A2399" t="s">
        <v>10677</v>
      </c>
      <c r="B2399">
        <v>1</v>
      </c>
    </row>
    <row r="2400" spans="1:2">
      <c r="A2400" t="s">
        <v>10707</v>
      </c>
      <c r="B2400">
        <v>1</v>
      </c>
    </row>
    <row r="2401" spans="1:2">
      <c r="A2401" t="s">
        <v>10739</v>
      </c>
      <c r="B2401">
        <v>1</v>
      </c>
    </row>
    <row r="2402" spans="1:2">
      <c r="A2402" t="s">
        <v>10712</v>
      </c>
      <c r="B2402">
        <v>1</v>
      </c>
    </row>
    <row r="2403" spans="1:2">
      <c r="A2403" t="s">
        <v>10714</v>
      </c>
      <c r="B2403">
        <v>1</v>
      </c>
    </row>
    <row r="2404" spans="1:2">
      <c r="A2404" t="s">
        <v>10718</v>
      </c>
      <c r="B2404">
        <v>1</v>
      </c>
    </row>
    <row r="2405" spans="1:2">
      <c r="A2405" t="s">
        <v>10720</v>
      </c>
      <c r="B2405">
        <v>1</v>
      </c>
    </row>
    <row r="2406" spans="1:2">
      <c r="A2406" t="s">
        <v>10724</v>
      </c>
      <c r="B2406">
        <v>1</v>
      </c>
    </row>
    <row r="2407" spans="1:2">
      <c r="A2407" t="s">
        <v>10727</v>
      </c>
      <c r="B2407">
        <v>1</v>
      </c>
    </row>
    <row r="2408" spans="1:2">
      <c r="A2408" t="s">
        <v>10730</v>
      </c>
      <c r="B2408">
        <v>1</v>
      </c>
    </row>
    <row r="2409" spans="1:2">
      <c r="A2409" t="s">
        <v>10733</v>
      </c>
      <c r="B2409">
        <v>1</v>
      </c>
    </row>
    <row r="2410" spans="1:2">
      <c r="A2410" t="s">
        <v>10737</v>
      </c>
      <c r="B2410">
        <v>1</v>
      </c>
    </row>
    <row r="2411" spans="1:2">
      <c r="A2411" t="s">
        <v>10744</v>
      </c>
      <c r="B2411">
        <v>1</v>
      </c>
    </row>
    <row r="2412" spans="1:2">
      <c r="A2412" t="s">
        <v>10741</v>
      </c>
      <c r="B2412">
        <v>1</v>
      </c>
    </row>
    <row r="2413" spans="1:2">
      <c r="A2413" t="s">
        <v>10761</v>
      </c>
      <c r="B2413">
        <v>1</v>
      </c>
    </row>
    <row r="2414" spans="1:2">
      <c r="A2414" t="s">
        <v>10758</v>
      </c>
      <c r="B2414">
        <v>1</v>
      </c>
    </row>
    <row r="2415" spans="1:2">
      <c r="A2415" t="s">
        <v>9835</v>
      </c>
      <c r="B2415">
        <v>1</v>
      </c>
    </row>
    <row r="2416" spans="1:2">
      <c r="A2416" t="s">
        <v>9839</v>
      </c>
      <c r="B2416">
        <v>1</v>
      </c>
    </row>
    <row r="2417" spans="1:2">
      <c r="A2417" t="s">
        <v>9843</v>
      </c>
      <c r="B2417">
        <v>1</v>
      </c>
    </row>
    <row r="2418" spans="1:2">
      <c r="A2418" t="s">
        <v>9911</v>
      </c>
      <c r="B2418">
        <v>1</v>
      </c>
    </row>
    <row r="2419" spans="1:2">
      <c r="A2419" t="s">
        <v>9920</v>
      </c>
      <c r="B2419">
        <v>1</v>
      </c>
    </row>
    <row r="2420" spans="1:2">
      <c r="A2420" t="s">
        <v>9916</v>
      </c>
      <c r="B2420">
        <v>1</v>
      </c>
    </row>
    <row r="2421" spans="1:2">
      <c r="A2421" t="s">
        <v>9897</v>
      </c>
      <c r="B2421">
        <v>1</v>
      </c>
    </row>
    <row r="2422" spans="1:2">
      <c r="A2422" t="s">
        <v>9901</v>
      </c>
      <c r="B2422">
        <v>1</v>
      </c>
    </row>
    <row r="2423" spans="1:2">
      <c r="A2423" t="s">
        <v>9905</v>
      </c>
      <c r="B2423">
        <v>1</v>
      </c>
    </row>
    <row r="2424" spans="1:2">
      <c r="A2424" t="s">
        <v>9909</v>
      </c>
      <c r="B2424">
        <v>1</v>
      </c>
    </row>
    <row r="2425" spans="1:2">
      <c r="A2425" t="s">
        <v>10977</v>
      </c>
      <c r="B2425">
        <v>1</v>
      </c>
    </row>
    <row r="2426" spans="1:2">
      <c r="A2426" t="s">
        <v>10986</v>
      </c>
      <c r="B2426">
        <v>1</v>
      </c>
    </row>
    <row r="2427" spans="1:2">
      <c r="A2427" t="s">
        <v>10981</v>
      </c>
      <c r="B2427">
        <v>1</v>
      </c>
    </row>
    <row r="2428" spans="1:2">
      <c r="A2428" t="s">
        <v>10996</v>
      </c>
      <c r="B2428">
        <v>1</v>
      </c>
    </row>
    <row r="2429" spans="1:2">
      <c r="A2429" t="s">
        <v>10992</v>
      </c>
      <c r="B2429">
        <v>1</v>
      </c>
    </row>
    <row r="2430" spans="1:2">
      <c r="A2430" t="s">
        <v>10999</v>
      </c>
      <c r="B2430">
        <v>1</v>
      </c>
    </row>
    <row r="2431" spans="1:2">
      <c r="A2431" t="s">
        <v>10974</v>
      </c>
      <c r="B2431">
        <v>1</v>
      </c>
    </row>
    <row r="2432" spans="1:2">
      <c r="A2432" t="s">
        <v>10968</v>
      </c>
      <c r="B2432">
        <v>1</v>
      </c>
    </row>
    <row r="2433" spans="1:2">
      <c r="A2433" t="s">
        <v>10964</v>
      </c>
      <c r="B2433">
        <v>1</v>
      </c>
    </row>
    <row r="2434" spans="1:2">
      <c r="A2434" t="s">
        <v>11256</v>
      </c>
      <c r="B2434">
        <v>1</v>
      </c>
    </row>
    <row r="2435" spans="1:2">
      <c r="A2435" t="s">
        <v>11253</v>
      </c>
      <c r="B2435">
        <v>1</v>
      </c>
    </row>
    <row r="2436" spans="1:2">
      <c r="A2436" t="s">
        <v>11249</v>
      </c>
      <c r="B2436">
        <v>1</v>
      </c>
    </row>
    <row r="2437" spans="1:2">
      <c r="A2437" t="s">
        <v>11245</v>
      </c>
      <c r="B2437">
        <v>1</v>
      </c>
    </row>
    <row r="2438" spans="1:2">
      <c r="A2438" t="s">
        <v>11242</v>
      </c>
      <c r="B2438">
        <v>1</v>
      </c>
    </row>
    <row r="2439" spans="1:2">
      <c r="A2439" t="s">
        <v>11238</v>
      </c>
      <c r="B2439">
        <v>1</v>
      </c>
    </row>
    <row r="2440" spans="1:2">
      <c r="A2440" t="s">
        <v>11234</v>
      </c>
      <c r="B2440">
        <v>1</v>
      </c>
    </row>
    <row r="2441" spans="1:2">
      <c r="A2441" t="s">
        <v>11230</v>
      </c>
      <c r="B2441">
        <v>1</v>
      </c>
    </row>
    <row r="2442" spans="1:2">
      <c r="A2442" t="s">
        <v>11222</v>
      </c>
      <c r="B2442">
        <v>1</v>
      </c>
    </row>
    <row r="2443" spans="1:2">
      <c r="A2443" t="s">
        <v>11211</v>
      </c>
      <c r="B2443">
        <v>1</v>
      </c>
    </row>
    <row r="2444" spans="1:2">
      <c r="A2444" t="s">
        <v>11209</v>
      </c>
      <c r="B2444">
        <v>1</v>
      </c>
    </row>
    <row r="2445" spans="1:2">
      <c r="A2445" t="s">
        <v>11264</v>
      </c>
      <c r="B2445">
        <v>1</v>
      </c>
    </row>
    <row r="2446" spans="1:2">
      <c r="A2446" t="s">
        <v>11265</v>
      </c>
      <c r="B2446">
        <v>1</v>
      </c>
    </row>
    <row r="2447" spans="1:2">
      <c r="A2447" t="s">
        <v>11269</v>
      </c>
      <c r="B2447">
        <v>1</v>
      </c>
    </row>
    <row r="2448" spans="1:2">
      <c r="A2448" t="s">
        <v>11273</v>
      </c>
      <c r="B2448">
        <v>1</v>
      </c>
    </row>
    <row r="2449" spans="1:2">
      <c r="A2449" t="s">
        <v>11327</v>
      </c>
      <c r="B2449">
        <v>1</v>
      </c>
    </row>
    <row r="2450" spans="1:2">
      <c r="A2450" t="s">
        <v>11322</v>
      </c>
      <c r="B2450">
        <v>1</v>
      </c>
    </row>
    <row r="2451" spans="1:2">
      <c r="A2451" t="s">
        <v>11319</v>
      </c>
      <c r="B2451">
        <v>1</v>
      </c>
    </row>
    <row r="2452" spans="1:2">
      <c r="A2452" t="s">
        <v>11317</v>
      </c>
      <c r="B2452">
        <v>1</v>
      </c>
    </row>
    <row r="2453" spans="1:2">
      <c r="A2453" t="s">
        <v>11313</v>
      </c>
      <c r="B2453">
        <v>1</v>
      </c>
    </row>
    <row r="2454" spans="1:2">
      <c r="A2454" t="s">
        <v>11203</v>
      </c>
      <c r="B2454">
        <v>1</v>
      </c>
    </row>
    <row r="2455" spans="1:2">
      <c r="A2455" t="s">
        <v>11308</v>
      </c>
      <c r="B2455">
        <v>1</v>
      </c>
    </row>
    <row r="2456" spans="1:2">
      <c r="A2456" t="s">
        <v>11330</v>
      </c>
      <c r="B2456">
        <v>1</v>
      </c>
    </row>
    <row r="2457" spans="1:2">
      <c r="A2457" t="s">
        <v>11304</v>
      </c>
      <c r="B2457">
        <v>1</v>
      </c>
    </row>
    <row r="2458" spans="1:2">
      <c r="A2458" t="s">
        <v>11297</v>
      </c>
      <c r="B2458">
        <v>1</v>
      </c>
    </row>
    <row r="2459" spans="1:2">
      <c r="A2459" t="s">
        <v>11293</v>
      </c>
      <c r="B2459">
        <v>1</v>
      </c>
    </row>
    <row r="2460" spans="1:2">
      <c r="A2460" t="s">
        <v>11290</v>
      </c>
      <c r="B2460">
        <v>1</v>
      </c>
    </row>
    <row r="2461" spans="1:2">
      <c r="A2461" t="s">
        <v>11287</v>
      </c>
      <c r="B2461">
        <v>1</v>
      </c>
    </row>
    <row r="2462" spans="1:2">
      <c r="A2462" t="s">
        <v>11285</v>
      </c>
      <c r="B2462">
        <v>1</v>
      </c>
    </row>
    <row r="2463" spans="1:2">
      <c r="A2463" t="s">
        <v>11281</v>
      </c>
      <c r="B2463">
        <v>1</v>
      </c>
    </row>
    <row r="2464" spans="1:2">
      <c r="A2464" t="s">
        <v>11277</v>
      </c>
      <c r="B2464">
        <v>1</v>
      </c>
    </row>
    <row r="2465" spans="1:2">
      <c r="A2465" t="s">
        <v>11207</v>
      </c>
      <c r="B2465">
        <v>1</v>
      </c>
    </row>
    <row r="2466" spans="1:2">
      <c r="A2466" t="s">
        <v>11301</v>
      </c>
      <c r="B2466">
        <v>1</v>
      </c>
    </row>
    <row r="2467" spans="1:2">
      <c r="A2467" t="s">
        <v>11201</v>
      </c>
      <c r="B2467">
        <v>1</v>
      </c>
    </row>
    <row r="2468" spans="1:2">
      <c r="A2468" t="s">
        <v>11161</v>
      </c>
      <c r="B2468">
        <v>1</v>
      </c>
    </row>
    <row r="2469" spans="1:2">
      <c r="A2469" t="s">
        <v>11133</v>
      </c>
      <c r="B2469">
        <v>1</v>
      </c>
    </row>
    <row r="2470" spans="1:2">
      <c r="A2470" t="s">
        <v>11125</v>
      </c>
      <c r="B2470">
        <v>1</v>
      </c>
    </row>
    <row r="2471" spans="1:2">
      <c r="A2471" t="s">
        <v>11121</v>
      </c>
      <c r="B2471">
        <v>1</v>
      </c>
    </row>
    <row r="2472" spans="1:2">
      <c r="A2472" t="s">
        <v>11119</v>
      </c>
      <c r="B2472">
        <v>1</v>
      </c>
    </row>
    <row r="2473" spans="1:2">
      <c r="A2473" t="s">
        <v>11114</v>
      </c>
      <c r="B2473">
        <v>1</v>
      </c>
    </row>
    <row r="2474" spans="1:2">
      <c r="A2474" t="s">
        <v>11116</v>
      </c>
      <c r="B2474">
        <v>1</v>
      </c>
    </row>
    <row r="2475" spans="1:2">
      <c r="A2475" t="s">
        <v>11135</v>
      </c>
      <c r="B2475">
        <v>1</v>
      </c>
    </row>
    <row r="2476" spans="1:2">
      <c r="A2476" t="s">
        <v>11109</v>
      </c>
      <c r="B2476">
        <v>1</v>
      </c>
    </row>
    <row r="2477" spans="1:2">
      <c r="A2477" t="s">
        <v>11105</v>
      </c>
      <c r="B2477">
        <v>1</v>
      </c>
    </row>
    <row r="2478" spans="1:2">
      <c r="A2478" t="s">
        <v>11101</v>
      </c>
      <c r="B2478">
        <v>1</v>
      </c>
    </row>
    <row r="2479" spans="1:2">
      <c r="A2479" t="s">
        <v>11098</v>
      </c>
      <c r="B2479">
        <v>1</v>
      </c>
    </row>
    <row r="2480" spans="1:2">
      <c r="A2480" t="s">
        <v>11094</v>
      </c>
      <c r="B2480">
        <v>1</v>
      </c>
    </row>
    <row r="2481" spans="1:2">
      <c r="A2481" t="s">
        <v>11091</v>
      </c>
      <c r="B2481">
        <v>1</v>
      </c>
    </row>
    <row r="2482" spans="1:2">
      <c r="A2482" t="s">
        <v>11139</v>
      </c>
      <c r="B2482">
        <v>1</v>
      </c>
    </row>
    <row r="2483" spans="1:2">
      <c r="A2483" t="s">
        <v>11197</v>
      </c>
      <c r="B2483">
        <v>1</v>
      </c>
    </row>
    <row r="2484" spans="1:2">
      <c r="A2484" t="s">
        <v>11144</v>
      </c>
      <c r="B2484">
        <v>1</v>
      </c>
    </row>
    <row r="2485" spans="1:2">
      <c r="A2485" t="s">
        <v>11142</v>
      </c>
      <c r="B2485">
        <v>1</v>
      </c>
    </row>
    <row r="2486" spans="1:2">
      <c r="A2486" t="s">
        <v>11195</v>
      </c>
      <c r="B2486">
        <v>1</v>
      </c>
    </row>
    <row r="2487" spans="1:2">
      <c r="A2487" t="s">
        <v>11193</v>
      </c>
      <c r="B2487">
        <v>1</v>
      </c>
    </row>
    <row r="2488" spans="1:2">
      <c r="A2488" t="s">
        <v>11189</v>
      </c>
      <c r="B2488">
        <v>1</v>
      </c>
    </row>
    <row r="2489" spans="1:2">
      <c r="A2489" t="s">
        <v>11185</v>
      </c>
      <c r="B2489">
        <v>1</v>
      </c>
    </row>
    <row r="2490" spans="1:2">
      <c r="A2490" t="s">
        <v>11182</v>
      </c>
      <c r="B2490">
        <v>1</v>
      </c>
    </row>
    <row r="2491" spans="1:2">
      <c r="A2491" t="s">
        <v>11179</v>
      </c>
      <c r="B2491">
        <v>1</v>
      </c>
    </row>
    <row r="2492" spans="1:2">
      <c r="A2492" t="s">
        <v>11175</v>
      </c>
      <c r="B2492">
        <v>1</v>
      </c>
    </row>
    <row r="2493" spans="1:2">
      <c r="A2493" t="s">
        <v>11171</v>
      </c>
      <c r="B2493">
        <v>1</v>
      </c>
    </row>
    <row r="2494" spans="1:2">
      <c r="A2494" t="s">
        <v>11168</v>
      </c>
      <c r="B2494">
        <v>1</v>
      </c>
    </row>
    <row r="2495" spans="1:2">
      <c r="A2495" t="s">
        <v>11338</v>
      </c>
      <c r="B2495">
        <v>1</v>
      </c>
    </row>
    <row r="2496" spans="1:2">
      <c r="A2496" t="s">
        <v>11159</v>
      </c>
      <c r="B2496">
        <v>1</v>
      </c>
    </row>
    <row r="2497" spans="1:2">
      <c r="A2497" t="s">
        <v>11156</v>
      </c>
      <c r="B2497">
        <v>1</v>
      </c>
    </row>
    <row r="2498" spans="1:2">
      <c r="A2498" t="s">
        <v>11152</v>
      </c>
      <c r="B2498">
        <v>1</v>
      </c>
    </row>
    <row r="2499" spans="1:2">
      <c r="A2499" t="s">
        <v>11148</v>
      </c>
      <c r="B2499">
        <v>1</v>
      </c>
    </row>
    <row r="2500" spans="1:2">
      <c r="A2500" t="s">
        <v>11087</v>
      </c>
      <c r="B2500">
        <v>1</v>
      </c>
    </row>
    <row r="2501" spans="1:2">
      <c r="A2501" t="s">
        <v>11260</v>
      </c>
      <c r="B2501">
        <v>1</v>
      </c>
    </row>
    <row r="2502" spans="1:2">
      <c r="A2502" t="s">
        <v>11335</v>
      </c>
      <c r="B2502">
        <v>1</v>
      </c>
    </row>
    <row r="2503" spans="1:2">
      <c r="A2503" t="s">
        <v>11342</v>
      </c>
      <c r="B2503">
        <v>1</v>
      </c>
    </row>
    <row r="2504" spans="1:2">
      <c r="A2504" t="s">
        <v>11537</v>
      </c>
      <c r="B2504">
        <v>1</v>
      </c>
    </row>
    <row r="2505" spans="1:2">
      <c r="A2505" t="s">
        <v>11531</v>
      </c>
      <c r="B2505">
        <v>1</v>
      </c>
    </row>
    <row r="2506" spans="1:2">
      <c r="A2506" t="s">
        <v>11528</v>
      </c>
      <c r="B2506">
        <v>1</v>
      </c>
    </row>
    <row r="2507" spans="1:2">
      <c r="A2507" t="s">
        <v>11525</v>
      </c>
      <c r="B2507">
        <v>1</v>
      </c>
    </row>
    <row r="2508" spans="1:2">
      <c r="A2508" t="s">
        <v>11521</v>
      </c>
      <c r="B2508">
        <v>1</v>
      </c>
    </row>
    <row r="2509" spans="1:2">
      <c r="A2509" t="s">
        <v>11519</v>
      </c>
      <c r="B2509">
        <v>1</v>
      </c>
    </row>
    <row r="2510" spans="1:2">
      <c r="A2510" t="s">
        <v>11541</v>
      </c>
      <c r="B2510">
        <v>1</v>
      </c>
    </row>
    <row r="2511" spans="1:2">
      <c r="A2511" t="s">
        <v>11513</v>
      </c>
      <c r="B2511">
        <v>1</v>
      </c>
    </row>
    <row r="2512" spans="1:2">
      <c r="A2512" t="s">
        <v>11511</v>
      </c>
      <c r="B2512">
        <v>1</v>
      </c>
    </row>
    <row r="2513" spans="1:2">
      <c r="A2513" t="s">
        <v>11508</v>
      </c>
      <c r="B2513">
        <v>1</v>
      </c>
    </row>
    <row r="2514" spans="1:2">
      <c r="A2514" t="s">
        <v>11505</v>
      </c>
      <c r="B2514">
        <v>1</v>
      </c>
    </row>
    <row r="2515" spans="1:2">
      <c r="A2515" t="s">
        <v>11502</v>
      </c>
      <c r="B2515">
        <v>1</v>
      </c>
    </row>
    <row r="2516" spans="1:2">
      <c r="A2516" t="s">
        <v>11500</v>
      </c>
      <c r="B2516">
        <v>1</v>
      </c>
    </row>
    <row r="2517" spans="1:2">
      <c r="A2517" t="s">
        <v>11498</v>
      </c>
      <c r="B2517">
        <v>1</v>
      </c>
    </row>
    <row r="2518" spans="1:2">
      <c r="A2518" t="s">
        <v>11495</v>
      </c>
      <c r="B2518">
        <v>1</v>
      </c>
    </row>
    <row r="2519" spans="1:2">
      <c r="A2519" t="s">
        <v>11492</v>
      </c>
      <c r="B2519">
        <v>1</v>
      </c>
    </row>
    <row r="2520" spans="1:2">
      <c r="A2520" t="s">
        <v>11111</v>
      </c>
      <c r="B2520">
        <v>1</v>
      </c>
    </row>
    <row r="2521" spans="1:2">
      <c r="A2521" t="s">
        <v>11572</v>
      </c>
      <c r="B2521">
        <v>1</v>
      </c>
    </row>
    <row r="2522" spans="1:2">
      <c r="A2522" t="s">
        <v>11579</v>
      </c>
      <c r="B2522">
        <v>1</v>
      </c>
    </row>
    <row r="2523" spans="1:2">
      <c r="A2523" t="s">
        <v>11583</v>
      </c>
      <c r="B2523">
        <v>1</v>
      </c>
    </row>
    <row r="2524" spans="1:2">
      <c r="A2524" t="s">
        <v>11586</v>
      </c>
      <c r="B2524">
        <v>1</v>
      </c>
    </row>
    <row r="2525" spans="1:2">
      <c r="A2525" t="s">
        <v>11577</v>
      </c>
      <c r="B2525">
        <v>1</v>
      </c>
    </row>
    <row r="2526" spans="1:2">
      <c r="A2526" t="s">
        <v>11576</v>
      </c>
      <c r="B2526">
        <v>1</v>
      </c>
    </row>
    <row r="2527" spans="1:2">
      <c r="A2527" t="s">
        <v>11546</v>
      </c>
      <c r="B2527">
        <v>1</v>
      </c>
    </row>
    <row r="2528" spans="1:2">
      <c r="A2528" t="s">
        <v>11551</v>
      </c>
      <c r="B2528">
        <v>1</v>
      </c>
    </row>
    <row r="2529" spans="1:2">
      <c r="A2529" t="s">
        <v>11554</v>
      </c>
      <c r="B2529">
        <v>1</v>
      </c>
    </row>
    <row r="2530" spans="1:2">
      <c r="A2530" t="s">
        <v>11555</v>
      </c>
      <c r="B2530">
        <v>1</v>
      </c>
    </row>
    <row r="2531" spans="1:2">
      <c r="A2531" t="s">
        <v>11557</v>
      </c>
      <c r="B2531">
        <v>1</v>
      </c>
    </row>
    <row r="2532" spans="1:2">
      <c r="A2532" t="s">
        <v>11559</v>
      </c>
      <c r="B2532">
        <v>1</v>
      </c>
    </row>
    <row r="2533" spans="1:2">
      <c r="A2533" t="s">
        <v>11563</v>
      </c>
      <c r="B2533">
        <v>1</v>
      </c>
    </row>
    <row r="2534" spans="1:2">
      <c r="A2534" t="s">
        <v>11567</v>
      </c>
      <c r="B2534">
        <v>1</v>
      </c>
    </row>
    <row r="2535" spans="1:2">
      <c r="A2535" t="s">
        <v>11569</v>
      </c>
      <c r="B2535">
        <v>1</v>
      </c>
    </row>
    <row r="2536" spans="1:2">
      <c r="A2536" t="s">
        <v>11488</v>
      </c>
      <c r="B2536">
        <v>1</v>
      </c>
    </row>
    <row r="2537" spans="1:2">
      <c r="A2537" t="s">
        <v>11516</v>
      </c>
      <c r="B2537">
        <v>1</v>
      </c>
    </row>
    <row r="2538" spans="1:2">
      <c r="A2538" t="s">
        <v>11483</v>
      </c>
      <c r="B2538">
        <v>1</v>
      </c>
    </row>
    <row r="2539" spans="1:2">
      <c r="A2539" t="s">
        <v>11414</v>
      </c>
      <c r="B2539">
        <v>1</v>
      </c>
    </row>
    <row r="2540" spans="1:2">
      <c r="A2540" t="s">
        <v>11407</v>
      </c>
      <c r="B2540">
        <v>1</v>
      </c>
    </row>
    <row r="2541" spans="1:2">
      <c r="A2541" t="s">
        <v>11403</v>
      </c>
      <c r="B2541">
        <v>1</v>
      </c>
    </row>
    <row r="2542" spans="1:2">
      <c r="A2542" t="s">
        <v>11400</v>
      </c>
      <c r="B2542">
        <v>1</v>
      </c>
    </row>
    <row r="2543" spans="1:2">
      <c r="A2543" t="s">
        <v>11397</v>
      </c>
      <c r="B2543">
        <v>1</v>
      </c>
    </row>
    <row r="2544" spans="1:2">
      <c r="A2544" t="s">
        <v>11393</v>
      </c>
      <c r="B2544">
        <v>1</v>
      </c>
    </row>
    <row r="2545" spans="1:2">
      <c r="A2545" t="s">
        <v>11390</v>
      </c>
      <c r="B2545">
        <v>1</v>
      </c>
    </row>
    <row r="2546" spans="1:2">
      <c r="A2546" t="s">
        <v>11388</v>
      </c>
      <c r="B2546">
        <v>1</v>
      </c>
    </row>
    <row r="2547" spans="1:2">
      <c r="A2547" t="s">
        <v>11384</v>
      </c>
      <c r="B2547">
        <v>1</v>
      </c>
    </row>
    <row r="2548" spans="1:2">
      <c r="A2548" t="s">
        <v>11376</v>
      </c>
      <c r="B2548">
        <v>1</v>
      </c>
    </row>
    <row r="2549" spans="1:2">
      <c r="A2549" t="s">
        <v>11372</v>
      </c>
      <c r="B2549">
        <v>1</v>
      </c>
    </row>
    <row r="2550" spans="1:2">
      <c r="A2550" t="s">
        <v>11368</v>
      </c>
      <c r="B2550">
        <v>1</v>
      </c>
    </row>
    <row r="2551" spans="1:2">
      <c r="A2551" t="s">
        <v>11365</v>
      </c>
      <c r="B2551">
        <v>1</v>
      </c>
    </row>
    <row r="2552" spans="1:2">
      <c r="A2552" t="s">
        <v>11362</v>
      </c>
      <c r="B2552">
        <v>1</v>
      </c>
    </row>
    <row r="2553" spans="1:2">
      <c r="A2553" t="s">
        <v>11486</v>
      </c>
      <c r="B2553">
        <v>1</v>
      </c>
    </row>
    <row r="2554" spans="1:2">
      <c r="A2554" t="s">
        <v>11358</v>
      </c>
      <c r="B2554">
        <v>1</v>
      </c>
    </row>
    <row r="2555" spans="1:2">
      <c r="A2555" t="s">
        <v>11357</v>
      </c>
      <c r="B2555">
        <v>1</v>
      </c>
    </row>
    <row r="2556" spans="1:2">
      <c r="A2556" t="s">
        <v>11348</v>
      </c>
      <c r="B2556">
        <v>1</v>
      </c>
    </row>
    <row r="2557" spans="1:2">
      <c r="A2557" t="s">
        <v>11344</v>
      </c>
      <c r="B2557">
        <v>1</v>
      </c>
    </row>
    <row r="2558" spans="1:2">
      <c r="A2558" t="s">
        <v>11411</v>
      </c>
      <c r="B2558">
        <v>1</v>
      </c>
    </row>
    <row r="2559" spans="1:2">
      <c r="A2559" t="s">
        <v>11417</v>
      </c>
      <c r="B2559">
        <v>1</v>
      </c>
    </row>
    <row r="2560" spans="1:2">
      <c r="A2560" t="s">
        <v>11420</v>
      </c>
      <c r="B2560">
        <v>1</v>
      </c>
    </row>
    <row r="2561" spans="1:2">
      <c r="A2561" t="s">
        <v>11479</v>
      </c>
      <c r="B2561">
        <v>1</v>
      </c>
    </row>
    <row r="2562" spans="1:2">
      <c r="A2562" t="s">
        <v>11476</v>
      </c>
      <c r="B2562">
        <v>1</v>
      </c>
    </row>
    <row r="2563" spans="1:2">
      <c r="A2563" t="s">
        <v>11473</v>
      </c>
      <c r="B2563">
        <v>1</v>
      </c>
    </row>
    <row r="2564" spans="1:2">
      <c r="A2564" t="s">
        <v>11472</v>
      </c>
      <c r="B2564">
        <v>1</v>
      </c>
    </row>
    <row r="2565" spans="1:2">
      <c r="A2565" t="s">
        <v>11469</v>
      </c>
      <c r="B2565">
        <v>1</v>
      </c>
    </row>
    <row r="2566" spans="1:2">
      <c r="A2566" t="s">
        <v>11466</v>
      </c>
      <c r="B2566">
        <v>1</v>
      </c>
    </row>
    <row r="2567" spans="1:2">
      <c r="A2567" t="s">
        <v>11462</v>
      </c>
      <c r="B2567">
        <v>1</v>
      </c>
    </row>
    <row r="2568" spans="1:2">
      <c r="A2568" t="s">
        <v>11459</v>
      </c>
      <c r="B2568">
        <v>1</v>
      </c>
    </row>
    <row r="2569" spans="1:2">
      <c r="A2569" t="s">
        <v>11456</v>
      </c>
      <c r="B2569">
        <v>1</v>
      </c>
    </row>
    <row r="2570" spans="1:2">
      <c r="A2570" t="s">
        <v>11453</v>
      </c>
      <c r="B2570">
        <v>1</v>
      </c>
    </row>
    <row r="2571" spans="1:2">
      <c r="A2571" t="s">
        <v>11447</v>
      </c>
      <c r="B2571">
        <v>1</v>
      </c>
    </row>
    <row r="2572" spans="1:2">
      <c r="A2572" t="s">
        <v>11444</v>
      </c>
      <c r="B2572">
        <v>1</v>
      </c>
    </row>
    <row r="2573" spans="1:2">
      <c r="A2573" t="s">
        <v>11441</v>
      </c>
      <c r="B2573">
        <v>1</v>
      </c>
    </row>
    <row r="2574" spans="1:2">
      <c r="A2574" t="s">
        <v>11437</v>
      </c>
      <c r="B2574">
        <v>1</v>
      </c>
    </row>
    <row r="2575" spans="1:2">
      <c r="A2575" t="s">
        <v>11435</v>
      </c>
      <c r="B2575">
        <v>1</v>
      </c>
    </row>
    <row r="2576" spans="1:2">
      <c r="A2576" t="s">
        <v>11433</v>
      </c>
      <c r="B2576">
        <v>1</v>
      </c>
    </row>
    <row r="2577" spans="1:2">
      <c r="A2577" t="s">
        <v>11430</v>
      </c>
      <c r="B2577">
        <v>1</v>
      </c>
    </row>
    <row r="2578" spans="1:2">
      <c r="A2578" t="s">
        <v>11427</v>
      </c>
      <c r="B2578">
        <v>1</v>
      </c>
    </row>
    <row r="2579" spans="1:2">
      <c r="A2579" t="s">
        <v>11423</v>
      </c>
      <c r="B2579">
        <v>1</v>
      </c>
    </row>
    <row r="2580" spans="1:2">
      <c r="A2580" t="s">
        <v>11599</v>
      </c>
      <c r="B2580">
        <v>1</v>
      </c>
    </row>
    <row r="2581" spans="1:2">
      <c r="A2581" t="s">
        <v>11603</v>
      </c>
      <c r="B2581">
        <v>1</v>
      </c>
    </row>
    <row r="2582" spans="1:2">
      <c r="A2582" t="s">
        <v>11630</v>
      </c>
      <c r="B2582">
        <v>1</v>
      </c>
    </row>
    <row r="2583" spans="1:2">
      <c r="A2583" t="s">
        <v>11608</v>
      </c>
      <c r="B2583">
        <v>1</v>
      </c>
    </row>
    <row r="2584" spans="1:2">
      <c r="A2584" t="s">
        <v>11612</v>
      </c>
      <c r="B2584">
        <v>1</v>
      </c>
    </row>
    <row r="2585" spans="1:2">
      <c r="A2585" t="s">
        <v>11626</v>
      </c>
      <c r="B2585">
        <v>1</v>
      </c>
    </row>
    <row r="2586" spans="1:2">
      <c r="A2586" t="s">
        <v>11619</v>
      </c>
      <c r="B2586">
        <v>1</v>
      </c>
    </row>
    <row r="2587" spans="1:2">
      <c r="A2587" t="s">
        <v>11623</v>
      </c>
      <c r="B2587">
        <v>1</v>
      </c>
    </row>
    <row r="2588" spans="1:2">
      <c r="A2588" t="s">
        <v>11615</v>
      </c>
      <c r="B2588">
        <v>1</v>
      </c>
    </row>
    <row r="2589" spans="1:2">
      <c r="A2589" t="s">
        <v>11606</v>
      </c>
      <c r="B2589">
        <v>1</v>
      </c>
    </row>
    <row r="2590" spans="1:2">
      <c r="A2590" t="s">
        <v>11592</v>
      </c>
      <c r="B2590">
        <v>1</v>
      </c>
    </row>
    <row r="2591" spans="1:2">
      <c r="A2591" t="s">
        <v>11900</v>
      </c>
      <c r="B2591">
        <v>1</v>
      </c>
    </row>
    <row r="2592" spans="1:2">
      <c r="A2592" t="s">
        <v>11908</v>
      </c>
      <c r="B2592">
        <v>1</v>
      </c>
    </row>
    <row r="2593" spans="1:2">
      <c r="A2593" t="s">
        <v>11896</v>
      </c>
      <c r="B2593">
        <v>1</v>
      </c>
    </row>
    <row r="2594" spans="1:2">
      <c r="A2594" t="s">
        <v>11893</v>
      </c>
      <c r="B2594">
        <v>1</v>
      </c>
    </row>
    <row r="2595" spans="1:2">
      <c r="A2595" t="s">
        <v>11886</v>
      </c>
      <c r="B2595">
        <v>1</v>
      </c>
    </row>
    <row r="2596" spans="1:2">
      <c r="A2596" t="s">
        <v>11883</v>
      </c>
      <c r="B2596">
        <v>1</v>
      </c>
    </row>
    <row r="2597" spans="1:2">
      <c r="A2597" t="s">
        <v>11879</v>
      </c>
      <c r="B2597">
        <v>1</v>
      </c>
    </row>
    <row r="2598" spans="1:2">
      <c r="A2598" t="s">
        <v>11875</v>
      </c>
      <c r="B2598">
        <v>1</v>
      </c>
    </row>
    <row r="2599" spans="1:2">
      <c r="A2599" t="s">
        <v>11871</v>
      </c>
      <c r="B2599">
        <v>1</v>
      </c>
    </row>
    <row r="2600" spans="1:2">
      <c r="A2600" t="s">
        <v>11867</v>
      </c>
      <c r="B2600">
        <v>1</v>
      </c>
    </row>
    <row r="2601" spans="1:2">
      <c r="A2601" t="s">
        <v>11864</v>
      </c>
      <c r="B2601">
        <v>1</v>
      </c>
    </row>
    <row r="2602" spans="1:2">
      <c r="A2602" t="s">
        <v>11860</v>
      </c>
      <c r="B2602">
        <v>1</v>
      </c>
    </row>
    <row r="2603" spans="1:2">
      <c r="A2603" t="s">
        <v>11856</v>
      </c>
      <c r="B2603">
        <v>1</v>
      </c>
    </row>
    <row r="2604" spans="1:2">
      <c r="A2604" t="s">
        <v>11852</v>
      </c>
      <c r="B2604">
        <v>1</v>
      </c>
    </row>
    <row r="2605" spans="1:2">
      <c r="A2605" t="s">
        <v>11848</v>
      </c>
      <c r="B2605">
        <v>1</v>
      </c>
    </row>
    <row r="2606" spans="1:2">
      <c r="A2606" t="s">
        <v>11844</v>
      </c>
      <c r="B2606">
        <v>1</v>
      </c>
    </row>
    <row r="2607" spans="1:2">
      <c r="A2607" t="s">
        <v>11838</v>
      </c>
      <c r="B2607">
        <v>1</v>
      </c>
    </row>
    <row r="2608" spans="1:2">
      <c r="A2608" t="s">
        <v>11831</v>
      </c>
      <c r="B2608">
        <v>1</v>
      </c>
    </row>
    <row r="2609" spans="1:2">
      <c r="A2609" t="s">
        <v>11834</v>
      </c>
      <c r="B2609">
        <v>1</v>
      </c>
    </row>
    <row r="2610" spans="1:2">
      <c r="A2610" t="s">
        <v>11889</v>
      </c>
      <c r="B2610">
        <v>1</v>
      </c>
    </row>
    <row r="2611" spans="1:2">
      <c r="A2611" t="s">
        <v>11975</v>
      </c>
      <c r="B2611">
        <v>1</v>
      </c>
    </row>
    <row r="2612" spans="1:2">
      <c r="A2612" t="s">
        <v>11970</v>
      </c>
      <c r="B2612">
        <v>1</v>
      </c>
    </row>
    <row r="2613" spans="1:2">
      <c r="A2613" t="s">
        <v>11966</v>
      </c>
      <c r="B2613">
        <v>1</v>
      </c>
    </row>
    <row r="2614" spans="1:2">
      <c r="A2614" t="s">
        <v>11962</v>
      </c>
      <c r="B2614">
        <v>1</v>
      </c>
    </row>
    <row r="2615" spans="1:2">
      <c r="A2615" t="s">
        <v>11958</v>
      </c>
      <c r="B2615">
        <v>1</v>
      </c>
    </row>
    <row r="2616" spans="1:2">
      <c r="A2616" t="s">
        <v>11954</v>
      </c>
      <c r="B2616">
        <v>1</v>
      </c>
    </row>
    <row r="2617" spans="1:2">
      <c r="A2617" t="s">
        <v>11950</v>
      </c>
      <c r="B2617">
        <v>1</v>
      </c>
    </row>
    <row r="2618" spans="1:2">
      <c r="A2618" t="s">
        <v>11946</v>
      </c>
      <c r="B2618">
        <v>1</v>
      </c>
    </row>
    <row r="2619" spans="1:2">
      <c r="A2619" t="s">
        <v>11936</v>
      </c>
      <c r="B2619">
        <v>1</v>
      </c>
    </row>
    <row r="2620" spans="1:2">
      <c r="A2620" t="s">
        <v>11933</v>
      </c>
      <c r="B2620">
        <v>1</v>
      </c>
    </row>
    <row r="2621" spans="1:2">
      <c r="A2621" t="s">
        <v>11929</v>
      </c>
      <c r="B2621">
        <v>1</v>
      </c>
    </row>
    <row r="2622" spans="1:2">
      <c r="A2622" t="s">
        <v>11925</v>
      </c>
      <c r="B2622">
        <v>1</v>
      </c>
    </row>
    <row r="2623" spans="1:2">
      <c r="A2623" t="s">
        <v>11921</v>
      </c>
      <c r="B2623">
        <v>1</v>
      </c>
    </row>
    <row r="2624" spans="1:2">
      <c r="A2624" t="s">
        <v>11918</v>
      </c>
      <c r="B2624">
        <v>1</v>
      </c>
    </row>
    <row r="2625" spans="1:2">
      <c r="A2625" t="s">
        <v>11943</v>
      </c>
      <c r="B2625">
        <v>1</v>
      </c>
    </row>
    <row r="2626" spans="1:2">
      <c r="A2626" t="s">
        <v>11914</v>
      </c>
      <c r="B2626">
        <v>1</v>
      </c>
    </row>
    <row r="2627" spans="1:2">
      <c r="A2627" t="s">
        <v>12015</v>
      </c>
      <c r="B2627">
        <v>1</v>
      </c>
    </row>
    <row r="2628" spans="1:2">
      <c r="A2628" t="s">
        <v>11989</v>
      </c>
      <c r="B2628">
        <v>1</v>
      </c>
    </row>
    <row r="2629" spans="1:2">
      <c r="A2629" t="s">
        <v>12012</v>
      </c>
      <c r="B2629">
        <v>1</v>
      </c>
    </row>
    <row r="2630" spans="1:2">
      <c r="A2630" t="s">
        <v>11982</v>
      </c>
      <c r="B2630">
        <v>1</v>
      </c>
    </row>
    <row r="2631" spans="1:2">
      <c r="A2631" t="s">
        <v>11985</v>
      </c>
      <c r="B2631">
        <v>1</v>
      </c>
    </row>
    <row r="2632" spans="1:2">
      <c r="A2632" t="s">
        <v>11992</v>
      </c>
      <c r="B2632">
        <v>1</v>
      </c>
    </row>
    <row r="2633" spans="1:2">
      <c r="A2633" t="s">
        <v>11995</v>
      </c>
      <c r="B2633">
        <v>1</v>
      </c>
    </row>
    <row r="2634" spans="1:2">
      <c r="A2634" t="s">
        <v>11999</v>
      </c>
      <c r="B2634">
        <v>1</v>
      </c>
    </row>
    <row r="2635" spans="1:2">
      <c r="A2635" t="s">
        <v>12003</v>
      </c>
      <c r="B2635">
        <v>1</v>
      </c>
    </row>
    <row r="2636" spans="1:2">
      <c r="A2636" t="s">
        <v>12005</v>
      </c>
      <c r="B2636">
        <v>1</v>
      </c>
    </row>
    <row r="2637" spans="1:2">
      <c r="A2637" t="s">
        <v>12009</v>
      </c>
      <c r="B2637">
        <v>1</v>
      </c>
    </row>
    <row r="2638" spans="1:2">
      <c r="A2638" t="s">
        <v>12051</v>
      </c>
      <c r="B2638">
        <v>1</v>
      </c>
    </row>
    <row r="2639" spans="1:2">
      <c r="A2639" t="s">
        <v>12019</v>
      </c>
      <c r="B2639">
        <v>1</v>
      </c>
    </row>
    <row r="2640" spans="1:2">
      <c r="A2640" t="s">
        <v>12048</v>
      </c>
      <c r="B2640">
        <v>1</v>
      </c>
    </row>
    <row r="2641" spans="1:2">
      <c r="A2641" t="s">
        <v>12023</v>
      </c>
      <c r="B2641">
        <v>1</v>
      </c>
    </row>
    <row r="2642" spans="1:2">
      <c r="A2642" t="s">
        <v>12026</v>
      </c>
      <c r="B2642">
        <v>1</v>
      </c>
    </row>
    <row r="2643" spans="1:2">
      <c r="A2643" t="s">
        <v>12029</v>
      </c>
      <c r="B2643">
        <v>1</v>
      </c>
    </row>
    <row r="2644" spans="1:2">
      <c r="A2644" t="s">
        <v>12032</v>
      </c>
      <c r="B2644">
        <v>1</v>
      </c>
    </row>
    <row r="2645" spans="1:2">
      <c r="A2645" t="s">
        <v>12037</v>
      </c>
      <c r="B2645">
        <v>1</v>
      </c>
    </row>
    <row r="2646" spans="1:2">
      <c r="A2646" t="s">
        <v>12044</v>
      </c>
      <c r="B2646">
        <v>1</v>
      </c>
    </row>
    <row r="2647" spans="1:2">
      <c r="A2647" t="s">
        <v>12055</v>
      </c>
      <c r="B2647">
        <v>1</v>
      </c>
    </row>
    <row r="2648" spans="1:2">
      <c r="A2648" t="s">
        <v>12062</v>
      </c>
      <c r="B2648">
        <v>1</v>
      </c>
    </row>
    <row r="2649" spans="1:2">
      <c r="A2649" t="s">
        <v>12065</v>
      </c>
      <c r="B2649">
        <v>1</v>
      </c>
    </row>
    <row r="2650" spans="1:2">
      <c r="A2650" t="s">
        <v>12068</v>
      </c>
      <c r="B2650">
        <v>1</v>
      </c>
    </row>
    <row r="2651" spans="1:2">
      <c r="A2651" t="s">
        <v>12072</v>
      </c>
      <c r="B2651">
        <v>1</v>
      </c>
    </row>
    <row r="2652" spans="1:2">
      <c r="A2652" t="s">
        <v>12076</v>
      </c>
      <c r="B2652">
        <v>1</v>
      </c>
    </row>
    <row r="2653" spans="1:2">
      <c r="A2653" t="s">
        <v>12085</v>
      </c>
      <c r="B2653">
        <v>1</v>
      </c>
    </row>
    <row r="2654" spans="1:2">
      <c r="A2654" t="s">
        <v>12059</v>
      </c>
      <c r="B2654">
        <v>1</v>
      </c>
    </row>
    <row r="2655" spans="1:2">
      <c r="A2655" t="s">
        <v>12079</v>
      </c>
      <c r="B2655">
        <v>1</v>
      </c>
    </row>
    <row r="2656" spans="1:2">
      <c r="A2656" t="s">
        <v>13244</v>
      </c>
      <c r="B2656">
        <v>1</v>
      </c>
    </row>
    <row r="2657" spans="1:2">
      <c r="A2657" t="s">
        <v>13240</v>
      </c>
      <c r="B2657">
        <v>1</v>
      </c>
    </row>
    <row r="2658" spans="1:2">
      <c r="A2658" t="s">
        <v>13236</v>
      </c>
      <c r="B2658">
        <v>1</v>
      </c>
    </row>
    <row r="2659" spans="1:2">
      <c r="A2659" t="s">
        <v>13297</v>
      </c>
      <c r="B2659">
        <v>1</v>
      </c>
    </row>
    <row r="2660" spans="1:2">
      <c r="A2660" t="s">
        <v>13281</v>
      </c>
      <c r="B2660">
        <v>1</v>
      </c>
    </row>
    <row r="2661" spans="1:2">
      <c r="A2661" t="s">
        <v>13285</v>
      </c>
      <c r="B2661">
        <v>1</v>
      </c>
    </row>
    <row r="2662" spans="1:2">
      <c r="A2662" t="s">
        <v>13289</v>
      </c>
      <c r="B2662">
        <v>1</v>
      </c>
    </row>
    <row r="2663" spans="1:2">
      <c r="A2663" t="s">
        <v>13293</v>
      </c>
      <c r="B2663">
        <v>1</v>
      </c>
    </row>
    <row r="2664" spans="1:2">
      <c r="A2664" t="s">
        <v>13301</v>
      </c>
      <c r="B2664">
        <v>1</v>
      </c>
    </row>
    <row r="2665" spans="1:2">
      <c r="A2665" t="s">
        <v>13305</v>
      </c>
      <c r="B2665">
        <v>1</v>
      </c>
    </row>
    <row r="2666" spans="1:2">
      <c r="A2666" t="s">
        <v>13309</v>
      </c>
      <c r="B2666">
        <v>1</v>
      </c>
    </row>
    <row r="2667" spans="1:2">
      <c r="A2667" t="s">
        <v>14591</v>
      </c>
      <c r="B2667">
        <v>1</v>
      </c>
    </row>
    <row r="2668" spans="1:2">
      <c r="A2668" t="s">
        <v>14599</v>
      </c>
      <c r="B2668">
        <v>1</v>
      </c>
    </row>
    <row r="2669" spans="1:2">
      <c r="A2669" t="s">
        <v>14602</v>
      </c>
      <c r="B2669">
        <v>1</v>
      </c>
    </row>
    <row r="2670" spans="1:2">
      <c r="A2670" t="s">
        <v>14606</v>
      </c>
      <c r="B2670">
        <v>1</v>
      </c>
    </row>
    <row r="2671" spans="1:2">
      <c r="A2671" t="s">
        <v>14610</v>
      </c>
      <c r="B2671">
        <v>1</v>
      </c>
    </row>
    <row r="2672" spans="1:2">
      <c r="A2672" t="s">
        <v>14612</v>
      </c>
      <c r="B2672">
        <v>1</v>
      </c>
    </row>
    <row r="2673" spans="1:2">
      <c r="A2673" t="s">
        <v>14616</v>
      </c>
      <c r="B2673">
        <v>1</v>
      </c>
    </row>
    <row r="2674" spans="1:2">
      <c r="A2674" t="s">
        <v>14619</v>
      </c>
      <c r="B2674">
        <v>1</v>
      </c>
    </row>
    <row r="2675" spans="1:2">
      <c r="A2675" t="s">
        <v>14623</v>
      </c>
      <c r="B2675">
        <v>1</v>
      </c>
    </row>
    <row r="2676" spans="1:2">
      <c r="A2676" t="s">
        <v>14624</v>
      </c>
      <c r="B2676">
        <v>1</v>
      </c>
    </row>
    <row r="2677" spans="1:2">
      <c r="A2677" t="s">
        <v>14594</v>
      </c>
      <c r="B2677">
        <v>1</v>
      </c>
    </row>
    <row r="2678" spans="1:2">
      <c r="A2678" t="s">
        <v>15758</v>
      </c>
      <c r="B2678">
        <v>1</v>
      </c>
    </row>
    <row r="2679" spans="1:2">
      <c r="A2679" t="s">
        <v>15761</v>
      </c>
      <c r="B2679">
        <v>1</v>
      </c>
    </row>
    <row r="2680" spans="1:2">
      <c r="A2680" t="s">
        <v>15764</v>
      </c>
      <c r="B2680">
        <v>1</v>
      </c>
    </row>
    <row r="2681" spans="1:2">
      <c r="A2681" t="s">
        <v>15768</v>
      </c>
      <c r="B2681">
        <v>1</v>
      </c>
    </row>
    <row r="2682" spans="1:2">
      <c r="A2682" t="s">
        <v>15772</v>
      </c>
      <c r="B2682">
        <v>1</v>
      </c>
    </row>
    <row r="2683" spans="1:2">
      <c r="A2683" t="s">
        <v>15776</v>
      </c>
      <c r="B2683">
        <v>1</v>
      </c>
    </row>
    <row r="2684" spans="1:2">
      <c r="A2684" t="s">
        <v>15779</v>
      </c>
      <c r="B2684">
        <v>1</v>
      </c>
    </row>
    <row r="2685" spans="1:2">
      <c r="A2685" t="s">
        <v>15783</v>
      </c>
      <c r="B2685">
        <v>1</v>
      </c>
    </row>
    <row r="2686" spans="1:2">
      <c r="A2686" t="s">
        <v>15787</v>
      </c>
      <c r="B2686">
        <v>1</v>
      </c>
    </row>
    <row r="2687" spans="1:2">
      <c r="A2687" t="s">
        <v>16179</v>
      </c>
      <c r="B2687">
        <v>1</v>
      </c>
    </row>
    <row r="2688" spans="1:2">
      <c r="A2688" t="s">
        <v>16176</v>
      </c>
      <c r="B2688">
        <v>1</v>
      </c>
    </row>
    <row r="2689" spans="1:2">
      <c r="A2689" t="s">
        <v>16172</v>
      </c>
      <c r="B2689">
        <v>1</v>
      </c>
    </row>
    <row r="2690" spans="1:2">
      <c r="A2690" t="s">
        <v>16182</v>
      </c>
      <c r="B2690">
        <v>1</v>
      </c>
    </row>
    <row r="2691" spans="1:2">
      <c r="A2691" t="s">
        <v>16401</v>
      </c>
      <c r="B2691">
        <v>1</v>
      </c>
    </row>
    <row r="2692" spans="1:2">
      <c r="A2692" t="s">
        <v>16406</v>
      </c>
      <c r="B2692">
        <v>1</v>
      </c>
    </row>
    <row r="2693" spans="1:2">
      <c r="A2693" t="s">
        <v>16408</v>
      </c>
      <c r="B2693">
        <v>1</v>
      </c>
    </row>
    <row r="2694" spans="1:2">
      <c r="A2694" t="s">
        <v>16411</v>
      </c>
      <c r="B2694">
        <v>1</v>
      </c>
    </row>
    <row r="2695" spans="1:2">
      <c r="A2695" t="s">
        <v>16413</v>
      </c>
      <c r="B2695">
        <v>1</v>
      </c>
    </row>
    <row r="2696" spans="1:2">
      <c r="A2696" t="s">
        <v>16416</v>
      </c>
      <c r="B2696">
        <v>1</v>
      </c>
    </row>
    <row r="2697" spans="1:2">
      <c r="A2697" t="s">
        <v>16398</v>
      </c>
      <c r="B2697">
        <v>1</v>
      </c>
    </row>
    <row r="2698" spans="1:2">
      <c r="A2698" t="s">
        <v>16420</v>
      </c>
      <c r="B2698">
        <v>1</v>
      </c>
    </row>
    <row r="2699" spans="1:2">
      <c r="A2699" t="s">
        <v>16425</v>
      </c>
      <c r="B2699">
        <v>1</v>
      </c>
    </row>
    <row r="2700" spans="1:2">
      <c r="A2700" t="s">
        <v>16427</v>
      </c>
      <c r="B2700">
        <v>1</v>
      </c>
    </row>
    <row r="2701" spans="1:2">
      <c r="A2701" t="s">
        <v>16490</v>
      </c>
      <c r="B2701">
        <v>1</v>
      </c>
    </row>
    <row r="2702" spans="1:2">
      <c r="A2702" t="s">
        <v>16485</v>
      </c>
      <c r="B2702">
        <v>1</v>
      </c>
    </row>
    <row r="2703" spans="1:2">
      <c r="A2703" t="s">
        <v>16483</v>
      </c>
      <c r="B2703">
        <v>1</v>
      </c>
    </row>
    <row r="2704" spans="1:2">
      <c r="A2704" t="s">
        <v>16480</v>
      </c>
      <c r="B2704">
        <v>1</v>
      </c>
    </row>
    <row r="2705" spans="1:2">
      <c r="A2705" t="s">
        <v>16477</v>
      </c>
      <c r="B2705">
        <v>1</v>
      </c>
    </row>
    <row r="2706" spans="1:2">
      <c r="A2706" t="s">
        <v>16472</v>
      </c>
      <c r="B2706">
        <v>1</v>
      </c>
    </row>
    <row r="2707" spans="1:2">
      <c r="A2707" t="s">
        <v>16467</v>
      </c>
      <c r="B2707">
        <v>1</v>
      </c>
    </row>
    <row r="2708" spans="1:2">
      <c r="A2708" t="s">
        <v>16463</v>
      </c>
      <c r="B2708">
        <v>1</v>
      </c>
    </row>
    <row r="2709" spans="1:2">
      <c r="A2709" t="s">
        <v>16493</v>
      </c>
      <c r="B2709">
        <v>1</v>
      </c>
    </row>
    <row r="2710" spans="1:2">
      <c r="A2710" t="s">
        <v>16456</v>
      </c>
      <c r="B2710">
        <v>1</v>
      </c>
    </row>
    <row r="2711" spans="1:2">
      <c r="A2711" t="s">
        <v>16459</v>
      </c>
      <c r="B2711">
        <v>1</v>
      </c>
    </row>
    <row r="2712" spans="1:2">
      <c r="A2712" t="s">
        <v>16451</v>
      </c>
      <c r="B2712">
        <v>1</v>
      </c>
    </row>
    <row r="2713" spans="1:2">
      <c r="A2713" t="s">
        <v>16446</v>
      </c>
      <c r="B2713">
        <v>1</v>
      </c>
    </row>
    <row r="2714" spans="1:2">
      <c r="A2714" t="s">
        <v>16443</v>
      </c>
      <c r="B2714">
        <v>1</v>
      </c>
    </row>
    <row r="2715" spans="1:2">
      <c r="A2715" t="s">
        <v>16441</v>
      </c>
      <c r="B2715">
        <v>1</v>
      </c>
    </row>
    <row r="2716" spans="1:2">
      <c r="A2716" t="s">
        <v>16437</v>
      </c>
      <c r="B2716">
        <v>1</v>
      </c>
    </row>
    <row r="2717" spans="1:2">
      <c r="A2717" t="s">
        <v>16431</v>
      </c>
      <c r="B2717">
        <v>1</v>
      </c>
    </row>
    <row r="2718" spans="1:2">
      <c r="A2718" t="s">
        <v>17150</v>
      </c>
      <c r="B2718">
        <v>1</v>
      </c>
    </row>
    <row r="2719" spans="1:2">
      <c r="A2719" t="s">
        <v>17146</v>
      </c>
      <c r="B2719">
        <v>1</v>
      </c>
    </row>
    <row r="2720" spans="1:2">
      <c r="A2720" t="s">
        <v>17142</v>
      </c>
      <c r="B2720">
        <v>1</v>
      </c>
    </row>
    <row r="2721" spans="1:2">
      <c r="A2721" t="s">
        <v>17139</v>
      </c>
      <c r="B2721">
        <v>1</v>
      </c>
    </row>
    <row r="2722" spans="1:2">
      <c r="A2722" t="s">
        <v>17136</v>
      </c>
      <c r="B2722">
        <v>1</v>
      </c>
    </row>
    <row r="2723" spans="1:2">
      <c r="A2723" t="s">
        <v>17132</v>
      </c>
      <c r="B2723">
        <v>1</v>
      </c>
    </row>
    <row r="2724" spans="1:2">
      <c r="A2724" t="s">
        <v>17129</v>
      </c>
      <c r="B2724">
        <v>1</v>
      </c>
    </row>
    <row r="2725" spans="1:2">
      <c r="A2725" t="s">
        <v>17125</v>
      </c>
      <c r="B2725">
        <v>1</v>
      </c>
    </row>
    <row r="2726" spans="1:2">
      <c r="A2726" t="s">
        <v>17122</v>
      </c>
      <c r="B2726">
        <v>1</v>
      </c>
    </row>
    <row r="2727" spans="1:2">
      <c r="A2727" t="s">
        <v>17120</v>
      </c>
      <c r="B2727">
        <v>1</v>
      </c>
    </row>
    <row r="2728" spans="1:2">
      <c r="A2728" t="s">
        <v>17118</v>
      </c>
      <c r="B2728">
        <v>1</v>
      </c>
    </row>
    <row r="2729" spans="1:2">
      <c r="A2729" t="s">
        <v>17114</v>
      </c>
      <c r="B2729">
        <v>1</v>
      </c>
    </row>
    <row r="2730" spans="1:2">
      <c r="A2730" t="s">
        <v>17111</v>
      </c>
      <c r="B2730">
        <v>1</v>
      </c>
    </row>
    <row r="2731" spans="1:2">
      <c r="A2731" t="s">
        <v>17107</v>
      </c>
      <c r="B2731">
        <v>1</v>
      </c>
    </row>
    <row r="2732" spans="1:2">
      <c r="A2732" t="s">
        <v>17104</v>
      </c>
      <c r="B2732">
        <v>1</v>
      </c>
    </row>
    <row r="2733" spans="1:2">
      <c r="A2733" t="s">
        <v>17153</v>
      </c>
      <c r="B2733">
        <v>1</v>
      </c>
    </row>
    <row r="2734" spans="1:2">
      <c r="A2734" t="s">
        <v>17160</v>
      </c>
      <c r="B2734">
        <v>1</v>
      </c>
    </row>
    <row r="2735" spans="1:2">
      <c r="A2735" t="s">
        <v>17203</v>
      </c>
      <c r="B2735">
        <v>1</v>
      </c>
    </row>
    <row r="2736" spans="1:2">
      <c r="A2736" t="s">
        <v>17163</v>
      </c>
      <c r="B2736">
        <v>1</v>
      </c>
    </row>
    <row r="2737" spans="1:2">
      <c r="A2737" t="s">
        <v>17201</v>
      </c>
      <c r="B2737">
        <v>1</v>
      </c>
    </row>
    <row r="2738" spans="1:2">
      <c r="A2738" t="s">
        <v>17198</v>
      </c>
      <c r="B2738">
        <v>1</v>
      </c>
    </row>
    <row r="2739" spans="1:2">
      <c r="A2739" t="s">
        <v>17195</v>
      </c>
      <c r="B2739">
        <v>1</v>
      </c>
    </row>
    <row r="2740" spans="1:2">
      <c r="A2740" t="s">
        <v>17192</v>
      </c>
      <c r="B2740">
        <v>1</v>
      </c>
    </row>
    <row r="2741" spans="1:2">
      <c r="A2741" t="s">
        <v>17189</v>
      </c>
      <c r="B2741">
        <v>1</v>
      </c>
    </row>
    <row r="2742" spans="1:2">
      <c r="A2742" t="s">
        <v>17187</v>
      </c>
      <c r="B2742">
        <v>1</v>
      </c>
    </row>
    <row r="2743" spans="1:2">
      <c r="A2743" t="s">
        <v>17186</v>
      </c>
      <c r="B2743">
        <v>1</v>
      </c>
    </row>
    <row r="2744" spans="1:2">
      <c r="A2744" t="s">
        <v>17183</v>
      </c>
      <c r="B2744">
        <v>1</v>
      </c>
    </row>
    <row r="2745" spans="1:2">
      <c r="A2745" t="s">
        <v>17181</v>
      </c>
      <c r="B2745">
        <v>1</v>
      </c>
    </row>
    <row r="2746" spans="1:2">
      <c r="A2746" t="s">
        <v>17179</v>
      </c>
      <c r="B2746">
        <v>1</v>
      </c>
    </row>
    <row r="2747" spans="1:2">
      <c r="A2747" t="s">
        <v>17176</v>
      </c>
      <c r="B2747">
        <v>1</v>
      </c>
    </row>
    <row r="2748" spans="1:2">
      <c r="A2748" t="s">
        <v>17173</v>
      </c>
      <c r="B2748">
        <v>1</v>
      </c>
    </row>
    <row r="2749" spans="1:2">
      <c r="A2749" t="s">
        <v>17170</v>
      </c>
      <c r="B2749">
        <v>1</v>
      </c>
    </row>
    <row r="2750" spans="1:2">
      <c r="A2750" t="s">
        <v>17168</v>
      </c>
      <c r="B2750">
        <v>1</v>
      </c>
    </row>
    <row r="2751" spans="1:2">
      <c r="A2751" t="s">
        <v>17165</v>
      </c>
      <c r="B2751">
        <v>1</v>
      </c>
    </row>
    <row r="2752" spans="1:2">
      <c r="A2752" t="s">
        <v>17101</v>
      </c>
      <c r="B2752">
        <v>1</v>
      </c>
    </row>
    <row r="2753" spans="1:2">
      <c r="A2753" t="s">
        <v>17098</v>
      </c>
      <c r="B2753">
        <v>1</v>
      </c>
    </row>
    <row r="2754" spans="1:2">
      <c r="A2754" t="s">
        <v>17095</v>
      </c>
      <c r="B2754">
        <v>1</v>
      </c>
    </row>
    <row r="2755" spans="1:2">
      <c r="A2755" t="s">
        <v>17092</v>
      </c>
      <c r="B2755">
        <v>1</v>
      </c>
    </row>
    <row r="2756" spans="1:2">
      <c r="A2756" t="s">
        <v>17047</v>
      </c>
      <c r="B2756">
        <v>1</v>
      </c>
    </row>
    <row r="2757" spans="1:2">
      <c r="A2757" t="s">
        <v>17044</v>
      </c>
      <c r="B2757">
        <v>1</v>
      </c>
    </row>
    <row r="2758" spans="1:2">
      <c r="A2758" t="s">
        <v>17041</v>
      </c>
      <c r="B2758">
        <v>1</v>
      </c>
    </row>
    <row r="2759" spans="1:2">
      <c r="A2759" t="s">
        <v>17038</v>
      </c>
      <c r="B2759">
        <v>1</v>
      </c>
    </row>
    <row r="2760" spans="1:2">
      <c r="A2760" t="s">
        <v>17036</v>
      </c>
      <c r="B2760">
        <v>1</v>
      </c>
    </row>
    <row r="2761" spans="1:2">
      <c r="A2761" t="s">
        <v>17034</v>
      </c>
      <c r="B2761">
        <v>1</v>
      </c>
    </row>
    <row r="2762" spans="1:2">
      <c r="A2762" t="s">
        <v>17049</v>
      </c>
      <c r="B2762">
        <v>1</v>
      </c>
    </row>
    <row r="2763" spans="1:2">
      <c r="A2763" t="s">
        <v>17032</v>
      </c>
      <c r="B2763">
        <v>1</v>
      </c>
    </row>
    <row r="2764" spans="1:2">
      <c r="A2764" t="s">
        <v>17028</v>
      </c>
      <c r="B2764">
        <v>1</v>
      </c>
    </row>
    <row r="2765" spans="1:2">
      <c r="A2765" t="s">
        <v>17026</v>
      </c>
      <c r="B2765">
        <v>1</v>
      </c>
    </row>
    <row r="2766" spans="1:2">
      <c r="A2766" t="s">
        <v>17023</v>
      </c>
      <c r="B2766">
        <v>1</v>
      </c>
    </row>
    <row r="2767" spans="1:2">
      <c r="A2767" t="s">
        <v>17021</v>
      </c>
      <c r="B2767">
        <v>1</v>
      </c>
    </row>
    <row r="2768" spans="1:2">
      <c r="A2768" t="s">
        <v>17018</v>
      </c>
      <c r="B2768">
        <v>1</v>
      </c>
    </row>
    <row r="2769" spans="1:2">
      <c r="A2769" t="s">
        <v>17015</v>
      </c>
      <c r="B2769">
        <v>1</v>
      </c>
    </row>
    <row r="2770" spans="1:2">
      <c r="A2770" t="s">
        <v>17030</v>
      </c>
      <c r="B2770">
        <v>1</v>
      </c>
    </row>
    <row r="2771" spans="1:2">
      <c r="A2771" t="s">
        <v>17051</v>
      </c>
      <c r="B2771">
        <v>1</v>
      </c>
    </row>
    <row r="2772" spans="1:2">
      <c r="A2772" t="s">
        <v>17054</v>
      </c>
      <c r="B2772">
        <v>1</v>
      </c>
    </row>
    <row r="2773" spans="1:2">
      <c r="A2773" t="s">
        <v>17057</v>
      </c>
      <c r="B2773">
        <v>1</v>
      </c>
    </row>
    <row r="2774" spans="1:2">
      <c r="A2774" t="s">
        <v>17090</v>
      </c>
      <c r="B2774">
        <v>1</v>
      </c>
    </row>
    <row r="2775" spans="1:2">
      <c r="A2775" t="s">
        <v>17088</v>
      </c>
      <c r="B2775">
        <v>1</v>
      </c>
    </row>
    <row r="2776" spans="1:2">
      <c r="A2776" t="s">
        <v>17086</v>
      </c>
      <c r="B2776">
        <v>1</v>
      </c>
    </row>
    <row r="2777" spans="1:2">
      <c r="A2777" t="s">
        <v>17083</v>
      </c>
      <c r="B2777">
        <v>1</v>
      </c>
    </row>
    <row r="2778" spans="1:2">
      <c r="A2778" t="s">
        <v>17080</v>
      </c>
      <c r="B2778">
        <v>1</v>
      </c>
    </row>
    <row r="2779" spans="1:2">
      <c r="A2779" t="s">
        <v>17077</v>
      </c>
      <c r="B2779">
        <v>1</v>
      </c>
    </row>
    <row r="2780" spans="1:2">
      <c r="A2780" t="s">
        <v>17075</v>
      </c>
      <c r="B2780">
        <v>1</v>
      </c>
    </row>
    <row r="2781" spans="1:2">
      <c r="A2781" t="s">
        <v>17073</v>
      </c>
      <c r="B2781">
        <v>1</v>
      </c>
    </row>
    <row r="2782" spans="1:2">
      <c r="A2782" t="s">
        <v>17071</v>
      </c>
      <c r="B2782">
        <v>1</v>
      </c>
    </row>
    <row r="2783" spans="1:2">
      <c r="A2783" t="s">
        <v>17069</v>
      </c>
      <c r="B2783">
        <v>1</v>
      </c>
    </row>
    <row r="2784" spans="1:2">
      <c r="A2784" t="s">
        <v>17066</v>
      </c>
      <c r="B2784">
        <v>1</v>
      </c>
    </row>
    <row r="2785" spans="1:2">
      <c r="A2785" t="s">
        <v>17064</v>
      </c>
      <c r="B2785">
        <v>1</v>
      </c>
    </row>
    <row r="2786" spans="1:2">
      <c r="A2786" t="s">
        <v>17062</v>
      </c>
      <c r="B2786">
        <v>1</v>
      </c>
    </row>
    <row r="2787" spans="1:2">
      <c r="A2787" t="s">
        <v>17060</v>
      </c>
      <c r="B2787">
        <v>1</v>
      </c>
    </row>
    <row r="2788" spans="1:2">
      <c r="A2788" t="s">
        <v>17059</v>
      </c>
      <c r="B2788">
        <v>1</v>
      </c>
    </row>
    <row r="2789" spans="1:2">
      <c r="A2789" t="s">
        <v>17157</v>
      </c>
      <c r="B2789">
        <v>1</v>
      </c>
    </row>
    <row r="2790" spans="1:2">
      <c r="A2790" t="s">
        <v>17207</v>
      </c>
      <c r="B2790">
        <v>1</v>
      </c>
    </row>
    <row r="2791" spans="1:2">
      <c r="A2791" t="s">
        <v>17210</v>
      </c>
      <c r="B2791">
        <v>1</v>
      </c>
    </row>
    <row r="2792" spans="1:2">
      <c r="A2792" t="s">
        <v>17213</v>
      </c>
      <c r="B2792">
        <v>1</v>
      </c>
    </row>
    <row r="2793" spans="1:2">
      <c r="A2793" t="s">
        <v>17340</v>
      </c>
      <c r="B2793">
        <v>1</v>
      </c>
    </row>
    <row r="2794" spans="1:2">
      <c r="A2794" t="s">
        <v>17338</v>
      </c>
      <c r="B2794">
        <v>1</v>
      </c>
    </row>
    <row r="2795" spans="1:2">
      <c r="A2795" t="s">
        <v>17336</v>
      </c>
      <c r="B2795">
        <v>1</v>
      </c>
    </row>
    <row r="2796" spans="1:2">
      <c r="A2796" t="s">
        <v>17333</v>
      </c>
      <c r="B2796">
        <v>1</v>
      </c>
    </row>
    <row r="2797" spans="1:2">
      <c r="A2797" t="s">
        <v>17332</v>
      </c>
      <c r="B2797">
        <v>1</v>
      </c>
    </row>
    <row r="2798" spans="1:2">
      <c r="A2798" t="s">
        <v>17330</v>
      </c>
      <c r="B2798">
        <v>1</v>
      </c>
    </row>
    <row r="2799" spans="1:2">
      <c r="A2799" t="s">
        <v>17327</v>
      </c>
      <c r="B2799">
        <v>1</v>
      </c>
    </row>
    <row r="2800" spans="1:2">
      <c r="A2800" t="s">
        <v>17325</v>
      </c>
      <c r="B2800">
        <v>1</v>
      </c>
    </row>
    <row r="2801" spans="1:2">
      <c r="A2801" t="s">
        <v>17323</v>
      </c>
      <c r="B2801">
        <v>1</v>
      </c>
    </row>
    <row r="2802" spans="1:2">
      <c r="A2802" t="s">
        <v>17320</v>
      </c>
      <c r="B2802">
        <v>1</v>
      </c>
    </row>
    <row r="2803" spans="1:2">
      <c r="A2803" t="s">
        <v>17318</v>
      </c>
      <c r="B2803">
        <v>1</v>
      </c>
    </row>
    <row r="2804" spans="1:2">
      <c r="A2804" t="s">
        <v>17315</v>
      </c>
      <c r="B2804">
        <v>1</v>
      </c>
    </row>
    <row r="2805" spans="1:2">
      <c r="A2805" t="s">
        <v>17313</v>
      </c>
      <c r="B2805">
        <v>1</v>
      </c>
    </row>
    <row r="2806" spans="1:2">
      <c r="A2806" t="s">
        <v>17310</v>
      </c>
      <c r="B2806">
        <v>1</v>
      </c>
    </row>
    <row r="2807" spans="1:2">
      <c r="A2807" t="s">
        <v>17307</v>
      </c>
      <c r="B2807">
        <v>1</v>
      </c>
    </row>
    <row r="2808" spans="1:2">
      <c r="A2808" t="s">
        <v>17342</v>
      </c>
      <c r="B2808">
        <v>1</v>
      </c>
    </row>
    <row r="2809" spans="1:2">
      <c r="A2809" t="s">
        <v>17347</v>
      </c>
      <c r="B2809">
        <v>1</v>
      </c>
    </row>
    <row r="2810" spans="1:2">
      <c r="A2810" t="s">
        <v>17388</v>
      </c>
      <c r="B2810">
        <v>1</v>
      </c>
    </row>
    <row r="2811" spans="1:2">
      <c r="A2811" t="s">
        <v>17349</v>
      </c>
      <c r="B2811">
        <v>1</v>
      </c>
    </row>
    <row r="2812" spans="1:2">
      <c r="A2812" t="s">
        <v>17385</v>
      </c>
      <c r="B2812">
        <v>1</v>
      </c>
    </row>
    <row r="2813" spans="1:2">
      <c r="A2813" t="s">
        <v>17382</v>
      </c>
      <c r="B2813">
        <v>1</v>
      </c>
    </row>
    <row r="2814" spans="1:2">
      <c r="A2814" t="s">
        <v>17381</v>
      </c>
      <c r="B2814">
        <v>1</v>
      </c>
    </row>
    <row r="2815" spans="1:2">
      <c r="A2815" t="s">
        <v>17379</v>
      </c>
      <c r="B2815">
        <v>1</v>
      </c>
    </row>
    <row r="2816" spans="1:2">
      <c r="A2816" t="s">
        <v>17376</v>
      </c>
      <c r="B2816">
        <v>1</v>
      </c>
    </row>
    <row r="2817" spans="1:2">
      <c r="A2817" t="s">
        <v>17374</v>
      </c>
      <c r="B2817">
        <v>1</v>
      </c>
    </row>
    <row r="2818" spans="1:2">
      <c r="A2818" t="s">
        <v>17371</v>
      </c>
      <c r="B2818">
        <v>1</v>
      </c>
    </row>
    <row r="2819" spans="1:2">
      <c r="A2819" t="s">
        <v>17368</v>
      </c>
      <c r="B2819">
        <v>1</v>
      </c>
    </row>
    <row r="2820" spans="1:2">
      <c r="A2820" t="s">
        <v>17365</v>
      </c>
      <c r="B2820">
        <v>1</v>
      </c>
    </row>
    <row r="2821" spans="1:2">
      <c r="A2821" t="s">
        <v>17362</v>
      </c>
      <c r="B2821">
        <v>1</v>
      </c>
    </row>
    <row r="2822" spans="1:2">
      <c r="A2822" t="s">
        <v>17359</v>
      </c>
      <c r="B2822">
        <v>1</v>
      </c>
    </row>
    <row r="2823" spans="1:2">
      <c r="A2823" t="s">
        <v>17357</v>
      </c>
      <c r="B2823">
        <v>1</v>
      </c>
    </row>
    <row r="2824" spans="1:2">
      <c r="A2824" t="s">
        <v>17354</v>
      </c>
      <c r="B2824">
        <v>1</v>
      </c>
    </row>
    <row r="2825" spans="1:2">
      <c r="A2825" t="s">
        <v>17353</v>
      </c>
      <c r="B2825">
        <v>1</v>
      </c>
    </row>
    <row r="2826" spans="1:2">
      <c r="A2826" t="s">
        <v>17351</v>
      </c>
      <c r="B2826">
        <v>1</v>
      </c>
    </row>
    <row r="2827" spans="1:2">
      <c r="A2827" t="s">
        <v>17304</v>
      </c>
      <c r="B2827">
        <v>1</v>
      </c>
    </row>
    <row r="2828" spans="1:2">
      <c r="A2828" t="s">
        <v>17345</v>
      </c>
      <c r="B2828">
        <v>1</v>
      </c>
    </row>
    <row r="2829" spans="1:2">
      <c r="A2829" t="s">
        <v>17303</v>
      </c>
      <c r="B2829">
        <v>1</v>
      </c>
    </row>
    <row r="2830" spans="1:2">
      <c r="A2830" t="s">
        <v>17256</v>
      </c>
      <c r="B2830">
        <v>1</v>
      </c>
    </row>
    <row r="2831" spans="1:2">
      <c r="A2831" t="s">
        <v>17252</v>
      </c>
      <c r="B2831">
        <v>1</v>
      </c>
    </row>
    <row r="2832" spans="1:2">
      <c r="A2832" t="s">
        <v>17250</v>
      </c>
      <c r="B2832">
        <v>1</v>
      </c>
    </row>
    <row r="2833" spans="1:2">
      <c r="A2833" t="s">
        <v>17248</v>
      </c>
      <c r="B2833">
        <v>1</v>
      </c>
    </row>
    <row r="2834" spans="1:2">
      <c r="A2834" t="s">
        <v>17246</v>
      </c>
      <c r="B2834">
        <v>1</v>
      </c>
    </row>
    <row r="2835" spans="1:2">
      <c r="A2835" t="s">
        <v>17243</v>
      </c>
      <c r="B2835">
        <v>1</v>
      </c>
    </row>
    <row r="2836" spans="1:2">
      <c r="A2836" t="s">
        <v>17240</v>
      </c>
      <c r="B2836">
        <v>1</v>
      </c>
    </row>
    <row r="2837" spans="1:2">
      <c r="A2837" t="s">
        <v>17237</v>
      </c>
      <c r="B2837">
        <v>1</v>
      </c>
    </row>
    <row r="2838" spans="1:2">
      <c r="A2838" t="s">
        <v>17234</v>
      </c>
      <c r="B2838">
        <v>1</v>
      </c>
    </row>
    <row r="2839" spans="1:2">
      <c r="A2839" t="s">
        <v>17231</v>
      </c>
      <c r="B2839">
        <v>1</v>
      </c>
    </row>
    <row r="2840" spans="1:2">
      <c r="A2840" t="s">
        <v>17225</v>
      </c>
      <c r="B2840">
        <v>1</v>
      </c>
    </row>
    <row r="2841" spans="1:2">
      <c r="A2841" t="s">
        <v>17223</v>
      </c>
      <c r="B2841">
        <v>1</v>
      </c>
    </row>
    <row r="2842" spans="1:2">
      <c r="A2842" t="s">
        <v>17221</v>
      </c>
      <c r="B2842">
        <v>1</v>
      </c>
    </row>
    <row r="2843" spans="1:2">
      <c r="A2843" t="s">
        <v>17218</v>
      </c>
      <c r="B2843">
        <v>1</v>
      </c>
    </row>
    <row r="2844" spans="1:2">
      <c r="A2844" t="s">
        <v>17216</v>
      </c>
      <c r="B2844">
        <v>1</v>
      </c>
    </row>
    <row r="2845" spans="1:2">
      <c r="A2845" t="s">
        <v>17254</v>
      </c>
      <c r="B2845">
        <v>1</v>
      </c>
    </row>
    <row r="2846" spans="1:2">
      <c r="A2846" t="s">
        <v>17258</v>
      </c>
      <c r="B2846">
        <v>1</v>
      </c>
    </row>
    <row r="2847" spans="1:2">
      <c r="A2847" t="s">
        <v>17300</v>
      </c>
      <c r="B2847">
        <v>1</v>
      </c>
    </row>
    <row r="2848" spans="1:2">
      <c r="A2848" t="s">
        <v>17261</v>
      </c>
      <c r="B2848">
        <v>1</v>
      </c>
    </row>
    <row r="2849" spans="1:2">
      <c r="A2849" t="s">
        <v>17298</v>
      </c>
      <c r="B2849">
        <v>1</v>
      </c>
    </row>
    <row r="2850" spans="1:2">
      <c r="A2850" t="s">
        <v>17296</v>
      </c>
      <c r="B2850">
        <v>1</v>
      </c>
    </row>
    <row r="2851" spans="1:2">
      <c r="A2851" t="s">
        <v>17293</v>
      </c>
      <c r="B2851">
        <v>1</v>
      </c>
    </row>
    <row r="2852" spans="1:2">
      <c r="A2852" t="s">
        <v>17290</v>
      </c>
      <c r="B2852">
        <v>1</v>
      </c>
    </row>
    <row r="2853" spans="1:2">
      <c r="A2853" t="s">
        <v>17288</v>
      </c>
      <c r="B2853">
        <v>1</v>
      </c>
    </row>
    <row r="2854" spans="1:2">
      <c r="A2854" t="s">
        <v>17287</v>
      </c>
      <c r="B2854">
        <v>1</v>
      </c>
    </row>
    <row r="2855" spans="1:2">
      <c r="A2855" t="s">
        <v>17284</v>
      </c>
      <c r="B2855">
        <v>1</v>
      </c>
    </row>
    <row r="2856" spans="1:2">
      <c r="A2856" t="s">
        <v>17281</v>
      </c>
      <c r="B2856">
        <v>1</v>
      </c>
    </row>
    <row r="2857" spans="1:2">
      <c r="A2857" t="s">
        <v>17277</v>
      </c>
      <c r="B2857">
        <v>1</v>
      </c>
    </row>
    <row r="2858" spans="1:2">
      <c r="A2858" t="s">
        <v>17276</v>
      </c>
      <c r="B2858">
        <v>1</v>
      </c>
    </row>
    <row r="2859" spans="1:2">
      <c r="A2859" t="s">
        <v>17274</v>
      </c>
      <c r="B2859">
        <v>1</v>
      </c>
    </row>
    <row r="2860" spans="1:2">
      <c r="A2860" t="s">
        <v>17272</v>
      </c>
      <c r="B2860">
        <v>1</v>
      </c>
    </row>
    <row r="2861" spans="1:2">
      <c r="A2861" t="s">
        <v>17269</v>
      </c>
      <c r="B2861">
        <v>1</v>
      </c>
    </row>
    <row r="2862" spans="1:2">
      <c r="A2862" t="s">
        <v>17263</v>
      </c>
      <c r="B2862">
        <v>1</v>
      </c>
    </row>
    <row r="2863" spans="1:2">
      <c r="A2863" t="s">
        <v>17010</v>
      </c>
      <c r="B2863">
        <v>1</v>
      </c>
    </row>
    <row r="2864" spans="1:2">
      <c r="A2864" t="s">
        <v>17007</v>
      </c>
      <c r="B2864">
        <v>1</v>
      </c>
    </row>
    <row r="2865" spans="1:2">
      <c r="A2865" t="s">
        <v>17004</v>
      </c>
      <c r="B2865">
        <v>1</v>
      </c>
    </row>
    <row r="2866" spans="1:2">
      <c r="A2866" t="s">
        <v>16765</v>
      </c>
      <c r="B2866">
        <v>1</v>
      </c>
    </row>
    <row r="2867" spans="1:2">
      <c r="A2867" t="s">
        <v>16689</v>
      </c>
      <c r="B2867">
        <v>1</v>
      </c>
    </row>
    <row r="2868" spans="1:2">
      <c r="A2868" t="s">
        <v>16686</v>
      </c>
      <c r="B2868">
        <v>1</v>
      </c>
    </row>
    <row r="2869" spans="1:2">
      <c r="A2869" t="s">
        <v>16684</v>
      </c>
      <c r="B2869">
        <v>1</v>
      </c>
    </row>
    <row r="2870" spans="1:2">
      <c r="A2870" t="s">
        <v>16681</v>
      </c>
      <c r="B2870">
        <v>1</v>
      </c>
    </row>
    <row r="2871" spans="1:2">
      <c r="A2871" t="s">
        <v>16677</v>
      </c>
      <c r="B2871">
        <v>1</v>
      </c>
    </row>
    <row r="2872" spans="1:2">
      <c r="A2872" t="s">
        <v>16674</v>
      </c>
      <c r="B2872">
        <v>1</v>
      </c>
    </row>
    <row r="2873" spans="1:2">
      <c r="A2873" t="s">
        <v>16672</v>
      </c>
      <c r="B2873">
        <v>1</v>
      </c>
    </row>
    <row r="2874" spans="1:2">
      <c r="A2874" t="s">
        <v>16669</v>
      </c>
      <c r="B2874">
        <v>1</v>
      </c>
    </row>
    <row r="2875" spans="1:2">
      <c r="A2875" t="s">
        <v>16666</v>
      </c>
      <c r="B2875">
        <v>1</v>
      </c>
    </row>
    <row r="2876" spans="1:2">
      <c r="A2876" t="s">
        <v>16664</v>
      </c>
      <c r="B2876">
        <v>1</v>
      </c>
    </row>
    <row r="2877" spans="1:2">
      <c r="A2877" t="s">
        <v>16662</v>
      </c>
      <c r="B2877">
        <v>1</v>
      </c>
    </row>
    <row r="2878" spans="1:2">
      <c r="A2878" t="s">
        <v>16660</v>
      </c>
      <c r="B2878">
        <v>1</v>
      </c>
    </row>
    <row r="2879" spans="1:2">
      <c r="A2879" t="s">
        <v>16652</v>
      </c>
      <c r="B2879">
        <v>1</v>
      </c>
    </row>
    <row r="2880" spans="1:2">
      <c r="A2880" t="s">
        <v>16692</v>
      </c>
      <c r="B2880">
        <v>1</v>
      </c>
    </row>
    <row r="2881" spans="1:2">
      <c r="A2881" t="s">
        <v>16700</v>
      </c>
      <c r="B2881">
        <v>1</v>
      </c>
    </row>
    <row r="2882" spans="1:2">
      <c r="A2882" t="s">
        <v>16761</v>
      </c>
      <c r="B2882">
        <v>1</v>
      </c>
    </row>
    <row r="2883" spans="1:2">
      <c r="A2883" t="s">
        <v>16703</v>
      </c>
      <c r="B2883">
        <v>1</v>
      </c>
    </row>
    <row r="2884" spans="1:2">
      <c r="A2884" t="s">
        <v>16759</v>
      </c>
      <c r="B2884">
        <v>1</v>
      </c>
    </row>
    <row r="2885" spans="1:2">
      <c r="A2885" t="s">
        <v>16754</v>
      </c>
      <c r="B2885">
        <v>1</v>
      </c>
    </row>
    <row r="2886" spans="1:2">
      <c r="A2886" t="s">
        <v>16750</v>
      </c>
      <c r="B2886">
        <v>1</v>
      </c>
    </row>
    <row r="2887" spans="1:2">
      <c r="A2887" t="s">
        <v>16747</v>
      </c>
      <c r="B2887">
        <v>1</v>
      </c>
    </row>
    <row r="2888" spans="1:2">
      <c r="A2888" t="s">
        <v>16744</v>
      </c>
      <c r="B2888">
        <v>1</v>
      </c>
    </row>
    <row r="2889" spans="1:2">
      <c r="A2889" t="s">
        <v>16739</v>
      </c>
      <c r="B2889">
        <v>1</v>
      </c>
    </row>
    <row r="2890" spans="1:2">
      <c r="A2890" t="s">
        <v>16736</v>
      </c>
      <c r="B2890">
        <v>1</v>
      </c>
    </row>
    <row r="2891" spans="1:2">
      <c r="A2891" t="s">
        <v>16732</v>
      </c>
      <c r="B2891">
        <v>1</v>
      </c>
    </row>
    <row r="2892" spans="1:2">
      <c r="A2892" t="s">
        <v>16729</v>
      </c>
      <c r="B2892">
        <v>1</v>
      </c>
    </row>
    <row r="2893" spans="1:2">
      <c r="A2893" t="s">
        <v>16724</v>
      </c>
      <c r="B2893">
        <v>1</v>
      </c>
    </row>
    <row r="2894" spans="1:2">
      <c r="A2894" t="s">
        <v>16720</v>
      </c>
      <c r="B2894">
        <v>1</v>
      </c>
    </row>
    <row r="2895" spans="1:2">
      <c r="A2895" t="s">
        <v>16715</v>
      </c>
      <c r="B2895">
        <v>1</v>
      </c>
    </row>
    <row r="2896" spans="1:2">
      <c r="A2896" t="s">
        <v>16710</v>
      </c>
      <c r="B2896">
        <v>1</v>
      </c>
    </row>
    <row r="2897" spans="1:2">
      <c r="A2897" t="s">
        <v>16706</v>
      </c>
      <c r="B2897">
        <v>1</v>
      </c>
    </row>
    <row r="2898" spans="1:2">
      <c r="A2898" t="s">
        <v>16646</v>
      </c>
      <c r="B2898">
        <v>1</v>
      </c>
    </row>
    <row r="2899" spans="1:2">
      <c r="A2899" t="s">
        <v>16642</v>
      </c>
      <c r="B2899">
        <v>1</v>
      </c>
    </row>
    <row r="2900" spans="1:2">
      <c r="A2900" t="s">
        <v>16638</v>
      </c>
      <c r="B2900">
        <v>1</v>
      </c>
    </row>
    <row r="2901" spans="1:2">
      <c r="A2901" t="s">
        <v>16634</v>
      </c>
      <c r="B2901">
        <v>1</v>
      </c>
    </row>
    <row r="2902" spans="1:2">
      <c r="A2902" t="s">
        <v>16561</v>
      </c>
      <c r="B2902">
        <v>1</v>
      </c>
    </row>
    <row r="2903" spans="1:2">
      <c r="A2903" t="s">
        <v>16557</v>
      </c>
      <c r="B2903">
        <v>1</v>
      </c>
    </row>
    <row r="2904" spans="1:2">
      <c r="A2904" t="s">
        <v>16554</v>
      </c>
      <c r="B2904">
        <v>1</v>
      </c>
    </row>
    <row r="2905" spans="1:2">
      <c r="A2905" t="s">
        <v>16550</v>
      </c>
      <c r="B2905">
        <v>1</v>
      </c>
    </row>
    <row r="2906" spans="1:2">
      <c r="A2906" t="s">
        <v>16546</v>
      </c>
      <c r="B2906">
        <v>1</v>
      </c>
    </row>
    <row r="2907" spans="1:2">
      <c r="A2907" t="s">
        <v>16542</v>
      </c>
      <c r="B2907">
        <v>1</v>
      </c>
    </row>
    <row r="2908" spans="1:2">
      <c r="A2908" t="s">
        <v>16564</v>
      </c>
      <c r="B2908">
        <v>1</v>
      </c>
    </row>
    <row r="2909" spans="1:2">
      <c r="A2909" t="s">
        <v>16531</v>
      </c>
      <c r="B2909">
        <v>1</v>
      </c>
    </row>
    <row r="2910" spans="1:2">
      <c r="A2910" t="s">
        <v>16524</v>
      </c>
      <c r="B2910">
        <v>1</v>
      </c>
    </row>
    <row r="2911" spans="1:2">
      <c r="A2911" t="s">
        <v>16520</v>
      </c>
      <c r="B2911">
        <v>1</v>
      </c>
    </row>
    <row r="2912" spans="1:2">
      <c r="A2912" t="s">
        <v>16514</v>
      </c>
      <c r="B2912">
        <v>1</v>
      </c>
    </row>
    <row r="2913" spans="1:2">
      <c r="A2913" t="s">
        <v>16535</v>
      </c>
      <c r="B2913">
        <v>1</v>
      </c>
    </row>
    <row r="2914" spans="1:2">
      <c r="A2914" t="s">
        <v>16568</v>
      </c>
      <c r="B2914">
        <v>1</v>
      </c>
    </row>
    <row r="2915" spans="1:2">
      <c r="A2915" t="s">
        <v>16572</v>
      </c>
      <c r="B2915">
        <v>1</v>
      </c>
    </row>
    <row r="2916" spans="1:2">
      <c r="A2916" t="s">
        <v>16576</v>
      </c>
      <c r="B2916">
        <v>1</v>
      </c>
    </row>
    <row r="2917" spans="1:2">
      <c r="A2917" t="s">
        <v>16625</v>
      </c>
      <c r="B2917">
        <v>1</v>
      </c>
    </row>
    <row r="2918" spans="1:2">
      <c r="A2918" t="s">
        <v>16621</v>
      </c>
      <c r="B2918">
        <v>1</v>
      </c>
    </row>
    <row r="2919" spans="1:2">
      <c r="A2919" t="s">
        <v>16617</v>
      </c>
      <c r="B2919">
        <v>1</v>
      </c>
    </row>
    <row r="2920" spans="1:2">
      <c r="A2920" t="s">
        <v>16613</v>
      </c>
      <c r="B2920">
        <v>1</v>
      </c>
    </row>
    <row r="2921" spans="1:2">
      <c r="A2921" t="s">
        <v>16609</v>
      </c>
      <c r="B2921">
        <v>1</v>
      </c>
    </row>
    <row r="2922" spans="1:2">
      <c r="A2922" t="s">
        <v>16605</v>
      </c>
      <c r="B2922">
        <v>1</v>
      </c>
    </row>
    <row r="2923" spans="1:2">
      <c r="A2923" t="s">
        <v>16601</v>
      </c>
      <c r="B2923">
        <v>1</v>
      </c>
    </row>
    <row r="2924" spans="1:2">
      <c r="A2924" t="s">
        <v>16597</v>
      </c>
      <c r="B2924">
        <v>1</v>
      </c>
    </row>
    <row r="2925" spans="1:2">
      <c r="A2925" t="s">
        <v>16593</v>
      </c>
      <c r="B2925">
        <v>1</v>
      </c>
    </row>
    <row r="2926" spans="1:2">
      <c r="A2926" t="s">
        <v>16583</v>
      </c>
      <c r="B2926">
        <v>1</v>
      </c>
    </row>
    <row r="2927" spans="1:2">
      <c r="A2927" t="s">
        <v>16696</v>
      </c>
      <c r="B2927">
        <v>1</v>
      </c>
    </row>
    <row r="2928" spans="1:2">
      <c r="A2928" t="s">
        <v>16768</v>
      </c>
      <c r="B2928">
        <v>1</v>
      </c>
    </row>
    <row r="2929" spans="1:2">
      <c r="A2929" t="s">
        <v>16772</v>
      </c>
      <c r="B2929">
        <v>1</v>
      </c>
    </row>
    <row r="2930" spans="1:2">
      <c r="A2930" t="s">
        <v>16936</v>
      </c>
      <c r="B2930">
        <v>1</v>
      </c>
    </row>
    <row r="2931" spans="1:2">
      <c r="A2931" t="s">
        <v>16932</v>
      </c>
      <c r="B2931">
        <v>1</v>
      </c>
    </row>
    <row r="2932" spans="1:2">
      <c r="A2932" t="s">
        <v>16928</v>
      </c>
      <c r="B2932">
        <v>1</v>
      </c>
    </row>
    <row r="2933" spans="1:2">
      <c r="A2933" t="s">
        <v>16925</v>
      </c>
      <c r="B2933">
        <v>1</v>
      </c>
    </row>
    <row r="2934" spans="1:2">
      <c r="A2934" t="s">
        <v>16921</v>
      </c>
      <c r="B2934">
        <v>1</v>
      </c>
    </row>
    <row r="2935" spans="1:2">
      <c r="A2935" t="s">
        <v>16917</v>
      </c>
      <c r="B2935">
        <v>1</v>
      </c>
    </row>
    <row r="2936" spans="1:2">
      <c r="A2936" t="s">
        <v>16913</v>
      </c>
      <c r="B2936">
        <v>1</v>
      </c>
    </row>
    <row r="2937" spans="1:2">
      <c r="A2937" t="s">
        <v>16909</v>
      </c>
      <c r="B2937">
        <v>1</v>
      </c>
    </row>
    <row r="2938" spans="1:2">
      <c r="A2938" t="s">
        <v>16905</v>
      </c>
      <c r="B2938">
        <v>1</v>
      </c>
    </row>
    <row r="2939" spans="1:2">
      <c r="A2939" t="s">
        <v>16901</v>
      </c>
      <c r="B2939">
        <v>1</v>
      </c>
    </row>
    <row r="2940" spans="1:2">
      <c r="A2940" t="s">
        <v>16899</v>
      </c>
      <c r="B2940">
        <v>1</v>
      </c>
    </row>
    <row r="2941" spans="1:2">
      <c r="A2941" t="s">
        <v>16893</v>
      </c>
      <c r="B2941">
        <v>1</v>
      </c>
    </row>
    <row r="2942" spans="1:2">
      <c r="A2942" t="s">
        <v>16889</v>
      </c>
      <c r="B2942">
        <v>1</v>
      </c>
    </row>
    <row r="2943" spans="1:2">
      <c r="A2943" t="s">
        <v>101</v>
      </c>
      <c r="B2943">
        <v>1</v>
      </c>
    </row>
    <row r="2944" spans="1:2">
      <c r="A2944" t="s">
        <v>16997</v>
      </c>
      <c r="B2944">
        <v>1</v>
      </c>
    </row>
    <row r="2945" spans="1:2">
      <c r="A2945" t="s">
        <v>16993</v>
      </c>
      <c r="B2945">
        <v>1</v>
      </c>
    </row>
    <row r="2946" spans="1:2">
      <c r="A2946" t="s">
        <v>16980</v>
      </c>
      <c r="B2946">
        <v>1</v>
      </c>
    </row>
    <row r="2947" spans="1:2">
      <c r="A2947" t="s">
        <v>16973</v>
      </c>
      <c r="B2947">
        <v>1</v>
      </c>
    </row>
    <row r="2948" spans="1:2">
      <c r="A2948" t="s">
        <v>16967</v>
      </c>
      <c r="B2948">
        <v>1</v>
      </c>
    </row>
    <row r="2949" spans="1:2">
      <c r="A2949" t="s">
        <v>16951</v>
      </c>
      <c r="B2949">
        <v>1</v>
      </c>
    </row>
    <row r="2950" spans="1:2">
      <c r="A2950" t="s">
        <v>16882</v>
      </c>
      <c r="B2950">
        <v>1</v>
      </c>
    </row>
    <row r="2951" spans="1:2">
      <c r="A2951" t="s">
        <v>16878</v>
      </c>
      <c r="B2951">
        <v>1</v>
      </c>
    </row>
    <row r="2952" spans="1:2">
      <c r="A2952" t="s">
        <v>16819</v>
      </c>
      <c r="B2952">
        <v>1</v>
      </c>
    </row>
    <row r="2953" spans="1:2">
      <c r="A2953" t="s">
        <v>16805</v>
      </c>
      <c r="B2953">
        <v>1</v>
      </c>
    </row>
    <row r="2954" spans="1:2">
      <c r="A2954" t="s">
        <v>16801</v>
      </c>
      <c r="B2954">
        <v>1</v>
      </c>
    </row>
    <row r="2955" spans="1:2">
      <c r="A2955" t="s">
        <v>16823</v>
      </c>
      <c r="B2955">
        <v>1</v>
      </c>
    </row>
    <row r="2956" spans="1:2">
      <c r="A2956" t="s">
        <v>16797</v>
      </c>
      <c r="B2956">
        <v>1</v>
      </c>
    </row>
    <row r="2957" spans="1:2">
      <c r="A2957" t="s">
        <v>16786</v>
      </c>
      <c r="B2957">
        <v>1</v>
      </c>
    </row>
    <row r="2958" spans="1:2">
      <c r="A2958" t="s">
        <v>16783</v>
      </c>
      <c r="B2958">
        <v>1</v>
      </c>
    </row>
    <row r="2959" spans="1:2">
      <c r="A2959" t="s">
        <v>16779</v>
      </c>
      <c r="B2959">
        <v>1</v>
      </c>
    </row>
    <row r="2960" spans="1:2">
      <c r="A2960" t="s">
        <v>16775</v>
      </c>
      <c r="B2960">
        <v>1</v>
      </c>
    </row>
    <row r="2961" spans="1:2">
      <c r="A2961" t="s">
        <v>16774</v>
      </c>
      <c r="B2961">
        <v>1</v>
      </c>
    </row>
    <row r="2962" spans="1:2">
      <c r="A2962" t="s">
        <v>16793</v>
      </c>
      <c r="B2962">
        <v>1</v>
      </c>
    </row>
    <row r="2963" spans="1:2">
      <c r="A2963" t="s">
        <v>16827</v>
      </c>
      <c r="B2963">
        <v>1</v>
      </c>
    </row>
    <row r="2964" spans="1:2">
      <c r="A2964" t="s">
        <v>16830</v>
      </c>
      <c r="B2964">
        <v>1</v>
      </c>
    </row>
    <row r="2965" spans="1:2">
      <c r="A2965" t="s">
        <v>16832</v>
      </c>
      <c r="B2965">
        <v>1</v>
      </c>
    </row>
    <row r="2966" spans="1:2">
      <c r="A2966" t="s">
        <v>16876</v>
      </c>
      <c r="B2966">
        <v>1</v>
      </c>
    </row>
    <row r="2967" spans="1:2">
      <c r="A2967" t="s">
        <v>16873</v>
      </c>
      <c r="B2967">
        <v>1</v>
      </c>
    </row>
    <row r="2968" spans="1:2">
      <c r="A2968" t="s">
        <v>16871</v>
      </c>
      <c r="B2968">
        <v>1</v>
      </c>
    </row>
    <row r="2969" spans="1:2">
      <c r="A2969" t="s">
        <v>16868</v>
      </c>
      <c r="B2969">
        <v>1</v>
      </c>
    </row>
    <row r="2970" spans="1:2">
      <c r="A2970" t="s">
        <v>16864</v>
      </c>
      <c r="B2970">
        <v>1</v>
      </c>
    </row>
    <row r="2971" spans="1:2">
      <c r="A2971" t="s">
        <v>16860</v>
      </c>
      <c r="B2971">
        <v>1</v>
      </c>
    </row>
    <row r="2972" spans="1:2">
      <c r="A2972" t="s">
        <v>16856</v>
      </c>
      <c r="B2972">
        <v>1</v>
      </c>
    </row>
    <row r="2973" spans="1:2">
      <c r="A2973" t="s">
        <v>16852</v>
      </c>
      <c r="B2973">
        <v>1</v>
      </c>
    </row>
    <row r="2974" spans="1:2">
      <c r="A2974" t="s">
        <v>16845</v>
      </c>
      <c r="B2974">
        <v>1</v>
      </c>
    </row>
    <row r="2975" spans="1:2">
      <c r="A2975" t="s">
        <v>16841</v>
      </c>
      <c r="B2975">
        <v>1</v>
      </c>
    </row>
    <row r="2976" spans="1:2">
      <c r="A2976" t="s">
        <v>16840</v>
      </c>
      <c r="B2976">
        <v>1</v>
      </c>
    </row>
    <row r="2977" spans="1:2">
      <c r="A2977" t="s">
        <v>16839</v>
      </c>
      <c r="B2977">
        <v>1</v>
      </c>
    </row>
    <row r="2978" spans="1:2">
      <c r="A2978" t="s">
        <v>16837</v>
      </c>
      <c r="B2978">
        <v>1</v>
      </c>
    </row>
    <row r="2979" spans="1:2">
      <c r="A2979" t="s">
        <v>16834</v>
      </c>
      <c r="B2979">
        <v>1</v>
      </c>
    </row>
    <row r="2980" spans="1:2">
      <c r="A2980" t="s">
        <v>17301</v>
      </c>
      <c r="B2980">
        <v>1</v>
      </c>
    </row>
    <row r="2981" spans="1:2">
      <c r="A2981" t="s">
        <v>17390</v>
      </c>
      <c r="B2981">
        <v>1</v>
      </c>
    </row>
    <row r="2982" spans="1:2">
      <c r="A2982" t="s">
        <v>17451</v>
      </c>
      <c r="B2982">
        <v>1</v>
      </c>
    </row>
    <row r="2983" spans="1:2">
      <c r="A2983" t="s">
        <v>17394</v>
      </c>
      <c r="B2983">
        <v>1</v>
      </c>
    </row>
    <row r="2984" spans="1:2">
      <c r="A2984" t="s">
        <v>17597</v>
      </c>
      <c r="B2984">
        <v>1</v>
      </c>
    </row>
    <row r="2985" spans="1:2">
      <c r="A2985" t="s">
        <v>17549</v>
      </c>
      <c r="B2985">
        <v>1</v>
      </c>
    </row>
    <row r="2986" spans="1:2">
      <c r="A2986" t="s">
        <v>17548</v>
      </c>
      <c r="B2986">
        <v>1</v>
      </c>
    </row>
    <row r="2987" spans="1:2">
      <c r="A2987" t="s">
        <v>17546</v>
      </c>
      <c r="B2987">
        <v>1</v>
      </c>
    </row>
    <row r="2988" spans="1:2">
      <c r="A2988" t="s">
        <v>17544</v>
      </c>
      <c r="B2988">
        <v>1</v>
      </c>
    </row>
    <row r="2989" spans="1:2">
      <c r="A2989" t="s">
        <v>17543</v>
      </c>
      <c r="B2989">
        <v>1</v>
      </c>
    </row>
    <row r="2990" spans="1:2">
      <c r="A2990" t="s">
        <v>17541</v>
      </c>
      <c r="B2990">
        <v>1</v>
      </c>
    </row>
    <row r="2991" spans="1:2">
      <c r="A2991" t="s">
        <v>17539</v>
      </c>
      <c r="B2991">
        <v>1</v>
      </c>
    </row>
    <row r="2992" spans="1:2">
      <c r="A2992" t="s">
        <v>17538</v>
      </c>
      <c r="B2992">
        <v>1</v>
      </c>
    </row>
    <row r="2993" spans="1:2">
      <c r="A2993" t="s">
        <v>17535</v>
      </c>
      <c r="B2993">
        <v>1</v>
      </c>
    </row>
    <row r="2994" spans="1:2">
      <c r="A2994" t="s">
        <v>17533</v>
      </c>
      <c r="B2994">
        <v>1</v>
      </c>
    </row>
    <row r="2995" spans="1:2">
      <c r="A2995" t="s">
        <v>17529</v>
      </c>
      <c r="B2995">
        <v>1</v>
      </c>
    </row>
    <row r="2996" spans="1:2">
      <c r="A2996" t="s">
        <v>17527</v>
      </c>
      <c r="B2996">
        <v>1</v>
      </c>
    </row>
    <row r="2997" spans="1:2">
      <c r="A2997" t="s">
        <v>17525</v>
      </c>
      <c r="B2997">
        <v>1</v>
      </c>
    </row>
    <row r="2998" spans="1:2">
      <c r="A2998" t="s">
        <v>17524</v>
      </c>
      <c r="B2998">
        <v>1</v>
      </c>
    </row>
    <row r="2999" spans="1:2">
      <c r="A2999" t="s">
        <v>17523</v>
      </c>
      <c r="B2999">
        <v>1</v>
      </c>
    </row>
    <row r="3000" spans="1:2">
      <c r="A3000" t="s">
        <v>17521</v>
      </c>
      <c r="B3000">
        <v>1</v>
      </c>
    </row>
    <row r="3001" spans="1:2">
      <c r="A3001" t="s">
        <v>17519</v>
      </c>
      <c r="B3001">
        <v>1</v>
      </c>
    </row>
    <row r="3002" spans="1:2">
      <c r="A3002" t="s">
        <v>17555</v>
      </c>
      <c r="B3002">
        <v>1</v>
      </c>
    </row>
    <row r="3003" spans="1:2">
      <c r="A3003" t="s">
        <v>17515</v>
      </c>
      <c r="B3003">
        <v>1</v>
      </c>
    </row>
    <row r="3004" spans="1:2">
      <c r="A3004" t="s">
        <v>17514</v>
      </c>
      <c r="B3004">
        <v>1</v>
      </c>
    </row>
    <row r="3005" spans="1:2">
      <c r="A3005" t="s">
        <v>17512</v>
      </c>
      <c r="B3005">
        <v>1</v>
      </c>
    </row>
    <row r="3006" spans="1:2">
      <c r="A3006" t="s">
        <v>17510</v>
      </c>
      <c r="B3006">
        <v>1</v>
      </c>
    </row>
    <row r="3007" spans="1:2">
      <c r="A3007" t="s">
        <v>17550</v>
      </c>
      <c r="B3007">
        <v>1</v>
      </c>
    </row>
    <row r="3008" spans="1:2">
      <c r="A3008" t="s">
        <v>17554</v>
      </c>
      <c r="B3008">
        <v>1</v>
      </c>
    </row>
    <row r="3009" spans="1:2">
      <c r="A3009" t="s">
        <v>17559</v>
      </c>
      <c r="B3009">
        <v>1</v>
      </c>
    </row>
    <row r="3010" spans="1:2">
      <c r="A3010" t="s">
        <v>17558</v>
      </c>
      <c r="B3010">
        <v>1</v>
      </c>
    </row>
    <row r="3011" spans="1:2">
      <c r="A3011" t="s">
        <v>17599</v>
      </c>
      <c r="B3011">
        <v>1</v>
      </c>
    </row>
    <row r="3012" spans="1:2">
      <c r="A3012" t="s">
        <v>17603</v>
      </c>
      <c r="B3012">
        <v>1</v>
      </c>
    </row>
    <row r="3013" spans="1:2">
      <c r="A3013" t="s">
        <v>17605</v>
      </c>
      <c r="B3013">
        <v>1</v>
      </c>
    </row>
    <row r="3014" spans="1:2">
      <c r="A3014" t="s">
        <v>17607</v>
      </c>
      <c r="B3014">
        <v>1</v>
      </c>
    </row>
    <row r="3015" spans="1:2">
      <c r="A3015" t="s">
        <v>17595</v>
      </c>
      <c r="B3015">
        <v>1</v>
      </c>
    </row>
    <row r="3016" spans="1:2">
      <c r="A3016" t="s">
        <v>17601</v>
      </c>
      <c r="B3016">
        <v>1</v>
      </c>
    </row>
    <row r="3017" spans="1:2">
      <c r="A3017" t="s">
        <v>17591</v>
      </c>
      <c r="B3017">
        <v>1</v>
      </c>
    </row>
    <row r="3018" spans="1:2">
      <c r="A3018" t="s">
        <v>17587</v>
      </c>
      <c r="B3018">
        <v>1</v>
      </c>
    </row>
    <row r="3019" spans="1:2">
      <c r="A3019" t="s">
        <v>17593</v>
      </c>
      <c r="B3019">
        <v>1</v>
      </c>
    </row>
    <row r="3020" spans="1:2">
      <c r="A3020" t="s">
        <v>17560</v>
      </c>
      <c r="B3020">
        <v>1</v>
      </c>
    </row>
    <row r="3021" spans="1:2">
      <c r="A3021" t="s">
        <v>17562</v>
      </c>
      <c r="B3021">
        <v>1</v>
      </c>
    </row>
    <row r="3022" spans="1:2">
      <c r="A3022" t="s">
        <v>17563</v>
      </c>
      <c r="B3022">
        <v>1</v>
      </c>
    </row>
    <row r="3023" spans="1:2">
      <c r="A3023" t="s">
        <v>17564</v>
      </c>
      <c r="B3023">
        <v>1</v>
      </c>
    </row>
    <row r="3024" spans="1:2">
      <c r="A3024" t="s">
        <v>17566</v>
      </c>
      <c r="B3024">
        <v>1</v>
      </c>
    </row>
    <row r="3025" spans="1:2">
      <c r="A3025" t="s">
        <v>17570</v>
      </c>
      <c r="B3025">
        <v>1</v>
      </c>
    </row>
    <row r="3026" spans="1:2">
      <c r="A3026" t="s">
        <v>17571</v>
      </c>
      <c r="B3026">
        <v>1</v>
      </c>
    </row>
    <row r="3027" spans="1:2">
      <c r="A3027" t="s">
        <v>17572</v>
      </c>
      <c r="B3027">
        <v>1</v>
      </c>
    </row>
    <row r="3028" spans="1:2">
      <c r="A3028" t="s">
        <v>17575</v>
      </c>
      <c r="B3028">
        <v>1</v>
      </c>
    </row>
    <row r="3029" spans="1:2">
      <c r="A3029" t="s">
        <v>17578</v>
      </c>
      <c r="B3029">
        <v>1</v>
      </c>
    </row>
    <row r="3030" spans="1:2">
      <c r="A3030" t="s">
        <v>17579</v>
      </c>
      <c r="B3030">
        <v>1</v>
      </c>
    </row>
    <row r="3031" spans="1:2">
      <c r="A3031" t="s">
        <v>17582</v>
      </c>
      <c r="B3031">
        <v>1</v>
      </c>
    </row>
    <row r="3032" spans="1:2">
      <c r="A3032" t="s">
        <v>17584</v>
      </c>
      <c r="B3032">
        <v>1</v>
      </c>
    </row>
    <row r="3033" spans="1:2">
      <c r="A3033" t="s">
        <v>17585</v>
      </c>
      <c r="B3033">
        <v>1</v>
      </c>
    </row>
    <row r="3034" spans="1:2">
      <c r="A3034" t="s">
        <v>17505</v>
      </c>
      <c r="B3034">
        <v>1</v>
      </c>
    </row>
    <row r="3035" spans="1:2">
      <c r="A3035" t="s">
        <v>17517</v>
      </c>
      <c r="B3035">
        <v>1</v>
      </c>
    </row>
    <row r="3036" spans="1:2">
      <c r="A3036" t="s">
        <v>17501</v>
      </c>
      <c r="B3036">
        <v>1</v>
      </c>
    </row>
    <row r="3037" spans="1:2">
      <c r="A3037" t="s">
        <v>17500</v>
      </c>
      <c r="B3037">
        <v>1</v>
      </c>
    </row>
    <row r="3038" spans="1:2">
      <c r="A3038" t="s">
        <v>17444</v>
      </c>
      <c r="B3038">
        <v>1</v>
      </c>
    </row>
    <row r="3039" spans="1:2">
      <c r="A3039" t="s">
        <v>17441</v>
      </c>
      <c r="B3039">
        <v>1</v>
      </c>
    </row>
    <row r="3040" spans="1:2">
      <c r="A3040" t="s">
        <v>17440</v>
      </c>
      <c r="B3040">
        <v>1</v>
      </c>
    </row>
    <row r="3041" spans="1:2">
      <c r="A3041" t="s">
        <v>17439</v>
      </c>
      <c r="B3041">
        <v>1</v>
      </c>
    </row>
    <row r="3042" spans="1:2">
      <c r="A3042" t="s">
        <v>17436</v>
      </c>
      <c r="B3042">
        <v>1</v>
      </c>
    </row>
    <row r="3043" spans="1:2">
      <c r="A3043" t="s">
        <v>17434</v>
      </c>
      <c r="B3043">
        <v>1</v>
      </c>
    </row>
    <row r="3044" spans="1:2">
      <c r="A3044" t="s">
        <v>17433</v>
      </c>
      <c r="B3044">
        <v>1</v>
      </c>
    </row>
    <row r="3045" spans="1:2">
      <c r="A3045" t="s">
        <v>17431</v>
      </c>
      <c r="B3045">
        <v>1</v>
      </c>
    </row>
    <row r="3046" spans="1:2">
      <c r="A3046" t="s">
        <v>17430</v>
      </c>
      <c r="B3046">
        <v>1</v>
      </c>
    </row>
    <row r="3047" spans="1:2">
      <c r="A3047" t="s">
        <v>17429</v>
      </c>
      <c r="B3047">
        <v>1</v>
      </c>
    </row>
    <row r="3048" spans="1:2">
      <c r="A3048" t="s">
        <v>17427</v>
      </c>
      <c r="B3048">
        <v>1</v>
      </c>
    </row>
    <row r="3049" spans="1:2">
      <c r="A3049" t="s">
        <v>17425</v>
      </c>
      <c r="B3049">
        <v>1</v>
      </c>
    </row>
    <row r="3050" spans="1:2">
      <c r="A3050" t="s">
        <v>17423</v>
      </c>
      <c r="B3050">
        <v>1</v>
      </c>
    </row>
    <row r="3051" spans="1:2">
      <c r="A3051" t="s">
        <v>17445</v>
      </c>
      <c r="B3051">
        <v>1</v>
      </c>
    </row>
    <row r="3052" spans="1:2">
      <c r="A3052" t="s">
        <v>17421</v>
      </c>
      <c r="B3052">
        <v>1</v>
      </c>
    </row>
    <row r="3053" spans="1:2">
      <c r="A3053" t="s">
        <v>17418</v>
      </c>
      <c r="B3053">
        <v>1</v>
      </c>
    </row>
    <row r="3054" spans="1:2">
      <c r="A3054" t="s">
        <v>17416</v>
      </c>
      <c r="B3054">
        <v>1</v>
      </c>
    </row>
    <row r="3055" spans="1:2">
      <c r="A3055" t="s">
        <v>17415</v>
      </c>
      <c r="B3055">
        <v>1</v>
      </c>
    </row>
    <row r="3056" spans="1:2">
      <c r="A3056" t="s">
        <v>17413</v>
      </c>
      <c r="B3056">
        <v>1</v>
      </c>
    </row>
    <row r="3057" spans="1:2">
      <c r="A3057" t="s">
        <v>17412</v>
      </c>
      <c r="B3057">
        <v>1</v>
      </c>
    </row>
    <row r="3058" spans="1:2">
      <c r="A3058" t="s">
        <v>17410</v>
      </c>
      <c r="B3058">
        <v>1</v>
      </c>
    </row>
    <row r="3059" spans="1:2">
      <c r="A3059" t="s">
        <v>17408</v>
      </c>
      <c r="B3059">
        <v>1</v>
      </c>
    </row>
    <row r="3060" spans="1:2">
      <c r="A3060" t="s">
        <v>17392</v>
      </c>
      <c r="B3060">
        <v>1</v>
      </c>
    </row>
    <row r="3061" spans="1:2">
      <c r="A3061" t="s">
        <v>17406</v>
      </c>
      <c r="B3061">
        <v>1</v>
      </c>
    </row>
    <row r="3062" spans="1:2">
      <c r="A3062" t="s">
        <v>17405</v>
      </c>
      <c r="B3062">
        <v>1</v>
      </c>
    </row>
    <row r="3063" spans="1:2">
      <c r="A3063" t="s">
        <v>17403</v>
      </c>
      <c r="B3063">
        <v>1</v>
      </c>
    </row>
    <row r="3064" spans="1:2">
      <c r="A3064" t="s">
        <v>17401</v>
      </c>
      <c r="B3064">
        <v>1</v>
      </c>
    </row>
    <row r="3065" spans="1:2">
      <c r="A3065" t="s">
        <v>17399</v>
      </c>
      <c r="B3065">
        <v>1</v>
      </c>
    </row>
    <row r="3066" spans="1:2">
      <c r="A3066" t="s">
        <v>17396</v>
      </c>
      <c r="B3066">
        <v>1</v>
      </c>
    </row>
    <row r="3067" spans="1:2">
      <c r="A3067" t="s">
        <v>17419</v>
      </c>
      <c r="B3067">
        <v>1</v>
      </c>
    </row>
    <row r="3068" spans="1:2">
      <c r="A3068" t="s">
        <v>17447</v>
      </c>
      <c r="B3068">
        <v>1</v>
      </c>
    </row>
    <row r="3069" spans="1:2">
      <c r="A3069" t="s">
        <v>17448</v>
      </c>
      <c r="B3069">
        <v>1</v>
      </c>
    </row>
    <row r="3070" spans="1:2">
      <c r="A3070" t="s">
        <v>17449</v>
      </c>
      <c r="B3070">
        <v>1</v>
      </c>
    </row>
    <row r="3071" spans="1:2">
      <c r="A3071" t="s">
        <v>17498</v>
      </c>
      <c r="B3071">
        <v>1</v>
      </c>
    </row>
    <row r="3072" spans="1:2">
      <c r="A3072" t="s">
        <v>17495</v>
      </c>
      <c r="B3072">
        <v>1</v>
      </c>
    </row>
    <row r="3073" spans="1:2">
      <c r="A3073" t="s">
        <v>17494</v>
      </c>
      <c r="B3073">
        <v>1</v>
      </c>
    </row>
    <row r="3074" spans="1:2">
      <c r="A3074" t="s">
        <v>17490</v>
      </c>
      <c r="B3074">
        <v>1</v>
      </c>
    </row>
    <row r="3075" spans="1:2">
      <c r="A3075" t="s">
        <v>17489</v>
      </c>
      <c r="B3075">
        <v>1</v>
      </c>
    </row>
    <row r="3076" spans="1:2">
      <c r="A3076" t="s">
        <v>17488</v>
      </c>
      <c r="B3076">
        <v>1</v>
      </c>
    </row>
    <row r="3077" spans="1:2">
      <c r="A3077" t="s">
        <v>17486</v>
      </c>
      <c r="B3077">
        <v>1</v>
      </c>
    </row>
    <row r="3078" spans="1:2">
      <c r="A3078" t="s">
        <v>17485</v>
      </c>
      <c r="B3078">
        <v>1</v>
      </c>
    </row>
    <row r="3079" spans="1:2">
      <c r="A3079" t="s">
        <v>17483</v>
      </c>
      <c r="B3079">
        <v>1</v>
      </c>
    </row>
    <row r="3080" spans="1:2">
      <c r="A3080" t="s">
        <v>17482</v>
      </c>
      <c r="B3080">
        <v>1</v>
      </c>
    </row>
    <row r="3081" spans="1:2">
      <c r="A3081" t="s">
        <v>17480</v>
      </c>
      <c r="B3081">
        <v>1</v>
      </c>
    </row>
    <row r="3082" spans="1:2">
      <c r="A3082" t="s">
        <v>17479</v>
      </c>
      <c r="B3082">
        <v>1</v>
      </c>
    </row>
    <row r="3083" spans="1:2">
      <c r="A3083" t="s">
        <v>17477</v>
      </c>
      <c r="B3083">
        <v>1</v>
      </c>
    </row>
    <row r="3084" spans="1:2">
      <c r="A3084" t="s">
        <v>17503</v>
      </c>
      <c r="B3084">
        <v>1</v>
      </c>
    </row>
    <row r="3085" spans="1:2">
      <c r="A3085" t="s">
        <v>17476</v>
      </c>
      <c r="B3085">
        <v>1</v>
      </c>
    </row>
    <row r="3086" spans="1:2">
      <c r="A3086" t="s">
        <v>17473</v>
      </c>
      <c r="B3086">
        <v>1</v>
      </c>
    </row>
    <row r="3087" spans="1:2">
      <c r="A3087" t="s">
        <v>17472</v>
      </c>
      <c r="B3087">
        <v>1</v>
      </c>
    </row>
    <row r="3088" spans="1:2">
      <c r="A3088" t="s">
        <v>17470</v>
      </c>
      <c r="B3088">
        <v>1</v>
      </c>
    </row>
    <row r="3089" spans="1:2">
      <c r="A3089" t="s">
        <v>17469</v>
      </c>
      <c r="B3089">
        <v>1</v>
      </c>
    </row>
    <row r="3090" spans="1:2">
      <c r="A3090" t="s">
        <v>17465</v>
      </c>
      <c r="B3090">
        <v>1</v>
      </c>
    </row>
    <row r="3091" spans="1:2">
      <c r="A3091" t="s">
        <v>17463</v>
      </c>
      <c r="B3091">
        <v>1</v>
      </c>
    </row>
    <row r="3092" spans="1:2">
      <c r="A3092" t="s">
        <v>17462</v>
      </c>
      <c r="B3092">
        <v>1</v>
      </c>
    </row>
    <row r="3093" spans="1:2">
      <c r="A3093" t="s">
        <v>17460</v>
      </c>
      <c r="B3093">
        <v>1</v>
      </c>
    </row>
    <row r="3094" spans="1:2">
      <c r="A3094" t="s">
        <v>17459</v>
      </c>
      <c r="B3094">
        <v>1</v>
      </c>
    </row>
    <row r="3095" spans="1:2">
      <c r="A3095" t="s">
        <v>17458</v>
      </c>
      <c r="B3095">
        <v>1</v>
      </c>
    </row>
    <row r="3096" spans="1:2">
      <c r="A3096" t="s">
        <v>17456</v>
      </c>
      <c r="B3096">
        <v>1</v>
      </c>
    </row>
    <row r="3097" spans="1:2">
      <c r="A3097" t="s">
        <v>17454</v>
      </c>
      <c r="B3097">
        <v>1</v>
      </c>
    </row>
    <row r="3098" spans="1:2">
      <c r="A3098" t="s">
        <v>17453</v>
      </c>
      <c r="B3098">
        <v>1</v>
      </c>
    </row>
    <row r="3099" spans="1:2">
      <c r="A3099" t="s">
        <v>17452</v>
      </c>
      <c r="B3099">
        <v>1</v>
      </c>
    </row>
    <row r="3100" spans="1:2">
      <c r="A3100" t="s">
        <v>17617</v>
      </c>
      <c r="B3100">
        <v>1</v>
      </c>
    </row>
    <row r="3101" spans="1:2">
      <c r="A3101" t="s">
        <v>17612</v>
      </c>
      <c r="B3101">
        <v>1</v>
      </c>
    </row>
    <row r="3102" spans="1:2">
      <c r="A3102" t="s">
        <v>17608</v>
      </c>
      <c r="B3102">
        <v>1</v>
      </c>
    </row>
    <row r="3103" spans="1:2">
      <c r="A3103" t="s">
        <v>17626</v>
      </c>
      <c r="B3103">
        <v>1</v>
      </c>
    </row>
    <row r="3104" spans="1:2">
      <c r="A3104" t="s">
        <v>17646</v>
      </c>
      <c r="B3104">
        <v>1</v>
      </c>
    </row>
    <row r="3105" spans="1:2">
      <c r="A3105" t="s">
        <v>17639</v>
      </c>
      <c r="B3105">
        <v>1</v>
      </c>
    </row>
    <row r="3106" spans="1:2">
      <c r="A3106" t="s">
        <v>17642</v>
      </c>
      <c r="B3106">
        <v>1</v>
      </c>
    </row>
    <row r="3107" spans="1:2">
      <c r="A3107" t="s">
        <v>17621</v>
      </c>
      <c r="B3107">
        <v>1</v>
      </c>
    </row>
    <row r="3108" spans="1:2">
      <c r="A3108" t="s">
        <v>17636</v>
      </c>
      <c r="B3108">
        <v>1</v>
      </c>
    </row>
    <row r="3109" spans="1:2">
      <c r="A3109" t="s">
        <v>17633</v>
      </c>
      <c r="B3109">
        <v>1</v>
      </c>
    </row>
    <row r="3110" spans="1:2">
      <c r="A3110" t="s">
        <v>17630</v>
      </c>
      <c r="B3110">
        <v>1</v>
      </c>
    </row>
    <row r="3111" spans="1:2">
      <c r="A3111" t="s">
        <v>17728</v>
      </c>
      <c r="B3111">
        <v>1</v>
      </c>
    </row>
    <row r="3112" spans="1:2">
      <c r="A3112" t="s">
        <v>17724</v>
      </c>
      <c r="B3112">
        <v>1</v>
      </c>
    </row>
    <row r="3113" spans="1:2">
      <c r="A3113" t="s">
        <v>17722</v>
      </c>
      <c r="B3113">
        <v>1</v>
      </c>
    </row>
    <row r="3114" spans="1:2">
      <c r="A3114" t="s">
        <v>17711</v>
      </c>
      <c r="B3114">
        <v>1</v>
      </c>
    </row>
    <row r="3115" spans="1:2">
      <c r="A3115" t="s">
        <v>17719</v>
      </c>
      <c r="B3115">
        <v>1</v>
      </c>
    </row>
    <row r="3116" spans="1:2">
      <c r="A3116" t="s">
        <v>17714</v>
      </c>
      <c r="B3116">
        <v>1</v>
      </c>
    </row>
    <row r="3117" spans="1:2">
      <c r="A3117" t="s">
        <v>17732</v>
      </c>
      <c r="B3117">
        <v>1</v>
      </c>
    </row>
    <row r="3118" spans="1:2">
      <c r="A3118" t="s">
        <v>17708</v>
      </c>
      <c r="B3118">
        <v>1</v>
      </c>
    </row>
    <row r="3119" spans="1:2">
      <c r="A3119" t="s">
        <v>17679</v>
      </c>
      <c r="B3119">
        <v>1</v>
      </c>
    </row>
    <row r="3120" spans="1:2">
      <c r="A3120" t="s">
        <v>17650</v>
      </c>
      <c r="B3120">
        <v>1</v>
      </c>
    </row>
    <row r="3121" spans="1:2">
      <c r="A3121" t="s">
        <v>17654</v>
      </c>
      <c r="B3121">
        <v>1</v>
      </c>
    </row>
    <row r="3122" spans="1:2">
      <c r="A3122" t="s">
        <v>17658</v>
      </c>
      <c r="B3122">
        <v>1</v>
      </c>
    </row>
    <row r="3123" spans="1:2">
      <c r="A3123" t="s">
        <v>17661</v>
      </c>
      <c r="B3123">
        <v>1</v>
      </c>
    </row>
    <row r="3124" spans="1:2">
      <c r="A3124" t="s">
        <v>17704</v>
      </c>
      <c r="B3124">
        <v>1</v>
      </c>
    </row>
    <row r="3125" spans="1:2">
      <c r="A3125" t="s">
        <v>17668</v>
      </c>
      <c r="B3125">
        <v>1</v>
      </c>
    </row>
    <row r="3126" spans="1:2">
      <c r="A3126" t="s">
        <v>17672</v>
      </c>
      <c r="B3126">
        <v>1</v>
      </c>
    </row>
    <row r="3127" spans="1:2">
      <c r="A3127" t="s">
        <v>17677</v>
      </c>
      <c r="B3127">
        <v>1</v>
      </c>
    </row>
    <row r="3128" spans="1:2">
      <c r="A3128" t="s">
        <v>17665</v>
      </c>
      <c r="B3128">
        <v>1</v>
      </c>
    </row>
    <row r="3129" spans="1:2">
      <c r="A3129" t="s">
        <v>17683</v>
      </c>
      <c r="B3129">
        <v>1</v>
      </c>
    </row>
    <row r="3130" spans="1:2">
      <c r="A3130" t="s">
        <v>17690</v>
      </c>
      <c r="B3130">
        <v>1</v>
      </c>
    </row>
    <row r="3131" spans="1:2">
      <c r="A3131" t="s">
        <v>17693</v>
      </c>
      <c r="B3131">
        <v>1</v>
      </c>
    </row>
    <row r="3132" spans="1:2">
      <c r="A3132" t="s">
        <v>17696</v>
      </c>
      <c r="B3132">
        <v>1</v>
      </c>
    </row>
    <row r="3133" spans="1:2">
      <c r="A3133" t="s">
        <v>18045</v>
      </c>
      <c r="B3133">
        <v>1</v>
      </c>
    </row>
    <row r="3134" spans="1:2">
      <c r="A3134" t="s">
        <v>18047</v>
      </c>
      <c r="B3134">
        <v>1</v>
      </c>
    </row>
    <row r="3135" spans="1:2">
      <c r="A3135" t="s">
        <v>18050</v>
      </c>
      <c r="B3135">
        <v>1</v>
      </c>
    </row>
    <row r="3136" spans="1:2">
      <c r="A3136" t="s">
        <v>18051</v>
      </c>
      <c r="B3136">
        <v>1</v>
      </c>
    </row>
    <row r="3137" spans="1:2">
      <c r="A3137" t="s">
        <v>18056</v>
      </c>
      <c r="B3137">
        <v>1</v>
      </c>
    </row>
    <row r="3138" spans="1:2">
      <c r="A3138" t="s">
        <v>18058</v>
      </c>
      <c r="B3138">
        <v>1</v>
      </c>
    </row>
    <row r="3139" spans="1:2">
      <c r="A3139" t="s">
        <v>18062</v>
      </c>
      <c r="B3139">
        <v>1</v>
      </c>
    </row>
    <row r="3140" spans="1:2">
      <c r="A3140" t="s">
        <v>18065</v>
      </c>
      <c r="B3140">
        <v>1</v>
      </c>
    </row>
    <row r="3141" spans="1:2">
      <c r="A3141" t="s">
        <v>18067</v>
      </c>
      <c r="B3141">
        <v>1</v>
      </c>
    </row>
    <row r="3142" spans="1:2">
      <c r="A3142" t="s">
        <v>18077</v>
      </c>
      <c r="B3142">
        <v>1</v>
      </c>
    </row>
    <row r="3143" spans="1:2">
      <c r="A3143" t="s">
        <v>18040</v>
      </c>
      <c r="B3143">
        <v>1</v>
      </c>
    </row>
    <row r="3144" spans="1:2">
      <c r="A3144" t="s">
        <v>18017</v>
      </c>
      <c r="B3144">
        <v>1</v>
      </c>
    </row>
    <row r="3145" spans="1:2">
      <c r="A3145" t="s">
        <v>18021</v>
      </c>
      <c r="B3145">
        <v>1</v>
      </c>
    </row>
    <row r="3146" spans="1:2">
      <c r="A3146" t="s">
        <v>18029</v>
      </c>
      <c r="B3146">
        <v>1</v>
      </c>
    </row>
    <row r="3147" spans="1:2">
      <c r="A3147" t="s">
        <v>18033</v>
      </c>
      <c r="B3147">
        <v>1</v>
      </c>
    </row>
    <row r="3148" spans="1:2">
      <c r="A3148" t="s">
        <v>18013</v>
      </c>
      <c r="B3148">
        <v>1</v>
      </c>
    </row>
    <row r="3149" spans="1:2">
      <c r="A3149" t="s">
        <v>18009</v>
      </c>
      <c r="B3149">
        <v>1</v>
      </c>
    </row>
    <row r="3150" spans="1:2">
      <c r="A3150" t="s">
        <v>18005</v>
      </c>
      <c r="B3150">
        <v>1</v>
      </c>
    </row>
    <row r="3151" spans="1:2">
      <c r="A3151" t="s">
        <v>18001</v>
      </c>
      <c r="B3151">
        <v>1</v>
      </c>
    </row>
    <row r="3152" spans="1:2">
      <c r="A3152" t="s">
        <v>17997</v>
      </c>
      <c r="B3152">
        <v>1</v>
      </c>
    </row>
    <row r="3153" spans="1:2">
      <c r="A3153" t="s">
        <v>17995</v>
      </c>
      <c r="B3153">
        <v>1</v>
      </c>
    </row>
    <row r="3154" spans="1:2">
      <c r="A3154" t="s">
        <v>17966</v>
      </c>
      <c r="B3154">
        <v>1</v>
      </c>
    </row>
    <row r="3155" spans="1:2">
      <c r="A3155" t="s">
        <v>17991</v>
      </c>
      <c r="B3155">
        <v>1</v>
      </c>
    </row>
    <row r="3156" spans="1:2">
      <c r="A3156" t="s">
        <v>17988</v>
      </c>
      <c r="B3156">
        <v>1</v>
      </c>
    </row>
    <row r="3157" spans="1:2">
      <c r="A3157" t="s">
        <v>17986</v>
      </c>
      <c r="B3157">
        <v>1</v>
      </c>
    </row>
    <row r="3158" spans="1:2">
      <c r="A3158" t="s">
        <v>17982</v>
      </c>
      <c r="B3158">
        <v>1</v>
      </c>
    </row>
    <row r="3159" spans="1:2">
      <c r="A3159" t="s">
        <v>17978</v>
      </c>
      <c r="B3159">
        <v>1</v>
      </c>
    </row>
    <row r="3160" spans="1:2">
      <c r="A3160" t="s">
        <v>17974</v>
      </c>
      <c r="B3160">
        <v>1</v>
      </c>
    </row>
    <row r="3161" spans="1:2">
      <c r="A3161" t="s">
        <v>18073</v>
      </c>
      <c r="B3161">
        <v>1</v>
      </c>
    </row>
    <row r="3162" spans="1:2">
      <c r="A3162" t="s">
        <v>18069</v>
      </c>
      <c r="B3162">
        <v>1</v>
      </c>
    </row>
    <row r="3163" spans="1:2">
      <c r="A3163" t="s">
        <v>18125</v>
      </c>
      <c r="B3163">
        <v>1</v>
      </c>
    </row>
    <row r="3164" spans="1:2">
      <c r="A3164" t="s">
        <v>18120</v>
      </c>
      <c r="B3164">
        <v>1</v>
      </c>
    </row>
    <row r="3165" spans="1:2">
      <c r="A3165" t="s">
        <v>18151</v>
      </c>
      <c r="B3165">
        <v>1</v>
      </c>
    </row>
    <row r="3166" spans="1:2">
      <c r="A3166" t="s">
        <v>18116</v>
      </c>
      <c r="B3166">
        <v>1</v>
      </c>
    </row>
    <row r="3167" spans="1:2">
      <c r="A3167" t="s">
        <v>18109</v>
      </c>
      <c r="B3167">
        <v>1</v>
      </c>
    </row>
    <row r="3168" spans="1:2">
      <c r="A3168" t="s">
        <v>18105</v>
      </c>
      <c r="B3168">
        <v>1</v>
      </c>
    </row>
    <row r="3169" spans="1:2">
      <c r="A3169" t="s">
        <v>18088</v>
      </c>
      <c r="B3169">
        <v>1</v>
      </c>
    </row>
    <row r="3170" spans="1:2">
      <c r="A3170" t="s">
        <v>18086</v>
      </c>
      <c r="B3170">
        <v>1</v>
      </c>
    </row>
    <row r="3171" spans="1:2">
      <c r="A3171" t="s">
        <v>18083</v>
      </c>
      <c r="B3171">
        <v>1</v>
      </c>
    </row>
    <row r="3172" spans="1:2">
      <c r="A3172" t="s">
        <v>18080</v>
      </c>
      <c r="B3172">
        <v>1</v>
      </c>
    </row>
    <row r="3173" spans="1:2">
      <c r="A3173" t="s">
        <v>18113</v>
      </c>
      <c r="B3173">
        <v>1</v>
      </c>
    </row>
    <row r="3174" spans="1:2">
      <c r="A3174" t="s">
        <v>18154</v>
      </c>
      <c r="B3174">
        <v>1</v>
      </c>
    </row>
    <row r="3175" spans="1:2">
      <c r="A3175" t="s">
        <v>18092</v>
      </c>
      <c r="B3175">
        <v>1</v>
      </c>
    </row>
    <row r="3176" spans="1:2">
      <c r="A3176" t="s">
        <v>18093</v>
      </c>
      <c r="B3176">
        <v>1</v>
      </c>
    </row>
    <row r="3177" spans="1:2">
      <c r="A3177" t="s">
        <v>18097</v>
      </c>
      <c r="B3177">
        <v>1</v>
      </c>
    </row>
    <row r="3178" spans="1:2">
      <c r="A3178" t="s">
        <v>18100</v>
      </c>
      <c r="B3178">
        <v>1</v>
      </c>
    </row>
    <row r="3179" spans="1:2">
      <c r="A3179" t="s">
        <v>18128</v>
      </c>
      <c r="B3179">
        <v>1</v>
      </c>
    </row>
    <row r="3180" spans="1:2">
      <c r="A3180" t="s">
        <v>18133</v>
      </c>
      <c r="B3180">
        <v>1</v>
      </c>
    </row>
    <row r="3181" spans="1:2">
      <c r="A3181" t="s">
        <v>18136</v>
      </c>
      <c r="B3181">
        <v>1</v>
      </c>
    </row>
    <row r="3182" spans="1:2">
      <c r="A3182" t="s">
        <v>18140</v>
      </c>
      <c r="B3182">
        <v>1</v>
      </c>
    </row>
    <row r="3183" spans="1:2">
      <c r="A3183" t="s">
        <v>18145</v>
      </c>
      <c r="B3183">
        <v>1</v>
      </c>
    </row>
    <row r="3184" spans="1:2">
      <c r="A3184" t="s">
        <v>18147</v>
      </c>
      <c r="B3184">
        <v>1</v>
      </c>
    </row>
    <row r="3185" spans="1:2">
      <c r="A3185" t="s">
        <v>17970</v>
      </c>
      <c r="B3185">
        <v>1</v>
      </c>
    </row>
    <row r="3186" spans="1:2">
      <c r="A3186" t="s">
        <v>18037</v>
      </c>
      <c r="B3186">
        <v>1</v>
      </c>
    </row>
    <row r="3187" spans="1:2">
      <c r="A3187" t="s">
        <v>17962</v>
      </c>
      <c r="B3187">
        <v>1</v>
      </c>
    </row>
    <row r="3188" spans="1:2">
      <c r="A3188" t="s">
        <v>17957</v>
      </c>
      <c r="B3188">
        <v>1</v>
      </c>
    </row>
    <row r="3189" spans="1:2">
      <c r="A3189" t="s">
        <v>17884</v>
      </c>
      <c r="B3189">
        <v>1</v>
      </c>
    </row>
    <row r="3190" spans="1:2">
      <c r="A3190" t="s">
        <v>17887</v>
      </c>
      <c r="B3190">
        <v>1</v>
      </c>
    </row>
    <row r="3191" spans="1:2">
      <c r="A3191" t="s">
        <v>17891</v>
      </c>
      <c r="B3191">
        <v>1</v>
      </c>
    </row>
    <row r="3192" spans="1:2">
      <c r="A3192" t="s">
        <v>17895</v>
      </c>
      <c r="B3192">
        <v>1</v>
      </c>
    </row>
    <row r="3193" spans="1:2">
      <c r="A3193" t="s">
        <v>17899</v>
      </c>
      <c r="B3193">
        <v>1</v>
      </c>
    </row>
    <row r="3194" spans="1:2">
      <c r="A3194" t="s">
        <v>17902</v>
      </c>
      <c r="B3194">
        <v>1</v>
      </c>
    </row>
    <row r="3195" spans="1:2">
      <c r="A3195" t="s">
        <v>17906</v>
      </c>
      <c r="B3195">
        <v>1</v>
      </c>
    </row>
    <row r="3196" spans="1:2">
      <c r="A3196" t="s">
        <v>17909</v>
      </c>
      <c r="B3196">
        <v>1</v>
      </c>
    </row>
    <row r="3197" spans="1:2">
      <c r="A3197" t="s">
        <v>17912</v>
      </c>
      <c r="B3197">
        <v>1</v>
      </c>
    </row>
    <row r="3198" spans="1:2">
      <c r="A3198" t="s">
        <v>17914</v>
      </c>
      <c r="B3198">
        <v>1</v>
      </c>
    </row>
    <row r="3199" spans="1:2">
      <c r="A3199" t="s">
        <v>17917</v>
      </c>
      <c r="B3199">
        <v>1</v>
      </c>
    </row>
    <row r="3200" spans="1:2">
      <c r="A3200" t="s">
        <v>17960</v>
      </c>
      <c r="B3200">
        <v>1</v>
      </c>
    </row>
    <row r="3201" spans="1:2">
      <c r="A3201" t="s">
        <v>17925</v>
      </c>
      <c r="B3201">
        <v>1</v>
      </c>
    </row>
    <row r="3202" spans="1:2">
      <c r="A3202" t="s">
        <v>17929</v>
      </c>
      <c r="B3202">
        <v>1</v>
      </c>
    </row>
    <row r="3203" spans="1:2">
      <c r="A3203" t="s">
        <v>17932</v>
      </c>
      <c r="B3203">
        <v>1</v>
      </c>
    </row>
    <row r="3204" spans="1:2">
      <c r="A3204" t="s">
        <v>17940</v>
      </c>
      <c r="B3204">
        <v>1</v>
      </c>
    </row>
    <row r="3205" spans="1:2">
      <c r="A3205" t="s">
        <v>17943</v>
      </c>
      <c r="B3205">
        <v>1</v>
      </c>
    </row>
    <row r="3206" spans="1:2">
      <c r="A3206" t="s">
        <v>17947</v>
      </c>
      <c r="B3206">
        <v>1</v>
      </c>
    </row>
    <row r="3207" spans="1:2">
      <c r="A3207" t="s">
        <v>17921</v>
      </c>
      <c r="B3207">
        <v>1</v>
      </c>
    </row>
    <row r="3208" spans="1:2">
      <c r="A3208" t="s">
        <v>17950</v>
      </c>
      <c r="B3208">
        <v>1</v>
      </c>
    </row>
    <row r="3209" spans="1:2">
      <c r="A3209" t="s">
        <v>17954</v>
      </c>
      <c r="B3209">
        <v>1</v>
      </c>
    </row>
    <row r="3210" spans="1:2">
      <c r="A3210" t="s">
        <v>18242</v>
      </c>
      <c r="B3210">
        <v>1</v>
      </c>
    </row>
    <row r="3211" spans="1:2">
      <c r="A3211" t="s">
        <v>18238</v>
      </c>
      <c r="B3211">
        <v>1</v>
      </c>
    </row>
    <row r="3212" spans="1:2">
      <c r="A3212" t="s">
        <v>18234</v>
      </c>
      <c r="B3212">
        <v>1</v>
      </c>
    </row>
    <row r="3213" spans="1:2">
      <c r="A3213" t="s">
        <v>18224</v>
      </c>
      <c r="B3213">
        <v>1</v>
      </c>
    </row>
    <row r="3214" spans="1:2">
      <c r="A3214" t="s">
        <v>18246</v>
      </c>
      <c r="B3214">
        <v>1</v>
      </c>
    </row>
    <row r="3215" spans="1:2">
      <c r="A3215" t="s">
        <v>18227</v>
      </c>
      <c r="B3215">
        <v>1</v>
      </c>
    </row>
    <row r="3216" spans="1:2">
      <c r="A3216" t="s">
        <v>18229</v>
      </c>
      <c r="B3216">
        <v>1</v>
      </c>
    </row>
    <row r="3217" spans="1:2">
      <c r="A3217" t="s">
        <v>18539</v>
      </c>
      <c r="B3217">
        <v>1</v>
      </c>
    </row>
    <row r="3218" spans="1:2">
      <c r="A3218" t="s">
        <v>18535</v>
      </c>
      <c r="B3218">
        <v>1</v>
      </c>
    </row>
    <row r="3219" spans="1:2">
      <c r="A3219" t="s">
        <v>18530</v>
      </c>
      <c r="B3219">
        <v>1</v>
      </c>
    </row>
    <row r="3220" spans="1:2">
      <c r="A3220" t="s">
        <v>18525</v>
      </c>
      <c r="B3220">
        <v>1</v>
      </c>
    </row>
    <row r="3221" spans="1:2">
      <c r="A3221" t="s">
        <v>18520</v>
      </c>
      <c r="B3221">
        <v>1</v>
      </c>
    </row>
    <row r="3222" spans="1:2">
      <c r="A3222" t="s">
        <v>18516</v>
      </c>
      <c r="B3222">
        <v>1</v>
      </c>
    </row>
    <row r="3223" spans="1:2">
      <c r="A3223" t="s">
        <v>18513</v>
      </c>
      <c r="B3223">
        <v>1</v>
      </c>
    </row>
    <row r="3224" spans="1:2">
      <c r="A3224" t="s">
        <v>18544</v>
      </c>
      <c r="B3224">
        <v>1</v>
      </c>
    </row>
    <row r="3225" spans="1:2">
      <c r="A3225" t="s">
        <v>18506</v>
      </c>
      <c r="B3225">
        <v>1</v>
      </c>
    </row>
    <row r="3226" spans="1:2">
      <c r="A3226" t="s">
        <v>18502</v>
      </c>
      <c r="B3226">
        <v>1</v>
      </c>
    </row>
    <row r="3227" spans="1:2">
      <c r="A3227" t="s">
        <v>18498</v>
      </c>
      <c r="B3227">
        <v>1</v>
      </c>
    </row>
    <row r="3228" spans="1:2">
      <c r="A3228" t="s">
        <v>18494</v>
      </c>
      <c r="B3228">
        <v>1</v>
      </c>
    </row>
    <row r="3229" spans="1:2">
      <c r="A3229" t="s">
        <v>18490</v>
      </c>
      <c r="B3229">
        <v>1</v>
      </c>
    </row>
    <row r="3230" spans="1:2">
      <c r="A3230" t="s">
        <v>18478</v>
      </c>
      <c r="B3230">
        <v>1</v>
      </c>
    </row>
    <row r="3231" spans="1:2">
      <c r="A3231" t="s">
        <v>18485</v>
      </c>
      <c r="B3231">
        <v>1</v>
      </c>
    </row>
    <row r="3232" spans="1:2">
      <c r="A3232" t="s">
        <v>18510</v>
      </c>
      <c r="B3232">
        <v>1</v>
      </c>
    </row>
    <row r="3233" spans="1:2">
      <c r="A3233" t="s">
        <v>18480</v>
      </c>
      <c r="B3233">
        <v>1</v>
      </c>
    </row>
    <row r="3234" spans="1:2">
      <c r="A3234" t="s">
        <v>1345</v>
      </c>
      <c r="B3234">
        <v>1</v>
      </c>
    </row>
    <row r="3235" spans="1:2">
      <c r="A3235" t="s">
        <v>1349</v>
      </c>
      <c r="B3235">
        <v>1</v>
      </c>
    </row>
    <row r="3236" spans="1:2">
      <c r="A3236" t="s">
        <v>1352</v>
      </c>
      <c r="B3236">
        <v>1</v>
      </c>
    </row>
    <row r="3237" spans="1:2">
      <c r="A3237" t="s">
        <v>1357</v>
      </c>
      <c r="B3237">
        <v>1</v>
      </c>
    </row>
    <row r="3238" spans="1:2">
      <c r="A3238" t="s">
        <v>1361</v>
      </c>
      <c r="B3238">
        <v>1</v>
      </c>
    </row>
    <row r="3239" spans="1:2">
      <c r="A3239" t="s">
        <v>1373</v>
      </c>
      <c r="B3239">
        <v>1</v>
      </c>
    </row>
    <row r="3240" spans="1:2">
      <c r="A3240" t="s">
        <v>1365</v>
      </c>
      <c r="B3240">
        <v>1</v>
      </c>
    </row>
    <row r="3241" spans="1:2">
      <c r="A3241" t="s">
        <v>1338</v>
      </c>
      <c r="B3241">
        <v>1</v>
      </c>
    </row>
    <row r="3242" spans="1:2">
      <c r="A3242" t="s">
        <v>1369</v>
      </c>
      <c r="B3242">
        <v>1</v>
      </c>
    </row>
    <row r="3243" spans="1:2">
      <c r="A3243" t="s">
        <v>1396</v>
      </c>
      <c r="B3243">
        <v>1</v>
      </c>
    </row>
    <row r="3244" spans="1:2">
      <c r="A3244" t="s">
        <v>1392</v>
      </c>
      <c r="B3244">
        <v>1</v>
      </c>
    </row>
    <row r="3245" spans="1:2">
      <c r="A3245" t="s">
        <v>1384</v>
      </c>
      <c r="B3245">
        <v>1</v>
      </c>
    </row>
    <row r="3246" spans="1:2">
      <c r="A3246" t="s">
        <v>1380</v>
      </c>
      <c r="B3246">
        <v>1</v>
      </c>
    </row>
    <row r="3247" spans="1:2">
      <c r="A3247" t="s">
        <v>1377</v>
      </c>
      <c r="B3247">
        <v>1</v>
      </c>
    </row>
    <row r="3248" spans="1:2">
      <c r="A3248" t="s">
        <v>2305</v>
      </c>
      <c r="B3248">
        <v>1</v>
      </c>
    </row>
    <row r="3249" spans="1:2">
      <c r="A3249" t="s">
        <v>2274</v>
      </c>
      <c r="B3249">
        <v>1</v>
      </c>
    </row>
    <row r="3250" spans="1:2">
      <c r="A3250" t="s">
        <v>2301</v>
      </c>
      <c r="B3250">
        <v>1</v>
      </c>
    </row>
    <row r="3251" spans="1:2">
      <c r="A3251" t="s">
        <v>2297</v>
      </c>
      <c r="B3251">
        <v>1</v>
      </c>
    </row>
    <row r="3252" spans="1:2">
      <c r="A3252" t="s">
        <v>2292</v>
      </c>
      <c r="B3252">
        <v>1</v>
      </c>
    </row>
    <row r="3253" spans="1:2">
      <c r="A3253" t="s">
        <v>2294</v>
      </c>
      <c r="B3253">
        <v>1</v>
      </c>
    </row>
    <row r="3254" spans="1:2">
      <c r="A3254" t="s">
        <v>2288</v>
      </c>
      <c r="B3254">
        <v>1</v>
      </c>
    </row>
    <row r="3255" spans="1:2">
      <c r="A3255" t="s">
        <v>2284</v>
      </c>
      <c r="B3255">
        <v>1</v>
      </c>
    </row>
    <row r="3256" spans="1:2">
      <c r="A3256" t="s">
        <v>2281</v>
      </c>
      <c r="B3256">
        <v>1</v>
      </c>
    </row>
    <row r="3257" spans="1:2">
      <c r="A3257" t="s">
        <v>2277</v>
      </c>
      <c r="B3257">
        <v>1</v>
      </c>
    </row>
    <row r="3258" spans="1:2">
      <c r="A3258" t="s">
        <v>2358</v>
      </c>
      <c r="B3258">
        <v>1</v>
      </c>
    </row>
    <row r="3259" spans="1:2">
      <c r="A3259" t="s">
        <v>2354</v>
      </c>
      <c r="B3259">
        <v>1</v>
      </c>
    </row>
    <row r="3260" spans="1:2">
      <c r="A3260" t="s">
        <v>2352</v>
      </c>
      <c r="B3260">
        <v>1</v>
      </c>
    </row>
    <row r="3261" spans="1:2">
      <c r="A3261" t="s">
        <v>2349</v>
      </c>
      <c r="B3261">
        <v>1</v>
      </c>
    </row>
    <row r="3262" spans="1:2">
      <c r="A3262" t="s">
        <v>2653</v>
      </c>
      <c r="B3262">
        <v>1</v>
      </c>
    </row>
    <row r="3263" spans="1:2">
      <c r="A3263" t="s">
        <v>2648</v>
      </c>
      <c r="B3263">
        <v>1</v>
      </c>
    </row>
    <row r="3264" spans="1:2">
      <c r="A3264" t="s">
        <v>2639</v>
      </c>
      <c r="B3264">
        <v>1</v>
      </c>
    </row>
    <row r="3265" spans="1:2">
      <c r="A3265" t="s">
        <v>2636</v>
      </c>
      <c r="B3265">
        <v>1</v>
      </c>
    </row>
    <row r="3266" spans="1:2">
      <c r="A3266" t="s">
        <v>2641</v>
      </c>
      <c r="B3266">
        <v>1</v>
      </c>
    </row>
    <row r="3267" spans="1:2">
      <c r="A3267" t="s">
        <v>2632</v>
      </c>
      <c r="B3267">
        <v>1</v>
      </c>
    </row>
    <row r="3268" spans="1:2">
      <c r="A3268" t="s">
        <v>2624</v>
      </c>
      <c r="B3268">
        <v>1</v>
      </c>
    </row>
    <row r="3269" spans="1:2">
      <c r="A3269" t="s">
        <v>2645</v>
      </c>
      <c r="B3269">
        <v>1</v>
      </c>
    </row>
    <row r="3270" spans="1:2">
      <c r="A3270" t="s">
        <v>2652</v>
      </c>
      <c r="B3270">
        <v>1</v>
      </c>
    </row>
    <row r="3271" spans="1:2">
      <c r="A3271" t="s">
        <v>2755</v>
      </c>
      <c r="B3271">
        <v>1</v>
      </c>
    </row>
    <row r="3272" spans="1:2">
      <c r="A3272" t="s">
        <v>2808</v>
      </c>
      <c r="B3272">
        <v>1</v>
      </c>
    </row>
    <row r="3273" spans="1:2">
      <c r="A3273" t="s">
        <v>2810</v>
      </c>
      <c r="B3273">
        <v>1</v>
      </c>
    </row>
    <row r="3274" spans="1:2">
      <c r="A3274" t="s">
        <v>2813</v>
      </c>
      <c r="B3274">
        <v>1</v>
      </c>
    </row>
    <row r="3275" spans="1:2">
      <c r="A3275" t="s">
        <v>2818</v>
      </c>
      <c r="B3275">
        <v>1</v>
      </c>
    </row>
    <row r="3276" spans="1:2">
      <c r="A3276" t="s">
        <v>2821</v>
      </c>
      <c r="B3276">
        <v>1</v>
      </c>
    </row>
    <row r="3277" spans="1:2">
      <c r="A3277" t="s">
        <v>2825</v>
      </c>
      <c r="B3277">
        <v>1</v>
      </c>
    </row>
    <row r="3278" spans="1:2">
      <c r="A3278" t="s">
        <v>2829</v>
      </c>
      <c r="B3278">
        <v>1</v>
      </c>
    </row>
    <row r="3279" spans="1:2">
      <c r="A3279" t="s">
        <v>2832</v>
      </c>
      <c r="B3279">
        <v>1</v>
      </c>
    </row>
    <row r="3280" spans="1:2">
      <c r="A3280" t="s">
        <v>2835</v>
      </c>
      <c r="B3280">
        <v>1</v>
      </c>
    </row>
    <row r="3281" spans="1:2">
      <c r="A3281" t="s">
        <v>2891</v>
      </c>
      <c r="B3281">
        <v>1</v>
      </c>
    </row>
    <row r="3282" spans="1:2">
      <c r="A3282" t="s">
        <v>2895</v>
      </c>
      <c r="B3282">
        <v>1</v>
      </c>
    </row>
    <row r="3283" spans="1:2">
      <c r="A3283" t="s">
        <v>2792</v>
      </c>
      <c r="B3283">
        <v>1</v>
      </c>
    </row>
    <row r="3284" spans="1:2">
      <c r="A3284" t="s">
        <v>2788</v>
      </c>
      <c r="B3284">
        <v>1</v>
      </c>
    </row>
    <row r="3285" spans="1:2">
      <c r="A3285" t="s">
        <v>2786</v>
      </c>
      <c r="B3285">
        <v>1</v>
      </c>
    </row>
    <row r="3286" spans="1:2">
      <c r="A3286" t="s">
        <v>2781</v>
      </c>
      <c r="B3286">
        <v>1</v>
      </c>
    </row>
    <row r="3287" spans="1:2">
      <c r="A3287" t="s">
        <v>2777</v>
      </c>
      <c r="B3287">
        <v>1</v>
      </c>
    </row>
    <row r="3288" spans="1:2">
      <c r="A3288" t="s">
        <v>2774</v>
      </c>
      <c r="B3288">
        <v>1</v>
      </c>
    </row>
    <row r="3289" spans="1:2">
      <c r="A3289" t="s">
        <v>2771</v>
      </c>
      <c r="B3289">
        <v>1</v>
      </c>
    </row>
    <row r="3290" spans="1:2">
      <c r="A3290" t="s">
        <v>2767</v>
      </c>
      <c r="B3290">
        <v>1</v>
      </c>
    </row>
    <row r="3291" spans="1:2">
      <c r="A3291" t="s">
        <v>2764</v>
      </c>
      <c r="B3291">
        <v>1</v>
      </c>
    </row>
    <row r="3292" spans="1:2">
      <c r="A3292" t="s">
        <v>2762</v>
      </c>
      <c r="B3292">
        <v>1</v>
      </c>
    </row>
    <row r="3293" spans="1:2">
      <c r="A3293" t="s">
        <v>2887</v>
      </c>
      <c r="B3293">
        <v>1</v>
      </c>
    </row>
    <row r="3294" spans="1:2">
      <c r="A3294" t="s">
        <v>2758</v>
      </c>
      <c r="B3294">
        <v>1</v>
      </c>
    </row>
    <row r="3295" spans="1:2">
      <c r="A3295" t="s">
        <v>2722</v>
      </c>
      <c r="B3295">
        <v>1</v>
      </c>
    </row>
    <row r="3296" spans="1:2">
      <c r="A3296" t="s">
        <v>2726</v>
      </c>
      <c r="B3296">
        <v>1</v>
      </c>
    </row>
    <row r="3297" spans="1:2">
      <c r="A3297" t="s">
        <v>2730</v>
      </c>
      <c r="B3297">
        <v>1</v>
      </c>
    </row>
    <row r="3298" spans="1:2">
      <c r="A3298" t="s">
        <v>2732</v>
      </c>
      <c r="B3298">
        <v>1</v>
      </c>
    </row>
    <row r="3299" spans="1:2">
      <c r="A3299" t="s">
        <v>2737</v>
      </c>
      <c r="B3299">
        <v>1</v>
      </c>
    </row>
    <row r="3300" spans="1:2">
      <c r="A3300" t="s">
        <v>2741</v>
      </c>
      <c r="B3300">
        <v>1</v>
      </c>
    </row>
    <row r="3301" spans="1:2">
      <c r="A3301" t="s">
        <v>2745</v>
      </c>
      <c r="B3301">
        <v>1</v>
      </c>
    </row>
    <row r="3302" spans="1:2">
      <c r="A3302" t="s">
        <v>2751</v>
      </c>
      <c r="B3302">
        <v>1</v>
      </c>
    </row>
    <row r="3303" spans="1:2">
      <c r="A3303" t="s">
        <v>2799</v>
      </c>
      <c r="B3303">
        <v>1</v>
      </c>
    </row>
    <row r="3304" spans="1:2">
      <c r="A3304" t="s">
        <v>2843</v>
      </c>
      <c r="B3304">
        <v>1</v>
      </c>
    </row>
    <row r="3305" spans="1:2">
      <c r="A3305" t="s">
        <v>2806</v>
      </c>
      <c r="B3305">
        <v>1</v>
      </c>
    </row>
    <row r="3306" spans="1:2">
      <c r="A3306" t="s">
        <v>2882</v>
      </c>
      <c r="B3306">
        <v>1</v>
      </c>
    </row>
    <row r="3307" spans="1:2">
      <c r="A3307" t="s">
        <v>2879</v>
      </c>
      <c r="B3307">
        <v>1</v>
      </c>
    </row>
    <row r="3308" spans="1:2">
      <c r="A3308" t="s">
        <v>2875</v>
      </c>
      <c r="B3308">
        <v>1</v>
      </c>
    </row>
    <row r="3309" spans="1:2">
      <c r="A3309" t="s">
        <v>2874</v>
      </c>
      <c r="B3309">
        <v>1</v>
      </c>
    </row>
    <row r="3310" spans="1:2">
      <c r="A3310" t="s">
        <v>2870</v>
      </c>
      <c r="B3310">
        <v>1</v>
      </c>
    </row>
    <row r="3311" spans="1:2">
      <c r="A3311" t="s">
        <v>2866</v>
      </c>
      <c r="B3311">
        <v>1</v>
      </c>
    </row>
    <row r="3312" spans="1:2">
      <c r="A3312" t="s">
        <v>2862</v>
      </c>
      <c r="B3312">
        <v>1</v>
      </c>
    </row>
    <row r="3313" spans="1:2">
      <c r="A3313" t="s">
        <v>2859</v>
      </c>
      <c r="B3313">
        <v>1</v>
      </c>
    </row>
    <row r="3314" spans="1:2">
      <c r="A3314" t="s">
        <v>2802</v>
      </c>
      <c r="B3314">
        <v>1</v>
      </c>
    </row>
    <row r="3315" spans="1:2">
      <c r="A3315" t="s">
        <v>2854</v>
      </c>
      <c r="B3315">
        <v>1</v>
      </c>
    </row>
    <row r="3316" spans="1:2">
      <c r="A3316" t="s">
        <v>2851</v>
      </c>
      <c r="B3316">
        <v>1</v>
      </c>
    </row>
    <row r="3317" spans="1:2">
      <c r="A3317" t="s">
        <v>2884</v>
      </c>
      <c r="B3317">
        <v>1</v>
      </c>
    </row>
    <row r="3318" spans="1:2">
      <c r="A3318" t="s">
        <v>2847</v>
      </c>
      <c r="B3318">
        <v>1</v>
      </c>
    </row>
    <row r="3319" spans="1:2">
      <c r="A3319" t="s">
        <v>2840</v>
      </c>
      <c r="B3319">
        <v>1</v>
      </c>
    </row>
    <row r="3320" spans="1:2">
      <c r="A3320" t="s">
        <v>2967</v>
      </c>
      <c r="B3320">
        <v>1</v>
      </c>
    </row>
    <row r="3321" spans="1:2">
      <c r="A3321" t="s">
        <v>2974</v>
      </c>
      <c r="B3321">
        <v>1</v>
      </c>
    </row>
    <row r="3322" spans="1:2">
      <c r="A3322" t="s">
        <v>2971</v>
      </c>
      <c r="B3322">
        <v>1</v>
      </c>
    </row>
    <row r="3323" spans="1:2">
      <c r="A3323" t="s">
        <v>2982</v>
      </c>
      <c r="B3323">
        <v>1</v>
      </c>
    </row>
    <row r="3324" spans="1:2">
      <c r="A3324" t="s">
        <v>2977</v>
      </c>
      <c r="B3324">
        <v>1</v>
      </c>
    </row>
    <row r="3325" spans="1:2">
      <c r="A3325" t="s">
        <v>2978</v>
      </c>
      <c r="B3325">
        <v>1</v>
      </c>
    </row>
    <row r="3326" spans="1:2">
      <c r="A3326" t="s">
        <v>3311</v>
      </c>
      <c r="B3326">
        <v>1</v>
      </c>
    </row>
    <row r="3327" spans="1:2">
      <c r="A3327" t="s">
        <v>3315</v>
      </c>
      <c r="B3327">
        <v>1</v>
      </c>
    </row>
    <row r="3328" spans="1:2">
      <c r="A3328" t="s">
        <v>3322</v>
      </c>
      <c r="B3328">
        <v>1</v>
      </c>
    </row>
    <row r="3329" spans="1:2">
      <c r="A3329" t="s">
        <v>3327</v>
      </c>
      <c r="B3329">
        <v>1</v>
      </c>
    </row>
    <row r="3330" spans="1:2">
      <c r="A3330" t="s">
        <v>3330</v>
      </c>
      <c r="B3330">
        <v>1</v>
      </c>
    </row>
    <row r="3331" spans="1:2">
      <c r="A3331" t="s">
        <v>3334</v>
      </c>
      <c r="B3331">
        <v>1</v>
      </c>
    </row>
    <row r="3332" spans="1:2">
      <c r="A3332" t="s">
        <v>3319</v>
      </c>
      <c r="B3332">
        <v>1</v>
      </c>
    </row>
    <row r="3333" spans="1:2">
      <c r="A3333" t="s">
        <v>3341</v>
      </c>
      <c r="B3333">
        <v>1</v>
      </c>
    </row>
    <row r="3334" spans="1:2">
      <c r="A3334" t="s">
        <v>3360</v>
      </c>
      <c r="B3334">
        <v>1</v>
      </c>
    </row>
    <row r="3335" spans="1:2">
      <c r="A3335" t="s">
        <v>3364</v>
      </c>
      <c r="B3335">
        <v>1</v>
      </c>
    </row>
    <row r="3336" spans="1:2">
      <c r="A3336" t="s">
        <v>3357</v>
      </c>
      <c r="B3336">
        <v>1</v>
      </c>
    </row>
    <row r="3337" spans="1:2">
      <c r="A3337" t="s">
        <v>3353</v>
      </c>
      <c r="B3337">
        <v>1</v>
      </c>
    </row>
    <row r="3338" spans="1:2">
      <c r="A3338" t="s">
        <v>3399</v>
      </c>
      <c r="B3338">
        <v>1</v>
      </c>
    </row>
    <row r="3339" spans="1:2">
      <c r="A3339" t="s">
        <v>3394</v>
      </c>
      <c r="B3339">
        <v>1</v>
      </c>
    </row>
    <row r="3340" spans="1:2">
      <c r="A3340" t="s">
        <v>3383</v>
      </c>
      <c r="B3340">
        <v>1</v>
      </c>
    </row>
    <row r="3341" spans="1:2">
      <c r="A3341" t="s">
        <v>3371</v>
      </c>
      <c r="B3341">
        <v>1</v>
      </c>
    </row>
    <row r="3342" spans="1:2">
      <c r="A3342" t="s">
        <v>3396</v>
      </c>
      <c r="B3342">
        <v>1</v>
      </c>
    </row>
    <row r="3343" spans="1:2">
      <c r="A3343" t="s">
        <v>3375</v>
      </c>
      <c r="B3343">
        <v>1</v>
      </c>
    </row>
    <row r="3344" spans="1:2">
      <c r="A3344" t="s">
        <v>3390</v>
      </c>
      <c r="B3344">
        <v>1</v>
      </c>
    </row>
    <row r="3345" spans="1:2">
      <c r="A3345" t="s">
        <v>3380</v>
      </c>
      <c r="B3345">
        <v>1</v>
      </c>
    </row>
    <row r="3346" spans="1:2">
      <c r="A3346" t="s">
        <v>3378</v>
      </c>
      <c r="B3346">
        <v>1</v>
      </c>
    </row>
    <row r="3347" spans="1:2">
      <c r="A3347" t="s">
        <v>3385</v>
      </c>
      <c r="B3347">
        <v>1</v>
      </c>
    </row>
    <row r="3348" spans="1:2">
      <c r="A3348" t="s">
        <v>3387</v>
      </c>
      <c r="B3348">
        <v>1</v>
      </c>
    </row>
    <row r="3349" spans="1:2">
      <c r="A3349" t="s">
        <v>3496</v>
      </c>
      <c r="B3349">
        <v>1</v>
      </c>
    </row>
    <row r="3350" spans="1:2">
      <c r="A3350" t="s">
        <v>3494</v>
      </c>
      <c r="B3350">
        <v>1</v>
      </c>
    </row>
    <row r="3351" spans="1:2">
      <c r="A3351" t="s">
        <v>3522</v>
      </c>
      <c r="B3351">
        <v>1</v>
      </c>
    </row>
    <row r="3352" spans="1:2">
      <c r="A3352" t="s">
        <v>3501</v>
      </c>
      <c r="B3352">
        <v>1</v>
      </c>
    </row>
    <row r="3353" spans="1:2">
      <c r="A3353" t="s">
        <v>3500</v>
      </c>
      <c r="B3353">
        <v>1</v>
      </c>
    </row>
    <row r="3354" spans="1:2">
      <c r="A3354" t="s">
        <v>3505</v>
      </c>
      <c r="B3354">
        <v>1</v>
      </c>
    </row>
    <row r="3355" spans="1:2">
      <c r="A3355" t="s">
        <v>3508</v>
      </c>
      <c r="B3355">
        <v>1</v>
      </c>
    </row>
    <row r="3356" spans="1:2">
      <c r="A3356" t="s">
        <v>3511</v>
      </c>
      <c r="B3356">
        <v>1</v>
      </c>
    </row>
    <row r="3357" spans="1:2">
      <c r="A3357" t="s">
        <v>3513</v>
      </c>
      <c r="B3357">
        <v>1</v>
      </c>
    </row>
    <row r="3358" spans="1:2">
      <c r="A3358" t="s">
        <v>3516</v>
      </c>
      <c r="B3358">
        <v>1</v>
      </c>
    </row>
    <row r="3359" spans="1:2">
      <c r="A3359" t="s">
        <v>3519</v>
      </c>
      <c r="B3359">
        <v>1</v>
      </c>
    </row>
    <row r="3360" spans="1:2">
      <c r="A3360" t="s">
        <v>3524</v>
      </c>
      <c r="B3360">
        <v>1</v>
      </c>
    </row>
    <row r="3361" spans="1:2">
      <c r="A3361" t="s">
        <v>3691</v>
      </c>
      <c r="B3361">
        <v>1</v>
      </c>
    </row>
    <row r="3362" spans="1:2">
      <c r="A3362" t="s">
        <v>3695</v>
      </c>
      <c r="B3362">
        <v>1</v>
      </c>
    </row>
    <row r="3363" spans="1:2">
      <c r="A3363" t="s">
        <v>3697</v>
      </c>
      <c r="B3363">
        <v>1</v>
      </c>
    </row>
    <row r="3364" spans="1:2">
      <c r="A3364" t="s">
        <v>3699</v>
      </c>
      <c r="B3364">
        <v>1</v>
      </c>
    </row>
    <row r="3365" spans="1:2">
      <c r="A3365" t="s">
        <v>3702</v>
      </c>
      <c r="B3365">
        <v>1</v>
      </c>
    </row>
    <row r="3366" spans="1:2">
      <c r="A3366" t="s">
        <v>3705</v>
      </c>
      <c r="B3366">
        <v>1</v>
      </c>
    </row>
    <row r="3367" spans="1:2">
      <c r="A3367" t="s">
        <v>3708</v>
      </c>
      <c r="B3367">
        <v>1</v>
      </c>
    </row>
    <row r="3368" spans="1:2">
      <c r="A3368" t="s">
        <v>3712</v>
      </c>
      <c r="B3368">
        <v>1</v>
      </c>
    </row>
    <row r="3369" spans="1:2">
      <c r="A3369" t="s">
        <v>3726</v>
      </c>
      <c r="B3369">
        <v>1</v>
      </c>
    </row>
    <row r="3370" spans="1:2">
      <c r="A3370" t="s">
        <v>3670</v>
      </c>
      <c r="B3370">
        <v>1</v>
      </c>
    </row>
    <row r="3371" spans="1:2">
      <c r="A3371" t="s">
        <v>3632</v>
      </c>
      <c r="B3371">
        <v>1</v>
      </c>
    </row>
    <row r="3372" spans="1:2">
      <c r="A3372" t="s">
        <v>3630</v>
      </c>
      <c r="B3372">
        <v>1</v>
      </c>
    </row>
    <row r="3373" spans="1:2">
      <c r="A3373" t="s">
        <v>3626</v>
      </c>
      <c r="B3373">
        <v>1</v>
      </c>
    </row>
    <row r="3374" spans="1:2">
      <c r="A3374" t="s">
        <v>3623</v>
      </c>
      <c r="B3374">
        <v>1</v>
      </c>
    </row>
    <row r="3375" spans="1:2">
      <c r="A3375" t="s">
        <v>3619</v>
      </c>
      <c r="B3375">
        <v>1</v>
      </c>
    </row>
    <row r="3376" spans="1:2">
      <c r="A3376" t="s">
        <v>3615</v>
      </c>
      <c r="B3376">
        <v>1</v>
      </c>
    </row>
    <row r="3377" spans="1:2">
      <c r="A3377" t="s">
        <v>3611</v>
      </c>
      <c r="B3377">
        <v>1</v>
      </c>
    </row>
    <row r="3378" spans="1:2">
      <c r="A3378" t="s">
        <v>3607</v>
      </c>
      <c r="B3378">
        <v>1</v>
      </c>
    </row>
    <row r="3379" spans="1:2">
      <c r="A3379" t="s">
        <v>3603</v>
      </c>
      <c r="B3379">
        <v>1</v>
      </c>
    </row>
    <row r="3380" spans="1:2">
      <c r="A3380" t="s">
        <v>3599</v>
      </c>
      <c r="B3380">
        <v>1</v>
      </c>
    </row>
    <row r="3381" spans="1:2">
      <c r="A3381" t="s">
        <v>3595</v>
      </c>
      <c r="B3381">
        <v>1</v>
      </c>
    </row>
    <row r="3382" spans="1:2">
      <c r="A3382" t="s">
        <v>3591</v>
      </c>
      <c r="B3382">
        <v>1</v>
      </c>
    </row>
    <row r="3383" spans="1:2">
      <c r="A3383" t="s">
        <v>3588</v>
      </c>
      <c r="B3383">
        <v>1</v>
      </c>
    </row>
    <row r="3384" spans="1:2">
      <c r="A3384" t="s">
        <v>3581</v>
      </c>
      <c r="B3384">
        <v>1</v>
      </c>
    </row>
    <row r="3385" spans="1:2">
      <c r="A3385" t="s">
        <v>3578</v>
      </c>
      <c r="B3385">
        <v>1</v>
      </c>
    </row>
    <row r="3386" spans="1:2">
      <c r="A3386" t="s">
        <v>3573</v>
      </c>
      <c r="B3386">
        <v>1</v>
      </c>
    </row>
    <row r="3387" spans="1:2">
      <c r="A3387" t="s">
        <v>3569</v>
      </c>
      <c r="B3387">
        <v>1</v>
      </c>
    </row>
    <row r="3388" spans="1:2">
      <c r="A3388" t="s">
        <v>3565</v>
      </c>
      <c r="B3388">
        <v>1</v>
      </c>
    </row>
    <row r="3389" spans="1:2">
      <c r="A3389" t="s">
        <v>3560</v>
      </c>
      <c r="B3389">
        <v>1</v>
      </c>
    </row>
    <row r="3390" spans="1:2">
      <c r="A3390" t="s">
        <v>3558</v>
      </c>
      <c r="B3390">
        <v>1</v>
      </c>
    </row>
    <row r="3391" spans="1:2">
      <c r="A3391" t="s">
        <v>3555</v>
      </c>
      <c r="B3391">
        <v>1</v>
      </c>
    </row>
    <row r="3392" spans="1:2">
      <c r="A3392" t="s">
        <v>3551</v>
      </c>
      <c r="B3392">
        <v>1</v>
      </c>
    </row>
    <row r="3393" spans="1:2">
      <c r="A3393" t="s">
        <v>3635</v>
      </c>
      <c r="B3393">
        <v>1</v>
      </c>
    </row>
    <row r="3394" spans="1:2">
      <c r="A3394" t="s">
        <v>3642</v>
      </c>
      <c r="B3394">
        <v>1</v>
      </c>
    </row>
    <row r="3395" spans="1:2">
      <c r="A3395" t="s">
        <v>3722</v>
      </c>
      <c r="B3395">
        <v>1</v>
      </c>
    </row>
    <row r="3396" spans="1:2">
      <c r="A3396" t="s">
        <v>3646</v>
      </c>
      <c r="B3396">
        <v>1</v>
      </c>
    </row>
    <row r="3397" spans="1:2">
      <c r="A3397" t="s">
        <v>3720</v>
      </c>
      <c r="B3397">
        <v>1</v>
      </c>
    </row>
    <row r="3398" spans="1:2">
      <c r="A3398" t="s">
        <v>3715</v>
      </c>
      <c r="B3398">
        <v>1</v>
      </c>
    </row>
    <row r="3399" spans="1:2">
      <c r="A3399" t="s">
        <v>3687</v>
      </c>
      <c r="B3399">
        <v>1</v>
      </c>
    </row>
    <row r="3400" spans="1:2">
      <c r="A3400" t="s">
        <v>3684</v>
      </c>
      <c r="B3400">
        <v>1</v>
      </c>
    </row>
    <row r="3401" spans="1:2">
      <c r="A3401" t="s">
        <v>3680</v>
      </c>
      <c r="B3401">
        <v>1</v>
      </c>
    </row>
    <row r="3402" spans="1:2">
      <c r="A3402" t="s">
        <v>3678</v>
      </c>
      <c r="B3402">
        <v>1</v>
      </c>
    </row>
    <row r="3403" spans="1:2">
      <c r="A3403" t="s">
        <v>3674</v>
      </c>
      <c r="B3403">
        <v>1</v>
      </c>
    </row>
    <row r="3404" spans="1:2">
      <c r="A3404" t="s">
        <v>3543</v>
      </c>
      <c r="B3404">
        <v>1</v>
      </c>
    </row>
    <row r="3405" spans="1:2">
      <c r="A3405" t="s">
        <v>3668</v>
      </c>
      <c r="B3405">
        <v>1</v>
      </c>
    </row>
    <row r="3406" spans="1:2">
      <c r="A3406" t="s">
        <v>3665</v>
      </c>
      <c r="B3406">
        <v>1</v>
      </c>
    </row>
    <row r="3407" spans="1:2">
      <c r="A3407" t="s">
        <v>3661</v>
      </c>
      <c r="B3407">
        <v>1</v>
      </c>
    </row>
    <row r="3408" spans="1:2">
      <c r="A3408" t="s">
        <v>3659</v>
      </c>
      <c r="B3408">
        <v>1</v>
      </c>
    </row>
    <row r="3409" spans="1:2">
      <c r="A3409" t="s">
        <v>3655</v>
      </c>
      <c r="B3409">
        <v>1</v>
      </c>
    </row>
    <row r="3410" spans="1:2">
      <c r="A3410" t="s">
        <v>3652</v>
      </c>
      <c r="B3410">
        <v>1</v>
      </c>
    </row>
    <row r="3411" spans="1:2">
      <c r="A3411" t="s">
        <v>3650</v>
      </c>
      <c r="B3411">
        <v>1</v>
      </c>
    </row>
    <row r="3412" spans="1:2">
      <c r="A3412" t="s">
        <v>3547</v>
      </c>
      <c r="B3412">
        <v>1</v>
      </c>
    </row>
    <row r="3413" spans="1:2">
      <c r="A3413" t="s">
        <v>3639</v>
      </c>
      <c r="B3413">
        <v>1</v>
      </c>
    </row>
    <row r="3414" spans="1:2">
      <c r="A3414" t="s">
        <v>4102</v>
      </c>
      <c r="B3414">
        <v>1</v>
      </c>
    </row>
    <row r="3415" spans="1:2">
      <c r="A3415" t="s">
        <v>4099</v>
      </c>
      <c r="B3415">
        <v>1</v>
      </c>
    </row>
    <row r="3416" spans="1:2">
      <c r="A3416" t="s">
        <v>4095</v>
      </c>
      <c r="B3416">
        <v>1</v>
      </c>
    </row>
    <row r="3417" spans="1:2">
      <c r="A3417" t="s">
        <v>4091</v>
      </c>
      <c r="B3417">
        <v>1</v>
      </c>
    </row>
    <row r="3418" spans="1:2">
      <c r="A3418" t="s">
        <v>4087</v>
      </c>
      <c r="B3418">
        <v>1</v>
      </c>
    </row>
    <row r="3419" spans="1:2">
      <c r="A3419" t="s">
        <v>4115</v>
      </c>
      <c r="B3419">
        <v>1</v>
      </c>
    </row>
    <row r="3420" spans="1:2">
      <c r="A3420" t="s">
        <v>4082</v>
      </c>
      <c r="B3420">
        <v>1</v>
      </c>
    </row>
    <row r="3421" spans="1:2">
      <c r="A3421" t="s">
        <v>4077</v>
      </c>
      <c r="B3421">
        <v>1</v>
      </c>
    </row>
    <row r="3422" spans="1:2">
      <c r="A3422" t="s">
        <v>4074</v>
      </c>
      <c r="B3422">
        <v>1</v>
      </c>
    </row>
    <row r="3423" spans="1:2">
      <c r="A3423" t="s">
        <v>4071</v>
      </c>
      <c r="B3423">
        <v>1</v>
      </c>
    </row>
    <row r="3424" spans="1:2">
      <c r="A3424" t="s">
        <v>4068</v>
      </c>
      <c r="B3424">
        <v>1</v>
      </c>
    </row>
    <row r="3425" spans="1:2">
      <c r="A3425" t="s">
        <v>4065</v>
      </c>
      <c r="B3425">
        <v>1</v>
      </c>
    </row>
    <row r="3426" spans="1:2">
      <c r="A3426" t="s">
        <v>4123</v>
      </c>
      <c r="B3426">
        <v>1</v>
      </c>
    </row>
    <row r="3427" spans="1:2">
      <c r="A3427" t="s">
        <v>4062</v>
      </c>
      <c r="B3427">
        <v>1</v>
      </c>
    </row>
    <row r="3428" spans="1:2">
      <c r="A3428" t="s">
        <v>4058</v>
      </c>
      <c r="B3428">
        <v>1</v>
      </c>
    </row>
    <row r="3429" spans="1:2">
      <c r="A3429" t="s">
        <v>4055</v>
      </c>
      <c r="B3429">
        <v>1</v>
      </c>
    </row>
    <row r="3430" spans="1:2">
      <c r="A3430" t="s">
        <v>4052</v>
      </c>
      <c r="B3430">
        <v>1</v>
      </c>
    </row>
    <row r="3431" spans="1:2">
      <c r="A3431" t="s">
        <v>4049</v>
      </c>
      <c r="B3431">
        <v>1</v>
      </c>
    </row>
    <row r="3432" spans="1:2">
      <c r="A3432" t="s">
        <v>4079</v>
      </c>
      <c r="B3432">
        <v>1</v>
      </c>
    </row>
    <row r="3433" spans="1:2">
      <c r="A3433" t="s">
        <v>4120</v>
      </c>
      <c r="B3433">
        <v>1</v>
      </c>
    </row>
    <row r="3434" spans="1:2">
      <c r="A3434" t="s">
        <v>4165</v>
      </c>
      <c r="B3434">
        <v>1</v>
      </c>
    </row>
    <row r="3435" spans="1:2">
      <c r="A3435" t="s">
        <v>4194</v>
      </c>
      <c r="B3435">
        <v>1</v>
      </c>
    </row>
    <row r="3436" spans="1:2">
      <c r="A3436" t="s">
        <v>4197</v>
      </c>
      <c r="B3436">
        <v>1</v>
      </c>
    </row>
    <row r="3437" spans="1:2">
      <c r="A3437" t="s">
        <v>4200</v>
      </c>
      <c r="B3437">
        <v>1</v>
      </c>
    </row>
    <row r="3438" spans="1:2">
      <c r="A3438" t="s">
        <v>4192</v>
      </c>
      <c r="B3438">
        <v>1</v>
      </c>
    </row>
    <row r="3439" spans="1:2">
      <c r="A3439" t="s">
        <v>4186</v>
      </c>
      <c r="B3439">
        <v>1</v>
      </c>
    </row>
    <row r="3440" spans="1:2">
      <c r="A3440" t="s">
        <v>4153</v>
      </c>
      <c r="B3440">
        <v>1</v>
      </c>
    </row>
    <row r="3441" spans="1:2">
      <c r="A3441" t="s">
        <v>4130</v>
      </c>
      <c r="B3441">
        <v>1</v>
      </c>
    </row>
    <row r="3442" spans="1:2">
      <c r="A3442" t="s">
        <v>4133</v>
      </c>
      <c r="B3442">
        <v>1</v>
      </c>
    </row>
    <row r="3443" spans="1:2">
      <c r="A3443" t="s">
        <v>4139</v>
      </c>
      <c r="B3443">
        <v>1</v>
      </c>
    </row>
    <row r="3444" spans="1:2">
      <c r="A3444" t="s">
        <v>4142</v>
      </c>
      <c r="B3444">
        <v>1</v>
      </c>
    </row>
    <row r="3445" spans="1:2">
      <c r="A3445" t="s">
        <v>4149</v>
      </c>
      <c r="B3445">
        <v>1</v>
      </c>
    </row>
    <row r="3446" spans="1:2">
      <c r="A3446" t="s">
        <v>4156</v>
      </c>
      <c r="B3446">
        <v>1</v>
      </c>
    </row>
    <row r="3447" spans="1:2">
      <c r="A3447" t="s">
        <v>4182</v>
      </c>
      <c r="B3447">
        <v>1</v>
      </c>
    </row>
    <row r="3448" spans="1:2">
      <c r="A3448" t="s">
        <v>4160</v>
      </c>
      <c r="B3448">
        <v>1</v>
      </c>
    </row>
    <row r="3449" spans="1:2">
      <c r="A3449" t="s">
        <v>4189</v>
      </c>
      <c r="B3449">
        <v>1</v>
      </c>
    </row>
    <row r="3450" spans="1:2">
      <c r="A3450" t="s">
        <v>4172</v>
      </c>
      <c r="B3450">
        <v>1</v>
      </c>
    </row>
    <row r="3451" spans="1:2">
      <c r="A3451" t="s">
        <v>4176</v>
      </c>
      <c r="B3451">
        <v>1</v>
      </c>
    </row>
    <row r="3452" spans="1:2">
      <c r="A3452" t="s">
        <v>4180</v>
      </c>
      <c r="B3452">
        <v>1</v>
      </c>
    </row>
    <row r="3453" spans="1:2">
      <c r="A3453" t="s">
        <v>4044</v>
      </c>
      <c r="B3453">
        <v>1</v>
      </c>
    </row>
    <row r="3454" spans="1:2">
      <c r="A3454" t="s">
        <v>3732</v>
      </c>
      <c r="B3454">
        <v>1</v>
      </c>
    </row>
    <row r="3455" spans="1:2">
      <c r="A3455" t="s">
        <v>4039</v>
      </c>
      <c r="B3455">
        <v>1</v>
      </c>
    </row>
    <row r="3456" spans="1:2">
      <c r="A3456" t="s">
        <v>3901</v>
      </c>
      <c r="B3456">
        <v>1</v>
      </c>
    </row>
    <row r="3457" spans="1:2">
      <c r="A3457" t="s">
        <v>3827</v>
      </c>
      <c r="B3457">
        <v>1</v>
      </c>
    </row>
    <row r="3458" spans="1:2">
      <c r="A3458" t="s">
        <v>3829</v>
      </c>
      <c r="B3458">
        <v>1</v>
      </c>
    </row>
    <row r="3459" spans="1:2">
      <c r="A3459" t="s">
        <v>3831</v>
      </c>
      <c r="B3459">
        <v>1</v>
      </c>
    </row>
    <row r="3460" spans="1:2">
      <c r="A3460" t="s">
        <v>3834</v>
      </c>
      <c r="B3460">
        <v>1</v>
      </c>
    </row>
    <row r="3461" spans="1:2">
      <c r="A3461" t="s">
        <v>3837</v>
      </c>
      <c r="B3461">
        <v>1</v>
      </c>
    </row>
    <row r="3462" spans="1:2">
      <c r="A3462" t="s">
        <v>3840</v>
      </c>
      <c r="B3462">
        <v>1</v>
      </c>
    </row>
    <row r="3463" spans="1:2">
      <c r="A3463" t="s">
        <v>3843</v>
      </c>
      <c r="B3463">
        <v>1</v>
      </c>
    </row>
    <row r="3464" spans="1:2">
      <c r="A3464" t="s">
        <v>3846</v>
      </c>
      <c r="B3464">
        <v>1</v>
      </c>
    </row>
    <row r="3465" spans="1:2">
      <c r="A3465" t="s">
        <v>3860</v>
      </c>
      <c r="B3465">
        <v>1</v>
      </c>
    </row>
    <row r="3466" spans="1:2">
      <c r="A3466" t="s">
        <v>3864</v>
      </c>
      <c r="B3466">
        <v>1</v>
      </c>
    </row>
    <row r="3467" spans="1:2">
      <c r="A3467" t="s">
        <v>3868</v>
      </c>
      <c r="B3467">
        <v>1</v>
      </c>
    </row>
    <row r="3468" spans="1:2">
      <c r="A3468" t="s">
        <v>3872</v>
      </c>
      <c r="B3468">
        <v>1</v>
      </c>
    </row>
    <row r="3469" spans="1:2">
      <c r="A3469" t="s">
        <v>3876</v>
      </c>
      <c r="B3469">
        <v>1</v>
      </c>
    </row>
    <row r="3470" spans="1:2">
      <c r="A3470" t="s">
        <v>3879</v>
      </c>
      <c r="B3470">
        <v>1</v>
      </c>
    </row>
    <row r="3471" spans="1:2">
      <c r="A3471" t="s">
        <v>3882</v>
      </c>
      <c r="B3471">
        <v>1</v>
      </c>
    </row>
    <row r="3472" spans="1:2">
      <c r="A3472" t="s">
        <v>3886</v>
      </c>
      <c r="B3472">
        <v>1</v>
      </c>
    </row>
    <row r="3473" spans="1:2">
      <c r="A3473" t="s">
        <v>3893</v>
      </c>
      <c r="B3473">
        <v>1</v>
      </c>
    </row>
    <row r="3474" spans="1:2">
      <c r="A3474" t="s">
        <v>3824</v>
      </c>
      <c r="B3474">
        <v>1</v>
      </c>
    </row>
    <row r="3475" spans="1:2">
      <c r="A3475" t="s">
        <v>3855</v>
      </c>
      <c r="B3475">
        <v>1</v>
      </c>
    </row>
    <row r="3476" spans="1:2">
      <c r="A3476" t="s">
        <v>3819</v>
      </c>
      <c r="B3476">
        <v>1</v>
      </c>
    </row>
    <row r="3477" spans="1:2">
      <c r="A3477" t="s">
        <v>3768</v>
      </c>
      <c r="B3477">
        <v>1</v>
      </c>
    </row>
    <row r="3478" spans="1:2">
      <c r="A3478" t="s">
        <v>3735</v>
      </c>
      <c r="B3478">
        <v>1</v>
      </c>
    </row>
    <row r="3479" spans="1:2">
      <c r="A3479" t="s">
        <v>3738</v>
      </c>
      <c r="B3479">
        <v>1</v>
      </c>
    </row>
    <row r="3480" spans="1:2">
      <c r="A3480" t="s">
        <v>3741</v>
      </c>
      <c r="B3480">
        <v>1</v>
      </c>
    </row>
    <row r="3481" spans="1:2">
      <c r="A3481" t="s">
        <v>3745</v>
      </c>
      <c r="B3481">
        <v>1</v>
      </c>
    </row>
    <row r="3482" spans="1:2">
      <c r="A3482" t="s">
        <v>3747</v>
      </c>
      <c r="B3482">
        <v>1</v>
      </c>
    </row>
    <row r="3483" spans="1:2">
      <c r="A3483" t="s">
        <v>3750</v>
      </c>
      <c r="B3483">
        <v>1</v>
      </c>
    </row>
    <row r="3484" spans="1:2">
      <c r="A3484" t="s">
        <v>3754</v>
      </c>
      <c r="B3484">
        <v>1</v>
      </c>
    </row>
    <row r="3485" spans="1:2">
      <c r="A3485" t="s">
        <v>3758</v>
      </c>
      <c r="B3485">
        <v>1</v>
      </c>
    </row>
    <row r="3486" spans="1:2">
      <c r="A3486" t="s">
        <v>3762</v>
      </c>
      <c r="B3486">
        <v>1</v>
      </c>
    </row>
    <row r="3487" spans="1:2">
      <c r="A3487" t="s">
        <v>3765</v>
      </c>
      <c r="B3487">
        <v>1</v>
      </c>
    </row>
    <row r="3488" spans="1:2">
      <c r="A3488" t="s">
        <v>3772</v>
      </c>
      <c r="B3488">
        <v>1</v>
      </c>
    </row>
    <row r="3489" spans="1:2">
      <c r="A3489" t="s">
        <v>3775</v>
      </c>
      <c r="B3489">
        <v>1</v>
      </c>
    </row>
    <row r="3490" spans="1:2">
      <c r="A3490" t="s">
        <v>3778</v>
      </c>
      <c r="B3490">
        <v>1</v>
      </c>
    </row>
    <row r="3491" spans="1:2">
      <c r="A3491" t="s">
        <v>3781</v>
      </c>
      <c r="B3491">
        <v>1</v>
      </c>
    </row>
    <row r="3492" spans="1:2">
      <c r="A3492" t="s">
        <v>3789</v>
      </c>
      <c r="B3492">
        <v>1</v>
      </c>
    </row>
    <row r="3493" spans="1:2">
      <c r="A3493" t="s">
        <v>3793</v>
      </c>
      <c r="B3493">
        <v>1</v>
      </c>
    </row>
    <row r="3494" spans="1:2">
      <c r="A3494" t="s">
        <v>3801</v>
      </c>
      <c r="B3494">
        <v>1</v>
      </c>
    </row>
    <row r="3495" spans="1:2">
      <c r="A3495" t="s">
        <v>3805</v>
      </c>
      <c r="B3495">
        <v>1</v>
      </c>
    </row>
    <row r="3496" spans="1:2">
      <c r="A3496" t="s">
        <v>3905</v>
      </c>
      <c r="B3496">
        <v>1</v>
      </c>
    </row>
    <row r="3497" spans="1:2">
      <c r="A3497" t="s">
        <v>3976</v>
      </c>
      <c r="B3497">
        <v>1</v>
      </c>
    </row>
    <row r="3498" spans="1:2">
      <c r="A3498" t="s">
        <v>1802</v>
      </c>
      <c r="B3498">
        <v>1</v>
      </c>
    </row>
    <row r="3499" spans="1:2">
      <c r="A3499" t="s">
        <v>3983</v>
      </c>
      <c r="B3499">
        <v>1</v>
      </c>
    </row>
    <row r="3500" spans="1:2">
      <c r="A3500" t="s">
        <v>3987</v>
      </c>
      <c r="B3500">
        <v>1</v>
      </c>
    </row>
    <row r="3501" spans="1:2">
      <c r="A3501" t="s">
        <v>3991</v>
      </c>
      <c r="B3501">
        <v>1</v>
      </c>
    </row>
    <row r="3502" spans="1:2">
      <c r="A3502" t="s">
        <v>3993</v>
      </c>
      <c r="B3502">
        <v>1</v>
      </c>
    </row>
    <row r="3503" spans="1:2">
      <c r="A3503" t="s">
        <v>3995</v>
      </c>
      <c r="B3503">
        <v>1</v>
      </c>
    </row>
    <row r="3504" spans="1:2">
      <c r="A3504" t="s">
        <v>3997</v>
      </c>
      <c r="B3504">
        <v>1</v>
      </c>
    </row>
    <row r="3505" spans="1:2">
      <c r="A3505" t="s">
        <v>3999</v>
      </c>
      <c r="B3505">
        <v>1</v>
      </c>
    </row>
    <row r="3506" spans="1:2">
      <c r="A3506" t="s">
        <v>4003</v>
      </c>
      <c r="B3506">
        <v>1</v>
      </c>
    </row>
    <row r="3507" spans="1:2">
      <c r="A3507" t="s">
        <v>4006</v>
      </c>
      <c r="B3507">
        <v>1</v>
      </c>
    </row>
    <row r="3508" spans="1:2">
      <c r="A3508" t="s">
        <v>4010</v>
      </c>
      <c r="B3508">
        <v>1</v>
      </c>
    </row>
    <row r="3509" spans="1:2">
      <c r="A3509" t="s">
        <v>4037</v>
      </c>
      <c r="B3509">
        <v>1</v>
      </c>
    </row>
    <row r="3510" spans="1:2">
      <c r="A3510" t="s">
        <v>4012</v>
      </c>
      <c r="B3510">
        <v>1</v>
      </c>
    </row>
    <row r="3511" spans="1:2">
      <c r="A3511" t="s">
        <v>4015</v>
      </c>
      <c r="B3511">
        <v>1</v>
      </c>
    </row>
    <row r="3512" spans="1:2">
      <c r="A3512" t="s">
        <v>4018</v>
      </c>
      <c r="B3512">
        <v>1</v>
      </c>
    </row>
    <row r="3513" spans="1:2">
      <c r="A3513" t="s">
        <v>4020</v>
      </c>
      <c r="B3513">
        <v>1</v>
      </c>
    </row>
    <row r="3514" spans="1:2">
      <c r="A3514" t="s">
        <v>4022</v>
      </c>
      <c r="B3514">
        <v>1</v>
      </c>
    </row>
    <row r="3515" spans="1:2">
      <c r="A3515" t="s">
        <v>4026</v>
      </c>
      <c r="B3515">
        <v>1</v>
      </c>
    </row>
    <row r="3516" spans="1:2">
      <c r="A3516" t="s">
        <v>4029</v>
      </c>
      <c r="B3516">
        <v>1</v>
      </c>
    </row>
    <row r="3517" spans="1:2">
      <c r="A3517" t="s">
        <v>4031</v>
      </c>
      <c r="B3517">
        <v>1</v>
      </c>
    </row>
    <row r="3518" spans="1:2">
      <c r="A3518" t="s">
        <v>3981</v>
      </c>
      <c r="B3518">
        <v>1</v>
      </c>
    </row>
    <row r="3519" spans="1:2">
      <c r="A3519" t="s">
        <v>4008</v>
      </c>
      <c r="B3519">
        <v>1</v>
      </c>
    </row>
    <row r="3520" spans="1:2">
      <c r="A3520" t="s">
        <v>3979</v>
      </c>
      <c r="B3520">
        <v>1</v>
      </c>
    </row>
    <row r="3521" spans="1:2">
      <c r="A3521" t="s">
        <v>3912</v>
      </c>
      <c r="B3521">
        <v>1</v>
      </c>
    </row>
    <row r="3522" spans="1:2">
      <c r="A3522" t="s">
        <v>3914</v>
      </c>
      <c r="B3522">
        <v>1</v>
      </c>
    </row>
    <row r="3523" spans="1:2">
      <c r="A3523" t="s">
        <v>3916</v>
      </c>
      <c r="B3523">
        <v>1</v>
      </c>
    </row>
    <row r="3524" spans="1:2">
      <c r="A3524" t="s">
        <v>3918</v>
      </c>
      <c r="B3524">
        <v>1</v>
      </c>
    </row>
    <row r="3525" spans="1:2">
      <c r="A3525" t="s">
        <v>3920</v>
      </c>
      <c r="B3525">
        <v>1</v>
      </c>
    </row>
    <row r="3526" spans="1:2">
      <c r="A3526" t="s">
        <v>3922</v>
      </c>
      <c r="B3526">
        <v>1</v>
      </c>
    </row>
    <row r="3527" spans="1:2">
      <c r="A3527" t="s">
        <v>3925</v>
      </c>
      <c r="B3527">
        <v>1</v>
      </c>
    </row>
    <row r="3528" spans="1:2">
      <c r="A3528" t="s">
        <v>3928</v>
      </c>
      <c r="B3528">
        <v>1</v>
      </c>
    </row>
    <row r="3529" spans="1:2">
      <c r="A3529" t="s">
        <v>3930</v>
      </c>
      <c r="B3529">
        <v>1</v>
      </c>
    </row>
    <row r="3530" spans="1:2">
      <c r="A3530" t="s">
        <v>3936</v>
      </c>
      <c r="B3530">
        <v>1</v>
      </c>
    </row>
    <row r="3531" spans="1:2">
      <c r="A3531" t="s">
        <v>3972</v>
      </c>
      <c r="B3531">
        <v>1</v>
      </c>
    </row>
    <row r="3532" spans="1:2">
      <c r="A3532" t="s">
        <v>3940</v>
      </c>
      <c r="B3532">
        <v>1</v>
      </c>
    </row>
    <row r="3533" spans="1:2">
      <c r="A3533" t="s">
        <v>3944</v>
      </c>
      <c r="B3533">
        <v>1</v>
      </c>
    </row>
    <row r="3534" spans="1:2">
      <c r="A3534" t="s">
        <v>3948</v>
      </c>
      <c r="B3534">
        <v>1</v>
      </c>
    </row>
    <row r="3535" spans="1:2">
      <c r="A3535" t="s">
        <v>3952</v>
      </c>
      <c r="B3535">
        <v>1</v>
      </c>
    </row>
    <row r="3536" spans="1:2">
      <c r="A3536" t="s">
        <v>3955</v>
      </c>
      <c r="B3536">
        <v>1</v>
      </c>
    </row>
    <row r="3537" spans="1:2">
      <c r="A3537" t="s">
        <v>3961</v>
      </c>
      <c r="B3537">
        <v>1</v>
      </c>
    </row>
    <row r="3538" spans="1:2">
      <c r="A3538" t="s">
        <v>3965</v>
      </c>
      <c r="B3538">
        <v>1</v>
      </c>
    </row>
    <row r="3539" spans="1:2">
      <c r="A3539" t="s">
        <v>3967</v>
      </c>
      <c r="B3539">
        <v>1</v>
      </c>
    </row>
    <row r="3540" spans="1:2">
      <c r="A3540" t="s">
        <v>3969</v>
      </c>
      <c r="B3540">
        <v>1</v>
      </c>
    </row>
    <row r="3541" spans="1:2">
      <c r="A3541" t="s">
        <v>3729</v>
      </c>
      <c r="B3541">
        <v>1</v>
      </c>
    </row>
    <row r="3542" spans="1:2">
      <c r="A3542" t="s">
        <v>4111</v>
      </c>
      <c r="B3542">
        <v>1</v>
      </c>
    </row>
    <row r="3543" spans="1:2">
      <c r="A3543" t="s">
        <v>3909</v>
      </c>
      <c r="B3543">
        <v>1</v>
      </c>
    </row>
    <row r="3544" spans="1:2">
      <c r="A3544" t="s">
        <v>4105</v>
      </c>
      <c r="B3544">
        <v>1</v>
      </c>
    </row>
    <row r="3545" spans="1:2">
      <c r="A3545" t="s">
        <v>4107</v>
      </c>
      <c r="B3545">
        <v>1</v>
      </c>
    </row>
    <row r="3546" spans="1:2">
      <c r="A3546" t="s">
        <v>4108</v>
      </c>
      <c r="B3546">
        <v>1</v>
      </c>
    </row>
    <row r="3547" spans="1:2">
      <c r="A3547" t="s">
        <v>4109</v>
      </c>
      <c r="B3547">
        <v>1</v>
      </c>
    </row>
    <row r="3548" spans="1:2">
      <c r="A3548" t="s">
        <v>4234</v>
      </c>
      <c r="B3548">
        <v>1</v>
      </c>
    </row>
    <row r="3549" spans="1:2">
      <c r="A3549" t="s">
        <v>4227</v>
      </c>
      <c r="B3549">
        <v>1</v>
      </c>
    </row>
    <row r="3550" spans="1:2">
      <c r="A3550" t="s">
        <v>4230</v>
      </c>
      <c r="B3550">
        <v>1</v>
      </c>
    </row>
    <row r="3551" spans="1:2">
      <c r="A3551" t="s">
        <v>4387</v>
      </c>
      <c r="B3551">
        <v>1</v>
      </c>
    </row>
    <row r="3552" spans="1:2">
      <c r="A3552" t="s">
        <v>4394</v>
      </c>
      <c r="B3552">
        <v>1</v>
      </c>
    </row>
    <row r="3553" spans="1:2">
      <c r="A3553" t="s">
        <v>4398</v>
      </c>
      <c r="B3553">
        <v>1</v>
      </c>
    </row>
    <row r="3554" spans="1:2">
      <c r="A3554" t="s">
        <v>4402</v>
      </c>
      <c r="B3554">
        <v>1</v>
      </c>
    </row>
    <row r="3555" spans="1:2">
      <c r="A3555" t="s">
        <v>4405</v>
      </c>
      <c r="B3555">
        <v>1</v>
      </c>
    </row>
    <row r="3556" spans="1:2">
      <c r="A3556" t="s">
        <v>4418</v>
      </c>
      <c r="B3556">
        <v>1</v>
      </c>
    </row>
    <row r="3557" spans="1:2">
      <c r="A3557" t="s">
        <v>4422</v>
      </c>
      <c r="B3557">
        <v>1</v>
      </c>
    </row>
    <row r="3558" spans="1:2">
      <c r="A3558" t="s">
        <v>4384</v>
      </c>
      <c r="B3558">
        <v>1</v>
      </c>
    </row>
    <row r="3559" spans="1:2">
      <c r="A3559" t="s">
        <v>4414</v>
      </c>
      <c r="B3559">
        <v>1</v>
      </c>
    </row>
    <row r="3560" spans="1:2">
      <c r="A3560" t="s">
        <v>4410</v>
      </c>
      <c r="B3560">
        <v>1</v>
      </c>
    </row>
    <row r="3561" spans="1:2">
      <c r="A3561" t="s">
        <v>4830</v>
      </c>
      <c r="B3561">
        <v>1</v>
      </c>
    </row>
    <row r="3562" spans="1:2">
      <c r="A3562" t="s">
        <v>4836</v>
      </c>
      <c r="B3562">
        <v>1</v>
      </c>
    </row>
    <row r="3563" spans="1:2">
      <c r="A3563" t="s">
        <v>4834</v>
      </c>
      <c r="B3563">
        <v>1</v>
      </c>
    </row>
    <row r="3564" spans="1:2">
      <c r="A3564" t="s">
        <v>4839</v>
      </c>
      <c r="B3564">
        <v>1</v>
      </c>
    </row>
    <row r="3565" spans="1:2">
      <c r="A3565" t="s">
        <v>4827</v>
      </c>
      <c r="B3565">
        <v>1</v>
      </c>
    </row>
    <row r="3566" spans="1:2">
      <c r="A3566" t="s">
        <v>4821</v>
      </c>
      <c r="B3566">
        <v>1</v>
      </c>
    </row>
    <row r="3567" spans="1:2">
      <c r="A3567" t="s">
        <v>4824</v>
      </c>
      <c r="B3567">
        <v>1</v>
      </c>
    </row>
    <row r="3568" spans="1:2">
      <c r="A3568" t="s">
        <v>6689</v>
      </c>
      <c r="B3568">
        <v>1</v>
      </c>
    </row>
    <row r="3569" spans="1:2">
      <c r="A3569" t="s">
        <v>6685</v>
      </c>
      <c r="B3569">
        <v>1</v>
      </c>
    </row>
    <row r="3570" spans="1:2">
      <c r="A3570" t="s">
        <v>6731</v>
      </c>
      <c r="B3570">
        <v>1</v>
      </c>
    </row>
    <row r="3571" spans="1:2">
      <c r="A3571" t="s">
        <v>6735</v>
      </c>
      <c r="B3571">
        <v>1</v>
      </c>
    </row>
    <row r="3572" spans="1:2">
      <c r="A3572" t="s">
        <v>6692</v>
      </c>
      <c r="B3572">
        <v>1</v>
      </c>
    </row>
    <row r="3573" spans="1:2">
      <c r="A3573" t="s">
        <v>6696</v>
      </c>
      <c r="B3573">
        <v>1</v>
      </c>
    </row>
    <row r="3574" spans="1:2">
      <c r="A3574" t="s">
        <v>6700</v>
      </c>
      <c r="B3574">
        <v>1</v>
      </c>
    </row>
    <row r="3575" spans="1:2">
      <c r="A3575" t="s">
        <v>6682</v>
      </c>
      <c r="B3575">
        <v>1</v>
      </c>
    </row>
    <row r="3576" spans="1:2">
      <c r="A3576" t="s">
        <v>6704</v>
      </c>
      <c r="B3576">
        <v>1</v>
      </c>
    </row>
    <row r="3577" spans="1:2">
      <c r="A3577" t="s">
        <v>6729</v>
      </c>
      <c r="B3577">
        <v>1</v>
      </c>
    </row>
    <row r="3578" spans="1:2">
      <c r="A3578" t="s">
        <v>6712</v>
      </c>
      <c r="B3578">
        <v>1</v>
      </c>
    </row>
    <row r="3579" spans="1:2">
      <c r="A3579" t="s">
        <v>6716</v>
      </c>
      <c r="B3579">
        <v>1</v>
      </c>
    </row>
    <row r="3580" spans="1:2">
      <c r="A3580" t="s">
        <v>6720</v>
      </c>
      <c r="B3580">
        <v>1</v>
      </c>
    </row>
    <row r="3581" spans="1:2">
      <c r="A3581" t="s">
        <v>6721</v>
      </c>
      <c r="B3581">
        <v>1</v>
      </c>
    </row>
    <row r="3582" spans="1:2">
      <c r="A3582" t="s">
        <v>6725</v>
      </c>
      <c r="B3582">
        <v>1</v>
      </c>
    </row>
    <row r="3583" spans="1:2">
      <c r="A3583" t="s">
        <v>6786</v>
      </c>
      <c r="B3583">
        <v>1</v>
      </c>
    </row>
    <row r="3584" spans="1:2">
      <c r="A3584" t="s">
        <v>6782</v>
      </c>
      <c r="B3584">
        <v>1</v>
      </c>
    </row>
    <row r="3585" spans="1:2">
      <c r="A3585" t="s">
        <v>6789</v>
      </c>
      <c r="B3585">
        <v>1</v>
      </c>
    </row>
    <row r="3586" spans="1:2">
      <c r="A3586" t="s">
        <v>6780</v>
      </c>
      <c r="B3586">
        <v>1</v>
      </c>
    </row>
    <row r="3587" spans="1:2">
      <c r="A3587" t="s">
        <v>7545</v>
      </c>
      <c r="B3587">
        <v>1</v>
      </c>
    </row>
    <row r="3588" spans="1:2">
      <c r="A3588" t="s">
        <v>7541</v>
      </c>
      <c r="B3588">
        <v>1</v>
      </c>
    </row>
    <row r="3589" spans="1:2">
      <c r="A3589" t="s">
        <v>7547</v>
      </c>
      <c r="B3589">
        <v>1</v>
      </c>
    </row>
    <row r="3590" spans="1:2">
      <c r="A3590" t="s">
        <v>7540</v>
      </c>
      <c r="B3590">
        <v>1</v>
      </c>
    </row>
    <row r="3591" spans="1:2">
      <c r="A3591" t="s">
        <v>7535</v>
      </c>
      <c r="B3591">
        <v>1</v>
      </c>
    </row>
    <row r="3592" spans="1:2">
      <c r="A3592" t="s">
        <v>8119</v>
      </c>
      <c r="B3592">
        <v>1</v>
      </c>
    </row>
    <row r="3593" spans="1:2">
      <c r="A3593" t="s">
        <v>8115</v>
      </c>
      <c r="B3593">
        <v>1</v>
      </c>
    </row>
    <row r="3594" spans="1:2">
      <c r="A3594" t="s">
        <v>8108</v>
      </c>
      <c r="B3594">
        <v>1</v>
      </c>
    </row>
    <row r="3595" spans="1:2">
      <c r="A3595" t="s">
        <v>8096</v>
      </c>
      <c r="B3595">
        <v>1</v>
      </c>
    </row>
    <row r="3596" spans="1:2">
      <c r="A3596" t="s">
        <v>8100</v>
      </c>
      <c r="B3596">
        <v>1</v>
      </c>
    </row>
    <row r="3597" spans="1:2">
      <c r="A3597" t="s">
        <v>8125</v>
      </c>
      <c r="B3597">
        <v>1</v>
      </c>
    </row>
    <row r="3598" spans="1:2">
      <c r="A3598" t="s">
        <v>8093</v>
      </c>
      <c r="B3598">
        <v>1</v>
      </c>
    </row>
    <row r="3599" spans="1:2">
      <c r="A3599" t="s">
        <v>8089</v>
      </c>
      <c r="B3599">
        <v>1</v>
      </c>
    </row>
    <row r="3600" spans="1:2">
      <c r="A3600" t="s">
        <v>8105</v>
      </c>
      <c r="B3600">
        <v>1</v>
      </c>
    </row>
    <row r="3601" spans="1:2">
      <c r="A3601" t="s">
        <v>8129</v>
      </c>
      <c r="B3601">
        <v>1</v>
      </c>
    </row>
    <row r="3602" spans="1:2">
      <c r="A3602" t="s">
        <v>8153</v>
      </c>
      <c r="B3602">
        <v>1</v>
      </c>
    </row>
    <row r="3603" spans="1:2">
      <c r="A3603" t="s">
        <v>8133</v>
      </c>
      <c r="B3603">
        <v>1</v>
      </c>
    </row>
    <row r="3604" spans="1:2">
      <c r="A3604" t="s">
        <v>8173</v>
      </c>
      <c r="B3604">
        <v>1</v>
      </c>
    </row>
    <row r="3605" spans="1:2">
      <c r="A3605" t="s">
        <v>8136</v>
      </c>
      <c r="B3605">
        <v>1</v>
      </c>
    </row>
    <row r="3606" spans="1:2">
      <c r="A3606" t="s">
        <v>8139</v>
      </c>
      <c r="B3606">
        <v>1</v>
      </c>
    </row>
    <row r="3607" spans="1:2">
      <c r="A3607" t="s">
        <v>8142</v>
      </c>
      <c r="B3607">
        <v>1</v>
      </c>
    </row>
    <row r="3608" spans="1:2">
      <c r="A3608" t="s">
        <v>8145</v>
      </c>
      <c r="B3608">
        <v>1</v>
      </c>
    </row>
    <row r="3609" spans="1:2">
      <c r="A3609" t="s">
        <v>8147</v>
      </c>
      <c r="B3609">
        <v>1</v>
      </c>
    </row>
    <row r="3610" spans="1:2">
      <c r="A3610" t="s">
        <v>8151</v>
      </c>
      <c r="B3610">
        <v>1</v>
      </c>
    </row>
    <row r="3611" spans="1:2">
      <c r="A3611" t="s">
        <v>8178</v>
      </c>
      <c r="B3611">
        <v>1</v>
      </c>
    </row>
    <row r="3612" spans="1:2">
      <c r="A3612" t="s">
        <v>126</v>
      </c>
      <c r="B3612">
        <v>1</v>
      </c>
    </row>
    <row r="3613" spans="1:2">
      <c r="A3613" t="s">
        <v>8176</v>
      </c>
      <c r="B3613">
        <v>1</v>
      </c>
    </row>
    <row r="3614" spans="1:2">
      <c r="A3614" t="s">
        <v>8157</v>
      </c>
      <c r="B3614">
        <v>1</v>
      </c>
    </row>
    <row r="3615" spans="1:2">
      <c r="A3615" t="s">
        <v>8161</v>
      </c>
      <c r="B3615">
        <v>1</v>
      </c>
    </row>
    <row r="3616" spans="1:2">
      <c r="A3616" t="s">
        <v>8164</v>
      </c>
      <c r="B3616">
        <v>1</v>
      </c>
    </row>
    <row r="3617" spans="1:2">
      <c r="A3617" t="s">
        <v>8167</v>
      </c>
      <c r="B3617">
        <v>1</v>
      </c>
    </row>
    <row r="3618" spans="1:2">
      <c r="A3618" t="s">
        <v>8169</v>
      </c>
      <c r="B3618">
        <v>1</v>
      </c>
    </row>
    <row r="3619" spans="1:2">
      <c r="A3619" t="s">
        <v>8112</v>
      </c>
      <c r="B3619">
        <v>1</v>
      </c>
    </row>
    <row r="3620" spans="1:2">
      <c r="A3620" t="s">
        <v>8181</v>
      </c>
      <c r="B3620">
        <v>1</v>
      </c>
    </row>
    <row r="3621" spans="1:2">
      <c r="A3621" t="s">
        <v>8629</v>
      </c>
      <c r="B3621">
        <v>1</v>
      </c>
    </row>
    <row r="3622" spans="1:2">
      <c r="A3622" t="s">
        <v>8625</v>
      </c>
      <c r="B3622">
        <v>1</v>
      </c>
    </row>
    <row r="3623" spans="1:2">
      <c r="A3623" t="s">
        <v>8621</v>
      </c>
      <c r="B3623">
        <v>1</v>
      </c>
    </row>
    <row r="3624" spans="1:2">
      <c r="A3624" t="s">
        <v>8617</v>
      </c>
      <c r="B3624">
        <v>1</v>
      </c>
    </row>
    <row r="3625" spans="1:2">
      <c r="A3625" t="s">
        <v>8608</v>
      </c>
      <c r="B3625">
        <v>1</v>
      </c>
    </row>
    <row r="3626" spans="1:2">
      <c r="A3626" t="s">
        <v>8614</v>
      </c>
      <c r="B3626">
        <v>1</v>
      </c>
    </row>
    <row r="3627" spans="1:2">
      <c r="A3627" t="s">
        <v>8610</v>
      </c>
      <c r="B3627">
        <v>1</v>
      </c>
    </row>
    <row r="3628" spans="1:2">
      <c r="A3628" t="s">
        <v>8637</v>
      </c>
      <c r="B3628">
        <v>1</v>
      </c>
    </row>
    <row r="3629" spans="1:2">
      <c r="A3629" t="s">
        <v>8606</v>
      </c>
      <c r="B3629">
        <v>1</v>
      </c>
    </row>
    <row r="3630" spans="1:2">
      <c r="A3630" t="s">
        <v>8603</v>
      </c>
      <c r="B3630">
        <v>1</v>
      </c>
    </row>
    <row r="3631" spans="1:2">
      <c r="A3631" t="s">
        <v>8599</v>
      </c>
      <c r="B3631">
        <v>1</v>
      </c>
    </row>
    <row r="3632" spans="1:2">
      <c r="A3632" t="s">
        <v>8595</v>
      </c>
      <c r="B3632">
        <v>1</v>
      </c>
    </row>
    <row r="3633" spans="1:2">
      <c r="A3633" t="s">
        <v>8643</v>
      </c>
      <c r="B3633">
        <v>1</v>
      </c>
    </row>
    <row r="3634" spans="1:2">
      <c r="A3634" t="s">
        <v>8591</v>
      </c>
      <c r="B3634">
        <v>1</v>
      </c>
    </row>
    <row r="3635" spans="1:2">
      <c r="A3635" t="s">
        <v>8587</v>
      </c>
      <c r="B3635">
        <v>1</v>
      </c>
    </row>
    <row r="3636" spans="1:2">
      <c r="A3636" t="s">
        <v>8633</v>
      </c>
      <c r="B3636">
        <v>1</v>
      </c>
    </row>
    <row r="3637" spans="1:2">
      <c r="A3637" t="s">
        <v>8640</v>
      </c>
      <c r="B3637">
        <v>1</v>
      </c>
    </row>
    <row r="3638" spans="1:2">
      <c r="A3638" t="s">
        <v>8652</v>
      </c>
      <c r="B3638">
        <v>1</v>
      </c>
    </row>
    <row r="3639" spans="1:2">
      <c r="A3639" t="s">
        <v>8646</v>
      </c>
      <c r="B3639">
        <v>1</v>
      </c>
    </row>
    <row r="3640" spans="1:2">
      <c r="A3640" t="s">
        <v>8649</v>
      </c>
      <c r="B3640">
        <v>1</v>
      </c>
    </row>
    <row r="3641" spans="1:2">
      <c r="A3641" t="s">
        <v>8754</v>
      </c>
      <c r="B3641">
        <v>1</v>
      </c>
    </row>
    <row r="3642" spans="1:2">
      <c r="A3642" t="s">
        <v>8811</v>
      </c>
      <c r="B3642">
        <v>1</v>
      </c>
    </row>
    <row r="3643" spans="1:2">
      <c r="A3643" t="s">
        <v>8757</v>
      </c>
      <c r="B3643">
        <v>1</v>
      </c>
    </row>
    <row r="3644" spans="1:2">
      <c r="A3644" t="s">
        <v>8760</v>
      </c>
      <c r="B3644">
        <v>1</v>
      </c>
    </row>
    <row r="3645" spans="1:2">
      <c r="A3645" t="s">
        <v>8764</v>
      </c>
      <c r="B3645">
        <v>1</v>
      </c>
    </row>
    <row r="3646" spans="1:2">
      <c r="A3646" t="s">
        <v>8767</v>
      </c>
      <c r="B3646">
        <v>1</v>
      </c>
    </row>
    <row r="3647" spans="1:2">
      <c r="A3647" t="s">
        <v>8770</v>
      </c>
      <c r="B3647">
        <v>1</v>
      </c>
    </row>
    <row r="3648" spans="1:2">
      <c r="A3648" t="s">
        <v>8808</v>
      </c>
      <c r="B3648">
        <v>1</v>
      </c>
    </row>
    <row r="3649" spans="1:2">
      <c r="A3649" t="s">
        <v>8730</v>
      </c>
      <c r="B3649">
        <v>1</v>
      </c>
    </row>
    <row r="3650" spans="1:2">
      <c r="A3650" t="s">
        <v>8664</v>
      </c>
      <c r="B3650">
        <v>1</v>
      </c>
    </row>
    <row r="3651" spans="1:2">
      <c r="A3651" t="s">
        <v>8667</v>
      </c>
      <c r="B3651">
        <v>1</v>
      </c>
    </row>
    <row r="3652" spans="1:2">
      <c r="A3652" t="s">
        <v>8670</v>
      </c>
      <c r="B3652">
        <v>1</v>
      </c>
    </row>
    <row r="3653" spans="1:2">
      <c r="A3653" t="s">
        <v>8673</v>
      </c>
      <c r="B3653">
        <v>1</v>
      </c>
    </row>
    <row r="3654" spans="1:2">
      <c r="A3654" t="s">
        <v>8676</v>
      </c>
      <c r="B3654">
        <v>1</v>
      </c>
    </row>
    <row r="3655" spans="1:2">
      <c r="A3655" t="s">
        <v>8679</v>
      </c>
      <c r="B3655">
        <v>1</v>
      </c>
    </row>
    <row r="3656" spans="1:2">
      <c r="A3656" t="s">
        <v>8683</v>
      </c>
      <c r="B3656">
        <v>1</v>
      </c>
    </row>
    <row r="3657" spans="1:2">
      <c r="A3657" t="s">
        <v>8686</v>
      </c>
      <c r="B3657">
        <v>1</v>
      </c>
    </row>
    <row r="3658" spans="1:2">
      <c r="A3658" t="s">
        <v>8726</v>
      </c>
      <c r="B3658">
        <v>1</v>
      </c>
    </row>
    <row r="3659" spans="1:2">
      <c r="A3659" t="s">
        <v>8690</v>
      </c>
      <c r="B3659">
        <v>1</v>
      </c>
    </row>
    <row r="3660" spans="1:2">
      <c r="A3660" t="s">
        <v>8693</v>
      </c>
      <c r="B3660">
        <v>1</v>
      </c>
    </row>
    <row r="3661" spans="1:2">
      <c r="A3661" t="s">
        <v>8697</v>
      </c>
      <c r="B3661">
        <v>1</v>
      </c>
    </row>
    <row r="3662" spans="1:2">
      <c r="A3662" t="s">
        <v>8698</v>
      </c>
      <c r="B3662">
        <v>1</v>
      </c>
    </row>
    <row r="3663" spans="1:2">
      <c r="A3663" t="s">
        <v>8700</v>
      </c>
      <c r="B3663">
        <v>1</v>
      </c>
    </row>
    <row r="3664" spans="1:2">
      <c r="A3664" t="s">
        <v>8703</v>
      </c>
      <c r="B3664">
        <v>1</v>
      </c>
    </row>
    <row r="3665" spans="1:2">
      <c r="A3665" t="s">
        <v>8708</v>
      </c>
      <c r="B3665">
        <v>1</v>
      </c>
    </row>
    <row r="3666" spans="1:2">
      <c r="A3666" t="s">
        <v>8712</v>
      </c>
      <c r="B3666">
        <v>1</v>
      </c>
    </row>
    <row r="3667" spans="1:2">
      <c r="A3667" t="s">
        <v>8716</v>
      </c>
      <c r="B3667">
        <v>1</v>
      </c>
    </row>
    <row r="3668" spans="1:2">
      <c r="A3668" t="s">
        <v>8719</v>
      </c>
      <c r="B3668">
        <v>1</v>
      </c>
    </row>
    <row r="3669" spans="1:2">
      <c r="A3669" t="s">
        <v>8722</v>
      </c>
      <c r="B3669">
        <v>1</v>
      </c>
    </row>
    <row r="3670" spans="1:2">
      <c r="A3670" t="s">
        <v>8747</v>
      </c>
      <c r="B3670">
        <v>1</v>
      </c>
    </row>
    <row r="3671" spans="1:2">
      <c r="A3671" t="s">
        <v>8745</v>
      </c>
      <c r="B3671">
        <v>1</v>
      </c>
    </row>
    <row r="3672" spans="1:2">
      <c r="A3672" t="s">
        <v>8814</v>
      </c>
      <c r="B3672">
        <v>1</v>
      </c>
    </row>
    <row r="3673" spans="1:2">
      <c r="A3673" t="s">
        <v>8817</v>
      </c>
      <c r="B3673">
        <v>1</v>
      </c>
    </row>
    <row r="3674" spans="1:2">
      <c r="A3674" t="s">
        <v>8733</v>
      </c>
      <c r="B3674">
        <v>1</v>
      </c>
    </row>
    <row r="3675" spans="1:2">
      <c r="A3675" t="s">
        <v>8737</v>
      </c>
      <c r="B3675">
        <v>1</v>
      </c>
    </row>
    <row r="3676" spans="1:2">
      <c r="A3676" t="s">
        <v>8806</v>
      </c>
      <c r="B3676">
        <v>1</v>
      </c>
    </row>
    <row r="3677" spans="1:2">
      <c r="A3677" t="s">
        <v>8803</v>
      </c>
      <c r="B3677">
        <v>1</v>
      </c>
    </row>
    <row r="3678" spans="1:2">
      <c r="A3678" t="s">
        <v>8799</v>
      </c>
      <c r="B3678">
        <v>1</v>
      </c>
    </row>
    <row r="3679" spans="1:2">
      <c r="A3679" t="s">
        <v>8797</v>
      </c>
      <c r="B3679">
        <v>1</v>
      </c>
    </row>
    <row r="3680" spans="1:2">
      <c r="A3680" t="s">
        <v>8793</v>
      </c>
      <c r="B3680">
        <v>1</v>
      </c>
    </row>
    <row r="3681" spans="1:2">
      <c r="A3681" t="s">
        <v>8789</v>
      </c>
      <c r="B3681">
        <v>1</v>
      </c>
    </row>
    <row r="3682" spans="1:2">
      <c r="A3682" t="s">
        <v>8785</v>
      </c>
      <c r="B3682">
        <v>1</v>
      </c>
    </row>
    <row r="3683" spans="1:2">
      <c r="A3683" t="s">
        <v>8783</v>
      </c>
      <c r="B3683">
        <v>1</v>
      </c>
    </row>
    <row r="3684" spans="1:2">
      <c r="A3684" t="s">
        <v>8779</v>
      </c>
      <c r="B3684">
        <v>1</v>
      </c>
    </row>
    <row r="3685" spans="1:2">
      <c r="A3685" t="s">
        <v>8775</v>
      </c>
      <c r="B3685">
        <v>1</v>
      </c>
    </row>
    <row r="3686" spans="1:2">
      <c r="A3686" t="s">
        <v>8773</v>
      </c>
      <c r="B3686">
        <v>1</v>
      </c>
    </row>
    <row r="3687" spans="1:2">
      <c r="A3687" t="s">
        <v>8661</v>
      </c>
      <c r="B3687">
        <v>1</v>
      </c>
    </row>
    <row r="3688" spans="1:2">
      <c r="A3688" t="s">
        <v>8741</v>
      </c>
      <c r="B3688">
        <v>1</v>
      </c>
    </row>
    <row r="3689" spans="1:2">
      <c r="A3689" t="s">
        <v>9030</v>
      </c>
      <c r="B3689">
        <v>1</v>
      </c>
    </row>
    <row r="3690" spans="1:2">
      <c r="A3690" t="s">
        <v>9027</v>
      </c>
      <c r="B3690">
        <v>1</v>
      </c>
    </row>
    <row r="3691" spans="1:2">
      <c r="A3691" t="s">
        <v>9023</v>
      </c>
      <c r="B3691">
        <v>1</v>
      </c>
    </row>
    <row r="3692" spans="1:2">
      <c r="A3692" t="s">
        <v>9019</v>
      </c>
      <c r="B3692">
        <v>1</v>
      </c>
    </row>
    <row r="3693" spans="1:2">
      <c r="A3693" t="s">
        <v>9035</v>
      </c>
      <c r="B3693">
        <v>1</v>
      </c>
    </row>
    <row r="3694" spans="1:2">
      <c r="A3694" t="s">
        <v>9015</v>
      </c>
      <c r="B3694">
        <v>1</v>
      </c>
    </row>
    <row r="3695" spans="1:2">
      <c r="A3695" t="s">
        <v>9041</v>
      </c>
      <c r="B3695">
        <v>1</v>
      </c>
    </row>
    <row r="3696" spans="1:2">
      <c r="A3696" t="s">
        <v>9039</v>
      </c>
      <c r="B3696">
        <v>1</v>
      </c>
    </row>
    <row r="3697" spans="1:2">
      <c r="A3697" t="s">
        <v>9055</v>
      </c>
      <c r="B3697">
        <v>1</v>
      </c>
    </row>
    <row r="3698" spans="1:2">
      <c r="A3698" t="s">
        <v>9059</v>
      </c>
      <c r="B3698">
        <v>1</v>
      </c>
    </row>
    <row r="3699" spans="1:2">
      <c r="A3699" t="s">
        <v>9049</v>
      </c>
      <c r="B3699">
        <v>1</v>
      </c>
    </row>
    <row r="3700" spans="1:2">
      <c r="A3700" t="s">
        <v>9045</v>
      </c>
      <c r="B3700">
        <v>1</v>
      </c>
    </row>
    <row r="3701" spans="1:2">
      <c r="A3701" t="s">
        <v>9009</v>
      </c>
      <c r="B3701">
        <v>1</v>
      </c>
    </row>
    <row r="3702" spans="1:2">
      <c r="A3702" t="s">
        <v>9011</v>
      </c>
      <c r="B3702">
        <v>1</v>
      </c>
    </row>
    <row r="3703" spans="1:2">
      <c r="A3703" t="s">
        <v>8999</v>
      </c>
      <c r="B3703">
        <v>1</v>
      </c>
    </row>
    <row r="3704" spans="1:2">
      <c r="A3704" t="s">
        <v>9002</v>
      </c>
      <c r="B3704">
        <v>1</v>
      </c>
    </row>
    <row r="3705" spans="1:2">
      <c r="A3705" t="s">
        <v>8997</v>
      </c>
      <c r="B3705">
        <v>1</v>
      </c>
    </row>
    <row r="3706" spans="1:2">
      <c r="A3706" t="s">
        <v>9005</v>
      </c>
      <c r="B3706">
        <v>1</v>
      </c>
    </row>
    <row r="3707" spans="1:2">
      <c r="A3707" t="s">
        <v>8993</v>
      </c>
      <c r="B3707">
        <v>1</v>
      </c>
    </row>
    <row r="3708" spans="1:2">
      <c r="A3708" t="s">
        <v>8989</v>
      </c>
      <c r="B3708">
        <v>1</v>
      </c>
    </row>
    <row r="3709" spans="1:2">
      <c r="A3709" t="s">
        <v>8987</v>
      </c>
      <c r="B3709">
        <v>1</v>
      </c>
    </row>
    <row r="3710" spans="1:2">
      <c r="A3710" t="s">
        <v>8982</v>
      </c>
      <c r="B3710">
        <v>1</v>
      </c>
    </row>
    <row r="3711" spans="1:2">
      <c r="A3711" t="s">
        <v>9237</v>
      </c>
      <c r="B3711">
        <v>1</v>
      </c>
    </row>
    <row r="3712" spans="1:2">
      <c r="A3712" t="s">
        <v>9230</v>
      </c>
      <c r="B3712">
        <v>1</v>
      </c>
    </row>
    <row r="3713" spans="1:2">
      <c r="A3713" t="s">
        <v>9229</v>
      </c>
      <c r="B3713">
        <v>1</v>
      </c>
    </row>
    <row r="3714" spans="1:2">
      <c r="A3714" t="s">
        <v>9225</v>
      </c>
      <c r="B3714">
        <v>1</v>
      </c>
    </row>
    <row r="3715" spans="1:2">
      <c r="A3715" t="s">
        <v>9222</v>
      </c>
      <c r="B3715">
        <v>1</v>
      </c>
    </row>
    <row r="3716" spans="1:2">
      <c r="A3716" t="s">
        <v>9219</v>
      </c>
      <c r="B3716">
        <v>1</v>
      </c>
    </row>
    <row r="3717" spans="1:2">
      <c r="A3717" t="s">
        <v>9216</v>
      </c>
      <c r="B3717">
        <v>1</v>
      </c>
    </row>
    <row r="3718" spans="1:2">
      <c r="A3718" t="s">
        <v>9213</v>
      </c>
      <c r="B3718">
        <v>1</v>
      </c>
    </row>
    <row r="3719" spans="1:2">
      <c r="A3719" t="s">
        <v>9210</v>
      </c>
      <c r="B3719">
        <v>1</v>
      </c>
    </row>
    <row r="3720" spans="1:2">
      <c r="A3720" t="s">
        <v>9207</v>
      </c>
      <c r="B3720">
        <v>1</v>
      </c>
    </row>
    <row r="3721" spans="1:2">
      <c r="A3721" t="s">
        <v>9197</v>
      </c>
      <c r="B3721">
        <v>1</v>
      </c>
    </row>
    <row r="3722" spans="1:2">
      <c r="A3722" t="s">
        <v>9204</v>
      </c>
      <c r="B3722">
        <v>1</v>
      </c>
    </row>
    <row r="3723" spans="1:2">
      <c r="A3723" t="s">
        <v>9201</v>
      </c>
      <c r="B3723">
        <v>1</v>
      </c>
    </row>
    <row r="3724" spans="1:2">
      <c r="A3724" t="s">
        <v>9233</v>
      </c>
      <c r="B3724">
        <v>1</v>
      </c>
    </row>
    <row r="3725" spans="1:2">
      <c r="A3725" t="s">
        <v>9193</v>
      </c>
      <c r="B3725">
        <v>1</v>
      </c>
    </row>
    <row r="3726" spans="1:2">
      <c r="A3726" t="s">
        <v>9189</v>
      </c>
      <c r="B3726">
        <v>1</v>
      </c>
    </row>
    <row r="3727" spans="1:2">
      <c r="A3727" t="s">
        <v>10019</v>
      </c>
      <c r="B3727">
        <v>1</v>
      </c>
    </row>
    <row r="3728" spans="1:2">
      <c r="A3728" t="s">
        <v>10048</v>
      </c>
      <c r="B3728">
        <v>1</v>
      </c>
    </row>
    <row r="3729" spans="1:2">
      <c r="A3729" t="s">
        <v>10044</v>
      </c>
      <c r="B3729">
        <v>1</v>
      </c>
    </row>
    <row r="3730" spans="1:2">
      <c r="A3730" t="s">
        <v>10023</v>
      </c>
      <c r="B3730">
        <v>1</v>
      </c>
    </row>
    <row r="3731" spans="1:2">
      <c r="A3731" t="s">
        <v>10028</v>
      </c>
      <c r="B3731">
        <v>1</v>
      </c>
    </row>
    <row r="3732" spans="1:2">
      <c r="A3732" t="s">
        <v>10033</v>
      </c>
      <c r="B3732">
        <v>1</v>
      </c>
    </row>
    <row r="3733" spans="1:2">
      <c r="A3733" t="s">
        <v>10035</v>
      </c>
      <c r="B3733">
        <v>1</v>
      </c>
    </row>
    <row r="3734" spans="1:2">
      <c r="A3734" t="s">
        <v>10038</v>
      </c>
      <c r="B3734">
        <v>1</v>
      </c>
    </row>
    <row r="3735" spans="1:2">
      <c r="A3735" t="s">
        <v>10042</v>
      </c>
      <c r="B3735">
        <v>1</v>
      </c>
    </row>
    <row r="3736" spans="1:2">
      <c r="A3736" t="s">
        <v>10051</v>
      </c>
      <c r="B3736">
        <v>1</v>
      </c>
    </row>
    <row r="3737" spans="1:2">
      <c r="A3737" t="s">
        <v>10137</v>
      </c>
      <c r="B3737">
        <v>1</v>
      </c>
    </row>
    <row r="3738" spans="1:2">
      <c r="A3738" t="s">
        <v>10141</v>
      </c>
      <c r="B3738">
        <v>1</v>
      </c>
    </row>
    <row r="3739" spans="1:2">
      <c r="A3739" t="s">
        <v>10147</v>
      </c>
      <c r="B3739">
        <v>1</v>
      </c>
    </row>
    <row r="3740" spans="1:2">
      <c r="A3740" t="s">
        <v>10154</v>
      </c>
      <c r="B3740">
        <v>1</v>
      </c>
    </row>
    <row r="3741" spans="1:2">
      <c r="A3741" t="s">
        <v>10113</v>
      </c>
      <c r="B3741">
        <v>1</v>
      </c>
    </row>
    <row r="3742" spans="1:2">
      <c r="A3742" t="s">
        <v>10117</v>
      </c>
      <c r="B3742">
        <v>1</v>
      </c>
    </row>
    <row r="3743" spans="1:2">
      <c r="A3743" t="s">
        <v>10145</v>
      </c>
      <c r="B3743">
        <v>1</v>
      </c>
    </row>
    <row r="3744" spans="1:2">
      <c r="A3744" t="s">
        <v>10150</v>
      </c>
      <c r="B3744">
        <v>1</v>
      </c>
    </row>
    <row r="3745" spans="1:2">
      <c r="A3745" t="s">
        <v>10129</v>
      </c>
      <c r="B3745">
        <v>1</v>
      </c>
    </row>
    <row r="3746" spans="1:2">
      <c r="A3746" t="s">
        <v>10126</v>
      </c>
      <c r="B3746">
        <v>1</v>
      </c>
    </row>
    <row r="3747" spans="1:2">
      <c r="A3747" t="s">
        <v>10121</v>
      </c>
      <c r="B3747">
        <v>1</v>
      </c>
    </row>
    <row r="3748" spans="1:2">
      <c r="A3748" t="s">
        <v>10240</v>
      </c>
      <c r="B3748">
        <v>1</v>
      </c>
    </row>
    <row r="3749" spans="1:2">
      <c r="A3749" t="s">
        <v>10237</v>
      </c>
      <c r="B3749">
        <v>1</v>
      </c>
    </row>
    <row r="3750" spans="1:2">
      <c r="A3750" t="s">
        <v>10229</v>
      </c>
      <c r="B3750">
        <v>1</v>
      </c>
    </row>
    <row r="3751" spans="1:2">
      <c r="A3751" t="s">
        <v>10215</v>
      </c>
      <c r="B3751">
        <v>1</v>
      </c>
    </row>
    <row r="3752" spans="1:2">
      <c r="A3752" t="s">
        <v>10243</v>
      </c>
      <c r="B3752">
        <v>1</v>
      </c>
    </row>
    <row r="3753" spans="1:2">
      <c r="A3753" t="s">
        <v>10218</v>
      </c>
      <c r="B3753">
        <v>1</v>
      </c>
    </row>
    <row r="3754" spans="1:2">
      <c r="A3754" t="s">
        <v>10222</v>
      </c>
      <c r="B3754">
        <v>1</v>
      </c>
    </row>
    <row r="3755" spans="1:2">
      <c r="A3755" t="s">
        <v>10226</v>
      </c>
      <c r="B3755">
        <v>1</v>
      </c>
    </row>
    <row r="3756" spans="1:2">
      <c r="A3756" t="s">
        <v>10233</v>
      </c>
      <c r="B3756">
        <v>1</v>
      </c>
    </row>
    <row r="3757" spans="1:2">
      <c r="A3757" t="s">
        <v>10636</v>
      </c>
      <c r="B3757">
        <v>1</v>
      </c>
    </row>
    <row r="3758" spans="1:2">
      <c r="A3758" t="s">
        <v>10600</v>
      </c>
      <c r="B3758">
        <v>1</v>
      </c>
    </row>
    <row r="3759" spans="1:2">
      <c r="A3759" t="s">
        <v>10634</v>
      </c>
      <c r="B3759">
        <v>1</v>
      </c>
    </row>
    <row r="3760" spans="1:2">
      <c r="A3760" t="s">
        <v>10631</v>
      </c>
      <c r="B3760">
        <v>1</v>
      </c>
    </row>
    <row r="3761" spans="1:2">
      <c r="A3761" t="s">
        <v>10628</v>
      </c>
      <c r="B3761">
        <v>1</v>
      </c>
    </row>
    <row r="3762" spans="1:2">
      <c r="A3762" t="s">
        <v>10624</v>
      </c>
      <c r="B3762">
        <v>1</v>
      </c>
    </row>
    <row r="3763" spans="1:2">
      <c r="A3763" t="s">
        <v>10622</v>
      </c>
      <c r="B3763">
        <v>1</v>
      </c>
    </row>
    <row r="3764" spans="1:2">
      <c r="A3764" t="s">
        <v>10618</v>
      </c>
      <c r="B3764">
        <v>1</v>
      </c>
    </row>
    <row r="3765" spans="1:2">
      <c r="A3765" t="s">
        <v>10614</v>
      </c>
      <c r="B3765">
        <v>1</v>
      </c>
    </row>
    <row r="3766" spans="1:2">
      <c r="A3766" t="s">
        <v>10610</v>
      </c>
      <c r="B3766">
        <v>1</v>
      </c>
    </row>
    <row r="3767" spans="1:2">
      <c r="A3767" t="s">
        <v>10607</v>
      </c>
      <c r="B3767">
        <v>1</v>
      </c>
    </row>
    <row r="3768" spans="1:2">
      <c r="A3768" t="s">
        <v>10604</v>
      </c>
      <c r="B3768">
        <v>1</v>
      </c>
    </row>
    <row r="3769" spans="1:2">
      <c r="A3769" t="s">
        <v>10635</v>
      </c>
      <c r="B3769">
        <v>1</v>
      </c>
    </row>
    <row r="3770" spans="1:2">
      <c r="A3770" t="s">
        <v>9847</v>
      </c>
      <c r="B3770">
        <v>1</v>
      </c>
    </row>
    <row r="3771" spans="1:2">
      <c r="A3771" t="s">
        <v>9851</v>
      </c>
      <c r="B3771">
        <v>1</v>
      </c>
    </row>
    <row r="3772" spans="1:2">
      <c r="A3772" t="s">
        <v>9855</v>
      </c>
      <c r="B3772">
        <v>1</v>
      </c>
    </row>
    <row r="3773" spans="1:2">
      <c r="A3773" t="s">
        <v>9859</v>
      </c>
      <c r="B3773">
        <v>1</v>
      </c>
    </row>
    <row r="3774" spans="1:2">
      <c r="A3774" t="s">
        <v>9871</v>
      </c>
      <c r="B3774">
        <v>1</v>
      </c>
    </row>
    <row r="3775" spans="1:2">
      <c r="A3775" t="s">
        <v>9874</v>
      </c>
      <c r="B3775">
        <v>1</v>
      </c>
    </row>
    <row r="3776" spans="1:2">
      <c r="A3776" t="s">
        <v>9882</v>
      </c>
      <c r="B3776">
        <v>1</v>
      </c>
    </row>
    <row r="3777" spans="1:2">
      <c r="A3777" t="s">
        <v>9866</v>
      </c>
      <c r="B3777">
        <v>1</v>
      </c>
    </row>
    <row r="3778" spans="1:2">
      <c r="A3778" t="s">
        <v>9878</v>
      </c>
      <c r="B3778">
        <v>1</v>
      </c>
    </row>
    <row r="3779" spans="1:2">
      <c r="A3779" t="s">
        <v>9884</v>
      </c>
      <c r="B3779">
        <v>1</v>
      </c>
    </row>
    <row r="3780" spans="1:2">
      <c r="A3780" t="s">
        <v>9877</v>
      </c>
      <c r="B3780">
        <v>1</v>
      </c>
    </row>
    <row r="3781" spans="1:2">
      <c r="A3781" t="s">
        <v>11002</v>
      </c>
      <c r="B3781">
        <v>1</v>
      </c>
    </row>
    <row r="3782" spans="1:2">
      <c r="A3782" t="s">
        <v>11052</v>
      </c>
      <c r="B3782">
        <v>1</v>
      </c>
    </row>
    <row r="3783" spans="1:2">
      <c r="A3783" t="s">
        <v>11048</v>
      </c>
      <c r="B3783">
        <v>1</v>
      </c>
    </row>
    <row r="3784" spans="1:2">
      <c r="A3784" t="s">
        <v>11044</v>
      </c>
      <c r="B3784">
        <v>1</v>
      </c>
    </row>
    <row r="3785" spans="1:2">
      <c r="A3785" t="s">
        <v>11040</v>
      </c>
      <c r="B3785">
        <v>1</v>
      </c>
    </row>
    <row r="3786" spans="1:2">
      <c r="A3786" t="s">
        <v>11061</v>
      </c>
      <c r="B3786">
        <v>1</v>
      </c>
    </row>
    <row r="3787" spans="1:2">
      <c r="A3787" t="s">
        <v>11059</v>
      </c>
      <c r="B3787">
        <v>1</v>
      </c>
    </row>
    <row r="3788" spans="1:2">
      <c r="A3788" t="s">
        <v>11006</v>
      </c>
      <c r="B3788">
        <v>1</v>
      </c>
    </row>
    <row r="3789" spans="1:2">
      <c r="A3789" t="s">
        <v>11009</v>
      </c>
      <c r="B3789">
        <v>1</v>
      </c>
    </row>
    <row r="3790" spans="1:2">
      <c r="A3790" t="s">
        <v>11013</v>
      </c>
      <c r="B3790">
        <v>1</v>
      </c>
    </row>
    <row r="3791" spans="1:2">
      <c r="A3791" t="s">
        <v>11016</v>
      </c>
      <c r="B3791">
        <v>1</v>
      </c>
    </row>
    <row r="3792" spans="1:2">
      <c r="A3792" t="s">
        <v>11020</v>
      </c>
      <c r="B3792">
        <v>1</v>
      </c>
    </row>
    <row r="3793" spans="1:2">
      <c r="A3793" t="s">
        <v>11024</v>
      </c>
      <c r="B3793">
        <v>1</v>
      </c>
    </row>
    <row r="3794" spans="1:2">
      <c r="A3794" t="s">
        <v>11027</v>
      </c>
      <c r="B3794">
        <v>1</v>
      </c>
    </row>
    <row r="3795" spans="1:2">
      <c r="A3795" t="s">
        <v>11032</v>
      </c>
      <c r="B3795">
        <v>1</v>
      </c>
    </row>
    <row r="3796" spans="1:2">
      <c r="A3796" t="s">
        <v>11034</v>
      </c>
      <c r="B3796">
        <v>1</v>
      </c>
    </row>
    <row r="3797" spans="1:2">
      <c r="A3797" t="s">
        <v>11037</v>
      </c>
      <c r="B3797">
        <v>1</v>
      </c>
    </row>
    <row r="3798" spans="1:2">
      <c r="A3798" t="s">
        <v>11081</v>
      </c>
      <c r="B3798">
        <v>1</v>
      </c>
    </row>
    <row r="3799" spans="1:2">
      <c r="A3799" t="s">
        <v>11070</v>
      </c>
      <c r="B3799">
        <v>1</v>
      </c>
    </row>
    <row r="3800" spans="1:2">
      <c r="A3800" t="s">
        <v>11072</v>
      </c>
      <c r="B3800">
        <v>1</v>
      </c>
    </row>
    <row r="3801" spans="1:2">
      <c r="A3801" t="s">
        <v>11075</v>
      </c>
      <c r="B3801">
        <v>1</v>
      </c>
    </row>
    <row r="3802" spans="1:2">
      <c r="A3802" t="s">
        <v>11079</v>
      </c>
      <c r="B3802">
        <v>1</v>
      </c>
    </row>
    <row r="3803" spans="1:2">
      <c r="A3803" t="s">
        <v>11083</v>
      </c>
      <c r="B3803">
        <v>1</v>
      </c>
    </row>
    <row r="3804" spans="1:2">
      <c r="A3804" t="s">
        <v>11067</v>
      </c>
      <c r="B3804">
        <v>1</v>
      </c>
    </row>
    <row r="3805" spans="1:2">
      <c r="A3805" t="s">
        <v>11065</v>
      </c>
      <c r="B3805">
        <v>1</v>
      </c>
    </row>
    <row r="3806" spans="1:2">
      <c r="A3806" t="s">
        <v>12148</v>
      </c>
      <c r="B3806">
        <v>1</v>
      </c>
    </row>
    <row r="3807" spans="1:2">
      <c r="A3807" t="s">
        <v>12165</v>
      </c>
      <c r="B3807">
        <v>1</v>
      </c>
    </row>
    <row r="3808" spans="1:2">
      <c r="A3808" t="s">
        <v>12169</v>
      </c>
      <c r="B3808">
        <v>1</v>
      </c>
    </row>
    <row r="3809" spans="1:2">
      <c r="A3809" t="s">
        <v>12174</v>
      </c>
      <c r="B3809">
        <v>1</v>
      </c>
    </row>
    <row r="3810" spans="1:2">
      <c r="A3810" t="s">
        <v>12146</v>
      </c>
      <c r="B3810">
        <v>1</v>
      </c>
    </row>
    <row r="3811" spans="1:2">
      <c r="A3811" t="s">
        <v>12143</v>
      </c>
      <c r="B3811">
        <v>1</v>
      </c>
    </row>
    <row r="3812" spans="1:2">
      <c r="A3812" t="s">
        <v>12140</v>
      </c>
      <c r="B3812">
        <v>1</v>
      </c>
    </row>
    <row r="3813" spans="1:2">
      <c r="A3813" t="s">
        <v>12154</v>
      </c>
      <c r="B3813">
        <v>1</v>
      </c>
    </row>
    <row r="3814" spans="1:2">
      <c r="A3814" t="s">
        <v>12177</v>
      </c>
      <c r="B3814">
        <v>1</v>
      </c>
    </row>
    <row r="3815" spans="1:2">
      <c r="A3815" t="s">
        <v>12157</v>
      </c>
      <c r="B3815">
        <v>1</v>
      </c>
    </row>
    <row r="3816" spans="1:2">
      <c r="A3816" t="s">
        <v>12161</v>
      </c>
      <c r="B3816">
        <v>1</v>
      </c>
    </row>
    <row r="3817" spans="1:2">
      <c r="A3817" t="s">
        <v>12150</v>
      </c>
      <c r="B3817">
        <v>1</v>
      </c>
    </row>
    <row r="3818" spans="1:2">
      <c r="A3818" t="s">
        <v>12979</v>
      </c>
      <c r="B3818">
        <v>1</v>
      </c>
    </row>
    <row r="3819" spans="1:2">
      <c r="A3819" t="s">
        <v>12986</v>
      </c>
      <c r="B3819">
        <v>1</v>
      </c>
    </row>
    <row r="3820" spans="1:2">
      <c r="A3820" t="s">
        <v>12993</v>
      </c>
      <c r="B3820">
        <v>1</v>
      </c>
    </row>
    <row r="3821" spans="1:2">
      <c r="A3821" t="s">
        <v>12989</v>
      </c>
      <c r="B3821">
        <v>1</v>
      </c>
    </row>
    <row r="3822" spans="1:2">
      <c r="A3822" t="s">
        <v>13143</v>
      </c>
      <c r="B3822">
        <v>1</v>
      </c>
    </row>
    <row r="3823" spans="1:2">
      <c r="A3823" t="s">
        <v>13140</v>
      </c>
      <c r="B3823">
        <v>1</v>
      </c>
    </row>
    <row r="3824" spans="1:2">
      <c r="A3824" t="s">
        <v>13137</v>
      </c>
      <c r="B3824">
        <v>1</v>
      </c>
    </row>
    <row r="3825" spans="1:2">
      <c r="A3825" t="s">
        <v>13124</v>
      </c>
      <c r="B3825">
        <v>1</v>
      </c>
    </row>
    <row r="3826" spans="1:2">
      <c r="A3826" t="s">
        <v>13148</v>
      </c>
      <c r="B3826">
        <v>1</v>
      </c>
    </row>
    <row r="3827" spans="1:2">
      <c r="A3827" t="s">
        <v>13150</v>
      </c>
      <c r="B3827">
        <v>1</v>
      </c>
    </row>
    <row r="3828" spans="1:2">
      <c r="A3828" t="s">
        <v>13134</v>
      </c>
      <c r="B3828">
        <v>1</v>
      </c>
    </row>
    <row r="3829" spans="1:2">
      <c r="A3829" t="s">
        <v>13131</v>
      </c>
      <c r="B3829">
        <v>1</v>
      </c>
    </row>
    <row r="3830" spans="1:2">
      <c r="A3830" t="s">
        <v>13147</v>
      </c>
      <c r="B3830">
        <v>1</v>
      </c>
    </row>
    <row r="3831" spans="1:2">
      <c r="A3831" t="s">
        <v>13128</v>
      </c>
      <c r="B3831">
        <v>1</v>
      </c>
    </row>
    <row r="3832" spans="1:2">
      <c r="A3832" t="s">
        <v>13117</v>
      </c>
      <c r="B3832">
        <v>1</v>
      </c>
    </row>
    <row r="3833" spans="1:2">
      <c r="A3833" t="s">
        <v>13102</v>
      </c>
      <c r="B3833">
        <v>1</v>
      </c>
    </row>
    <row r="3834" spans="1:2">
      <c r="A3834" t="s">
        <v>13115</v>
      </c>
      <c r="B3834">
        <v>1</v>
      </c>
    </row>
    <row r="3835" spans="1:2">
      <c r="A3835" t="s">
        <v>13111</v>
      </c>
      <c r="B3835">
        <v>1</v>
      </c>
    </row>
    <row r="3836" spans="1:2">
      <c r="A3836" t="s">
        <v>13109</v>
      </c>
      <c r="B3836">
        <v>1</v>
      </c>
    </row>
    <row r="3837" spans="1:2">
      <c r="A3837" t="s">
        <v>13105</v>
      </c>
      <c r="B3837">
        <v>1</v>
      </c>
    </row>
    <row r="3838" spans="1:2">
      <c r="A3838" t="s">
        <v>13232</v>
      </c>
      <c r="B3838">
        <v>1</v>
      </c>
    </row>
    <row r="3839" spans="1:2">
      <c r="A3839" t="s">
        <v>13230</v>
      </c>
      <c r="B3839">
        <v>1</v>
      </c>
    </row>
    <row r="3840" spans="1:2">
      <c r="A3840" t="s">
        <v>13225</v>
      </c>
      <c r="B3840">
        <v>1</v>
      </c>
    </row>
    <row r="3841" spans="1:2">
      <c r="A3841" t="s">
        <v>13223</v>
      </c>
      <c r="B3841">
        <v>1</v>
      </c>
    </row>
    <row r="3842" spans="1:2">
      <c r="A3842" t="s">
        <v>13220</v>
      </c>
      <c r="B3842">
        <v>1</v>
      </c>
    </row>
    <row r="3843" spans="1:2">
      <c r="A3843" t="s">
        <v>13247</v>
      </c>
      <c r="B3843">
        <v>1</v>
      </c>
    </row>
    <row r="3844" spans="1:2">
      <c r="A3844" t="s">
        <v>13273</v>
      </c>
      <c r="B3844">
        <v>1</v>
      </c>
    </row>
    <row r="3845" spans="1:2">
      <c r="A3845" t="s">
        <v>13263</v>
      </c>
      <c r="B3845">
        <v>1</v>
      </c>
    </row>
    <row r="3846" spans="1:2">
      <c r="A3846" t="s">
        <v>13266</v>
      </c>
      <c r="B3846">
        <v>1</v>
      </c>
    </row>
    <row r="3847" spans="1:2">
      <c r="A3847" t="s">
        <v>13269</v>
      </c>
      <c r="B3847">
        <v>1</v>
      </c>
    </row>
    <row r="3848" spans="1:2">
      <c r="A3848" t="s">
        <v>13252</v>
      </c>
      <c r="B3848">
        <v>1</v>
      </c>
    </row>
    <row r="3849" spans="1:2">
      <c r="A3849" t="s">
        <v>13276</v>
      </c>
      <c r="B3849">
        <v>1</v>
      </c>
    </row>
    <row r="3850" spans="1:2">
      <c r="A3850" t="s">
        <v>13256</v>
      </c>
      <c r="B3850">
        <v>1</v>
      </c>
    </row>
    <row r="3851" spans="1:2">
      <c r="A3851" t="s">
        <v>13260</v>
      </c>
      <c r="B3851">
        <v>1</v>
      </c>
    </row>
    <row r="3852" spans="1:2">
      <c r="A3852" t="s">
        <v>13504</v>
      </c>
      <c r="B3852">
        <v>1</v>
      </c>
    </row>
    <row r="3853" spans="1:2">
      <c r="A3853" t="s">
        <v>13501</v>
      </c>
      <c r="B3853">
        <v>1</v>
      </c>
    </row>
    <row r="3854" spans="1:2">
      <c r="A3854" t="s">
        <v>13499</v>
      </c>
      <c r="B3854">
        <v>1</v>
      </c>
    </row>
    <row r="3855" spans="1:2">
      <c r="A3855" t="s">
        <v>13492</v>
      </c>
      <c r="B3855">
        <v>1</v>
      </c>
    </row>
    <row r="3856" spans="1:2">
      <c r="A3856" t="s">
        <v>13488</v>
      </c>
      <c r="B3856">
        <v>1</v>
      </c>
    </row>
    <row r="3857" spans="1:2">
      <c r="A3857" t="s">
        <v>13481</v>
      </c>
      <c r="B3857">
        <v>1</v>
      </c>
    </row>
    <row r="3858" spans="1:2">
      <c r="A3858" t="s">
        <v>13478</v>
      </c>
      <c r="B3858">
        <v>1</v>
      </c>
    </row>
    <row r="3859" spans="1:2">
      <c r="A3859" t="s">
        <v>13477</v>
      </c>
      <c r="B3859">
        <v>1</v>
      </c>
    </row>
    <row r="3860" spans="1:2">
      <c r="A3860" t="s">
        <v>13476</v>
      </c>
      <c r="B3860">
        <v>1</v>
      </c>
    </row>
    <row r="3861" spans="1:2">
      <c r="A3861" t="s">
        <v>13474</v>
      </c>
      <c r="B3861">
        <v>1</v>
      </c>
    </row>
    <row r="3862" spans="1:2">
      <c r="A3862" t="s">
        <v>13473</v>
      </c>
      <c r="B3862">
        <v>1</v>
      </c>
    </row>
    <row r="3863" spans="1:2">
      <c r="A3863" t="s">
        <v>13472</v>
      </c>
      <c r="B3863">
        <v>1</v>
      </c>
    </row>
    <row r="3864" spans="1:2">
      <c r="A3864" t="s">
        <v>13471</v>
      </c>
      <c r="B3864">
        <v>1</v>
      </c>
    </row>
    <row r="3865" spans="1:2">
      <c r="A3865" t="s">
        <v>13469</v>
      </c>
      <c r="B3865">
        <v>1</v>
      </c>
    </row>
    <row r="3866" spans="1:2">
      <c r="A3866" t="s">
        <v>13511</v>
      </c>
      <c r="B3866">
        <v>1</v>
      </c>
    </row>
    <row r="3867" spans="1:2">
      <c r="A3867" t="s">
        <v>13529</v>
      </c>
      <c r="B3867">
        <v>1</v>
      </c>
    </row>
    <row r="3868" spans="1:2">
      <c r="A3868" t="s">
        <v>13512</v>
      </c>
      <c r="B3868">
        <v>1</v>
      </c>
    </row>
    <row r="3869" spans="1:2">
      <c r="A3869" t="s">
        <v>13543</v>
      </c>
      <c r="B3869">
        <v>1</v>
      </c>
    </row>
    <row r="3870" spans="1:2">
      <c r="A3870" t="s">
        <v>13542</v>
      </c>
      <c r="B3870">
        <v>1</v>
      </c>
    </row>
    <row r="3871" spans="1:2">
      <c r="A3871" t="s">
        <v>13540</v>
      </c>
      <c r="B3871">
        <v>1</v>
      </c>
    </row>
    <row r="3872" spans="1:2">
      <c r="A3872" t="s">
        <v>13539</v>
      </c>
      <c r="B3872">
        <v>1</v>
      </c>
    </row>
    <row r="3873" spans="1:2">
      <c r="A3873" t="s">
        <v>13538</v>
      </c>
      <c r="B3873">
        <v>1</v>
      </c>
    </row>
    <row r="3874" spans="1:2">
      <c r="A3874" t="s">
        <v>13535</v>
      </c>
      <c r="B3874">
        <v>1</v>
      </c>
    </row>
    <row r="3875" spans="1:2">
      <c r="A3875" t="s">
        <v>13534</v>
      </c>
      <c r="B3875">
        <v>1</v>
      </c>
    </row>
    <row r="3876" spans="1:2">
      <c r="A3876" t="s">
        <v>13533</v>
      </c>
      <c r="B3876">
        <v>1</v>
      </c>
    </row>
    <row r="3877" spans="1:2">
      <c r="A3877" t="s">
        <v>13544</v>
      </c>
      <c r="B3877">
        <v>1</v>
      </c>
    </row>
    <row r="3878" spans="1:2">
      <c r="A3878" t="s">
        <v>13530</v>
      </c>
      <c r="B3878">
        <v>1</v>
      </c>
    </row>
    <row r="3879" spans="1:2">
      <c r="A3879" t="s">
        <v>13531</v>
      </c>
      <c r="B3879">
        <v>1</v>
      </c>
    </row>
    <row r="3880" spans="1:2">
      <c r="A3880" t="s">
        <v>13526</v>
      </c>
      <c r="B3880">
        <v>1</v>
      </c>
    </row>
    <row r="3881" spans="1:2">
      <c r="A3881" t="s">
        <v>13524</v>
      </c>
      <c r="B3881">
        <v>1</v>
      </c>
    </row>
    <row r="3882" spans="1:2">
      <c r="A3882" t="s">
        <v>13520</v>
      </c>
      <c r="B3882">
        <v>1</v>
      </c>
    </row>
    <row r="3883" spans="1:2">
      <c r="A3883" t="s">
        <v>13517</v>
      </c>
      <c r="B3883">
        <v>1</v>
      </c>
    </row>
    <row r="3884" spans="1:2">
      <c r="A3884" t="s">
        <v>13505</v>
      </c>
      <c r="B3884">
        <v>1</v>
      </c>
    </row>
    <row r="3885" spans="1:2">
      <c r="A3885" t="s">
        <v>13464</v>
      </c>
      <c r="B3885">
        <v>1</v>
      </c>
    </row>
    <row r="3886" spans="1:2">
      <c r="A3886" t="s">
        <v>13460</v>
      </c>
      <c r="B3886">
        <v>1</v>
      </c>
    </row>
    <row r="3887" spans="1:2">
      <c r="A3887" t="s">
        <v>13385</v>
      </c>
      <c r="B3887">
        <v>1</v>
      </c>
    </row>
    <row r="3888" spans="1:2">
      <c r="A3888" t="s">
        <v>13377</v>
      </c>
      <c r="B3888">
        <v>1</v>
      </c>
    </row>
    <row r="3889" spans="1:2">
      <c r="A3889" t="s">
        <v>13372</v>
      </c>
      <c r="B3889">
        <v>1</v>
      </c>
    </row>
    <row r="3890" spans="1:2">
      <c r="A3890" t="s">
        <v>13369</v>
      </c>
      <c r="B3890">
        <v>1</v>
      </c>
    </row>
    <row r="3891" spans="1:2">
      <c r="A3891" t="s">
        <v>13365</v>
      </c>
      <c r="B3891">
        <v>1</v>
      </c>
    </row>
    <row r="3892" spans="1:2">
      <c r="A3892" t="s">
        <v>13361</v>
      </c>
      <c r="B3892">
        <v>1</v>
      </c>
    </row>
    <row r="3893" spans="1:2">
      <c r="A3893" t="s">
        <v>13357</v>
      </c>
      <c r="B3893">
        <v>1</v>
      </c>
    </row>
    <row r="3894" spans="1:2">
      <c r="A3894" t="s">
        <v>13389</v>
      </c>
      <c r="B3894">
        <v>1</v>
      </c>
    </row>
    <row r="3895" spans="1:2">
      <c r="A3895" t="s">
        <v>13349</v>
      </c>
      <c r="B3895">
        <v>1</v>
      </c>
    </row>
    <row r="3896" spans="1:2">
      <c r="A3896" t="s">
        <v>13345</v>
      </c>
      <c r="B3896">
        <v>1</v>
      </c>
    </row>
    <row r="3897" spans="1:2">
      <c r="A3897" t="s">
        <v>13341</v>
      </c>
      <c r="B3897">
        <v>1</v>
      </c>
    </row>
    <row r="3898" spans="1:2">
      <c r="A3898" t="s">
        <v>13339</v>
      </c>
      <c r="B3898">
        <v>1</v>
      </c>
    </row>
    <row r="3899" spans="1:2">
      <c r="A3899" t="s">
        <v>13337</v>
      </c>
      <c r="B3899">
        <v>1</v>
      </c>
    </row>
    <row r="3900" spans="1:2">
      <c r="A3900" t="s">
        <v>13334</v>
      </c>
      <c r="B3900">
        <v>1</v>
      </c>
    </row>
    <row r="3901" spans="1:2">
      <c r="A3901" t="s">
        <v>13331</v>
      </c>
      <c r="B3901">
        <v>1</v>
      </c>
    </row>
    <row r="3902" spans="1:2">
      <c r="A3902" t="s">
        <v>13329</v>
      </c>
      <c r="B3902">
        <v>1</v>
      </c>
    </row>
    <row r="3903" spans="1:2">
      <c r="A3903" t="s">
        <v>13325</v>
      </c>
      <c r="B3903">
        <v>1</v>
      </c>
    </row>
    <row r="3904" spans="1:2">
      <c r="A3904" t="s">
        <v>13350</v>
      </c>
      <c r="B3904">
        <v>1</v>
      </c>
    </row>
    <row r="3905" spans="1:2">
      <c r="A3905" t="s">
        <v>13393</v>
      </c>
      <c r="B3905">
        <v>1</v>
      </c>
    </row>
    <row r="3906" spans="1:2">
      <c r="A3906" t="s">
        <v>13397</v>
      </c>
      <c r="B3906">
        <v>1</v>
      </c>
    </row>
    <row r="3907" spans="1:2">
      <c r="A3907" t="s">
        <v>13400</v>
      </c>
      <c r="B3907">
        <v>1</v>
      </c>
    </row>
    <row r="3908" spans="1:2">
      <c r="A3908" t="s">
        <v>13456</v>
      </c>
      <c r="B3908">
        <v>1</v>
      </c>
    </row>
    <row r="3909" spans="1:2">
      <c r="A3909" t="s">
        <v>13452</v>
      </c>
      <c r="B3909">
        <v>1</v>
      </c>
    </row>
    <row r="3910" spans="1:2">
      <c r="A3910" t="s">
        <v>13449</v>
      </c>
      <c r="B3910">
        <v>1</v>
      </c>
    </row>
    <row r="3911" spans="1:2">
      <c r="A3911" t="s">
        <v>13445</v>
      </c>
      <c r="B3911">
        <v>1</v>
      </c>
    </row>
    <row r="3912" spans="1:2">
      <c r="A3912" t="s">
        <v>13441</v>
      </c>
      <c r="B3912">
        <v>1</v>
      </c>
    </row>
    <row r="3913" spans="1:2">
      <c r="A3913" t="s">
        <v>13438</v>
      </c>
      <c r="B3913">
        <v>1</v>
      </c>
    </row>
    <row r="3914" spans="1:2">
      <c r="A3914" t="s">
        <v>13435</v>
      </c>
      <c r="B3914">
        <v>1</v>
      </c>
    </row>
    <row r="3915" spans="1:2">
      <c r="A3915" t="s">
        <v>13407</v>
      </c>
      <c r="B3915">
        <v>1</v>
      </c>
    </row>
    <row r="3916" spans="1:2">
      <c r="A3916" t="s">
        <v>13463</v>
      </c>
      <c r="B3916">
        <v>1</v>
      </c>
    </row>
    <row r="3917" spans="1:2">
      <c r="A3917" t="s">
        <v>13402</v>
      </c>
      <c r="B3917">
        <v>1</v>
      </c>
    </row>
    <row r="3918" spans="1:2">
      <c r="A3918" t="s">
        <v>13403</v>
      </c>
      <c r="B3918">
        <v>1</v>
      </c>
    </row>
    <row r="3919" spans="1:2">
      <c r="A3919" t="s">
        <v>13404</v>
      </c>
      <c r="B3919">
        <v>1</v>
      </c>
    </row>
    <row r="3920" spans="1:2">
      <c r="A3920" t="s">
        <v>13405</v>
      </c>
      <c r="B3920">
        <v>1</v>
      </c>
    </row>
    <row r="3921" spans="1:2">
      <c r="A3921" t="s">
        <v>13406</v>
      </c>
      <c r="B3921">
        <v>1</v>
      </c>
    </row>
    <row r="3922" spans="1:2">
      <c r="A3922" t="s">
        <v>13324</v>
      </c>
      <c r="B3922">
        <v>1</v>
      </c>
    </row>
    <row r="3923" spans="1:2">
      <c r="A3923" t="s">
        <v>13411</v>
      </c>
      <c r="B3923">
        <v>1</v>
      </c>
    </row>
    <row r="3924" spans="1:2">
      <c r="A3924" t="s">
        <v>13412</v>
      </c>
      <c r="B3924">
        <v>1</v>
      </c>
    </row>
    <row r="3925" spans="1:2">
      <c r="A3925" t="s">
        <v>13416</v>
      </c>
      <c r="B3925">
        <v>1</v>
      </c>
    </row>
    <row r="3926" spans="1:2">
      <c r="A3926" t="s">
        <v>13418</v>
      </c>
      <c r="B3926">
        <v>1</v>
      </c>
    </row>
    <row r="3927" spans="1:2">
      <c r="A3927" t="s">
        <v>13421</v>
      </c>
      <c r="B3927">
        <v>1</v>
      </c>
    </row>
    <row r="3928" spans="1:2">
      <c r="A3928" t="s">
        <v>13424</v>
      </c>
      <c r="B3928">
        <v>1</v>
      </c>
    </row>
    <row r="3929" spans="1:2">
      <c r="A3929" t="s">
        <v>13427</v>
      </c>
      <c r="B3929">
        <v>1</v>
      </c>
    </row>
    <row r="3930" spans="1:2">
      <c r="A3930" t="s">
        <v>13431</v>
      </c>
      <c r="B3930">
        <v>1</v>
      </c>
    </row>
    <row r="3931" spans="1:2">
      <c r="A3931" t="s">
        <v>14108</v>
      </c>
      <c r="B3931">
        <v>1</v>
      </c>
    </row>
    <row r="3932" spans="1:2">
      <c r="A3932" t="s">
        <v>14106</v>
      </c>
      <c r="B3932">
        <v>1</v>
      </c>
    </row>
    <row r="3933" spans="1:2">
      <c r="A3933" t="s">
        <v>14104</v>
      </c>
      <c r="B3933">
        <v>1</v>
      </c>
    </row>
    <row r="3934" spans="1:2">
      <c r="A3934" t="s">
        <v>14102</v>
      </c>
      <c r="B3934">
        <v>1</v>
      </c>
    </row>
    <row r="3935" spans="1:2">
      <c r="A3935" t="s">
        <v>14100</v>
      </c>
      <c r="B3935">
        <v>1</v>
      </c>
    </row>
    <row r="3936" spans="1:2">
      <c r="A3936" t="s">
        <v>14098</v>
      </c>
      <c r="B3936">
        <v>1</v>
      </c>
    </row>
    <row r="3937" spans="1:2">
      <c r="A3937" t="s">
        <v>14096</v>
      </c>
      <c r="B3937">
        <v>1</v>
      </c>
    </row>
    <row r="3938" spans="1:2">
      <c r="A3938" t="s">
        <v>14094</v>
      </c>
      <c r="B3938">
        <v>1</v>
      </c>
    </row>
    <row r="3939" spans="1:2">
      <c r="A3939" t="s">
        <v>14092</v>
      </c>
      <c r="B3939">
        <v>1</v>
      </c>
    </row>
    <row r="3940" spans="1:2">
      <c r="A3940" t="s">
        <v>14091</v>
      </c>
      <c r="B3940">
        <v>1</v>
      </c>
    </row>
    <row r="3941" spans="1:2">
      <c r="A3941" t="s">
        <v>14088</v>
      </c>
      <c r="B3941">
        <v>1</v>
      </c>
    </row>
    <row r="3942" spans="1:2">
      <c r="A3942" t="s">
        <v>14085</v>
      </c>
      <c r="B3942">
        <v>1</v>
      </c>
    </row>
    <row r="3943" spans="1:2">
      <c r="A3943" t="s">
        <v>14082</v>
      </c>
      <c r="B3943">
        <v>1</v>
      </c>
    </row>
    <row r="3944" spans="1:2">
      <c r="A3944" t="s">
        <v>14080</v>
      </c>
      <c r="B3944">
        <v>1</v>
      </c>
    </row>
    <row r="3945" spans="1:2">
      <c r="A3945" t="s">
        <v>14115</v>
      </c>
      <c r="B3945">
        <v>1</v>
      </c>
    </row>
    <row r="3946" spans="1:2">
      <c r="A3946" t="s">
        <v>14120</v>
      </c>
      <c r="B3946">
        <v>1</v>
      </c>
    </row>
    <row r="3947" spans="1:2">
      <c r="A3947" t="s">
        <v>14155</v>
      </c>
      <c r="B3947">
        <v>1</v>
      </c>
    </row>
    <row r="3948" spans="1:2">
      <c r="A3948" t="s">
        <v>14076</v>
      </c>
      <c r="B3948">
        <v>1</v>
      </c>
    </row>
    <row r="3949" spans="1:2">
      <c r="A3949" t="s">
        <v>14122</v>
      </c>
      <c r="B3949">
        <v>1</v>
      </c>
    </row>
    <row r="3950" spans="1:2">
      <c r="A3950" t="s">
        <v>14153</v>
      </c>
      <c r="B3950">
        <v>1</v>
      </c>
    </row>
    <row r="3951" spans="1:2">
      <c r="A3951" t="s">
        <v>14151</v>
      </c>
      <c r="B3951">
        <v>1</v>
      </c>
    </row>
    <row r="3952" spans="1:2">
      <c r="A3952" t="s">
        <v>14149</v>
      </c>
      <c r="B3952">
        <v>1</v>
      </c>
    </row>
    <row r="3953" spans="1:2">
      <c r="A3953" t="s">
        <v>14147</v>
      </c>
      <c r="B3953">
        <v>1</v>
      </c>
    </row>
    <row r="3954" spans="1:2">
      <c r="A3954" t="s">
        <v>14145</v>
      </c>
      <c r="B3954">
        <v>1</v>
      </c>
    </row>
    <row r="3955" spans="1:2">
      <c r="A3955" t="s">
        <v>14143</v>
      </c>
      <c r="B3955">
        <v>1</v>
      </c>
    </row>
    <row r="3956" spans="1:2">
      <c r="A3956" t="s">
        <v>14141</v>
      </c>
      <c r="B3956">
        <v>1</v>
      </c>
    </row>
    <row r="3957" spans="1:2">
      <c r="A3957" t="s">
        <v>14139</v>
      </c>
      <c r="B3957">
        <v>1</v>
      </c>
    </row>
    <row r="3958" spans="1:2">
      <c r="A3958" t="s">
        <v>14137</v>
      </c>
      <c r="B3958">
        <v>1</v>
      </c>
    </row>
    <row r="3959" spans="1:2">
      <c r="A3959" t="s">
        <v>14135</v>
      </c>
      <c r="B3959">
        <v>1</v>
      </c>
    </row>
    <row r="3960" spans="1:2">
      <c r="A3960" t="s">
        <v>14133</v>
      </c>
      <c r="B3960">
        <v>1</v>
      </c>
    </row>
    <row r="3961" spans="1:2">
      <c r="A3961" t="s">
        <v>14131</v>
      </c>
      <c r="B3961">
        <v>1</v>
      </c>
    </row>
    <row r="3962" spans="1:2">
      <c r="A3962" t="s">
        <v>14129</v>
      </c>
      <c r="B3962">
        <v>1</v>
      </c>
    </row>
    <row r="3963" spans="1:2">
      <c r="A3963" t="s">
        <v>14125</v>
      </c>
      <c r="B3963">
        <v>1</v>
      </c>
    </row>
    <row r="3964" spans="1:2">
      <c r="A3964" t="s">
        <v>14123</v>
      </c>
      <c r="B3964">
        <v>1</v>
      </c>
    </row>
    <row r="3965" spans="1:2">
      <c r="A3965" t="s">
        <v>14077</v>
      </c>
      <c r="B3965">
        <v>1</v>
      </c>
    </row>
    <row r="3966" spans="1:2">
      <c r="A3966" t="s">
        <v>14117</v>
      </c>
      <c r="B3966">
        <v>1</v>
      </c>
    </row>
    <row r="3967" spans="1:2">
      <c r="A3967" t="s">
        <v>14074</v>
      </c>
      <c r="B3967">
        <v>1</v>
      </c>
    </row>
    <row r="3968" spans="1:2">
      <c r="A3968" t="s">
        <v>14011</v>
      </c>
      <c r="B3968">
        <v>1</v>
      </c>
    </row>
    <row r="3969" spans="1:2">
      <c r="A3969" t="s">
        <v>13994</v>
      </c>
      <c r="B3969">
        <v>1</v>
      </c>
    </row>
    <row r="3970" spans="1:2">
      <c r="A3970" t="s">
        <v>13997</v>
      </c>
      <c r="B3970">
        <v>1</v>
      </c>
    </row>
    <row r="3971" spans="1:2">
      <c r="A3971" t="s">
        <v>14002</v>
      </c>
      <c r="B3971">
        <v>1</v>
      </c>
    </row>
    <row r="3972" spans="1:2">
      <c r="A3972" t="s">
        <v>14005</v>
      </c>
      <c r="B3972">
        <v>1</v>
      </c>
    </row>
    <row r="3973" spans="1:2">
      <c r="A3973" t="s">
        <v>14009</v>
      </c>
      <c r="B3973">
        <v>1</v>
      </c>
    </row>
    <row r="3974" spans="1:2">
      <c r="A3974" t="s">
        <v>14070</v>
      </c>
      <c r="B3974">
        <v>1</v>
      </c>
    </row>
    <row r="3975" spans="1:2">
      <c r="A3975" t="s">
        <v>14067</v>
      </c>
      <c r="B3975">
        <v>1</v>
      </c>
    </row>
    <row r="3976" spans="1:2">
      <c r="A3976" t="s">
        <v>14064</v>
      </c>
      <c r="B3976">
        <v>1</v>
      </c>
    </row>
    <row r="3977" spans="1:2">
      <c r="A3977" t="s">
        <v>14060</v>
      </c>
      <c r="B3977">
        <v>1</v>
      </c>
    </row>
    <row r="3978" spans="1:2">
      <c r="A3978" t="s">
        <v>14057</v>
      </c>
      <c r="B3978">
        <v>1</v>
      </c>
    </row>
    <row r="3979" spans="1:2">
      <c r="A3979" t="s">
        <v>14013</v>
      </c>
      <c r="B3979">
        <v>1</v>
      </c>
    </row>
    <row r="3980" spans="1:2">
      <c r="A3980" t="s">
        <v>14054</v>
      </c>
      <c r="B3980">
        <v>1</v>
      </c>
    </row>
    <row r="3981" spans="1:2">
      <c r="A3981" t="s">
        <v>14050</v>
      </c>
      <c r="B3981">
        <v>1</v>
      </c>
    </row>
    <row r="3982" spans="1:2">
      <c r="A3982" t="s">
        <v>14046</v>
      </c>
      <c r="B3982">
        <v>1</v>
      </c>
    </row>
    <row r="3983" spans="1:2">
      <c r="A3983" t="s">
        <v>14043</v>
      </c>
      <c r="B3983">
        <v>1</v>
      </c>
    </row>
    <row r="3984" spans="1:2">
      <c r="A3984" t="s">
        <v>14039</v>
      </c>
      <c r="B3984">
        <v>1</v>
      </c>
    </row>
    <row r="3985" spans="1:2">
      <c r="A3985" t="s">
        <v>14035</v>
      </c>
      <c r="B3985">
        <v>1</v>
      </c>
    </row>
    <row r="3986" spans="1:2">
      <c r="A3986" t="s">
        <v>14031</v>
      </c>
      <c r="B3986">
        <v>1</v>
      </c>
    </row>
    <row r="3987" spans="1:2">
      <c r="A3987" t="s">
        <v>14026</v>
      </c>
      <c r="B3987">
        <v>1</v>
      </c>
    </row>
    <row r="3988" spans="1:2">
      <c r="A3988" t="s">
        <v>14024</v>
      </c>
      <c r="B3988">
        <v>1</v>
      </c>
    </row>
    <row r="3989" spans="1:2">
      <c r="A3989" t="s">
        <v>14021</v>
      </c>
      <c r="B3989">
        <v>1</v>
      </c>
    </row>
    <row r="3990" spans="1:2">
      <c r="A3990" t="s">
        <v>14017</v>
      </c>
      <c r="B3990">
        <v>1</v>
      </c>
    </row>
    <row r="3991" spans="1:2">
      <c r="A3991" t="s">
        <v>14111</v>
      </c>
      <c r="B3991">
        <v>1</v>
      </c>
    </row>
    <row r="3992" spans="1:2">
      <c r="A3992" t="s">
        <v>14157</v>
      </c>
      <c r="B3992">
        <v>1</v>
      </c>
    </row>
    <row r="3993" spans="1:2">
      <c r="A3993" t="s">
        <v>14192</v>
      </c>
      <c r="B3993">
        <v>1</v>
      </c>
    </row>
    <row r="3994" spans="1:2">
      <c r="A3994" t="s">
        <v>14164</v>
      </c>
      <c r="B3994">
        <v>1</v>
      </c>
    </row>
    <row r="3995" spans="1:2">
      <c r="A3995" t="s">
        <v>14254</v>
      </c>
      <c r="B3995">
        <v>1</v>
      </c>
    </row>
    <row r="3996" spans="1:2">
      <c r="A3996" t="s">
        <v>14208</v>
      </c>
      <c r="B3996">
        <v>1</v>
      </c>
    </row>
    <row r="3997" spans="1:2">
      <c r="A3997" t="s">
        <v>14212</v>
      </c>
      <c r="B3997">
        <v>1</v>
      </c>
    </row>
    <row r="3998" spans="1:2">
      <c r="A3998" t="s">
        <v>14215</v>
      </c>
      <c r="B3998">
        <v>1</v>
      </c>
    </row>
    <row r="3999" spans="1:2">
      <c r="A3999" t="s">
        <v>14218</v>
      </c>
      <c r="B3999">
        <v>1</v>
      </c>
    </row>
    <row r="4000" spans="1:2">
      <c r="A4000" t="s">
        <v>14221</v>
      </c>
      <c r="B4000">
        <v>1</v>
      </c>
    </row>
    <row r="4001" spans="1:2">
      <c r="A4001" t="s">
        <v>14225</v>
      </c>
      <c r="B4001">
        <v>1</v>
      </c>
    </row>
    <row r="4002" spans="1:2">
      <c r="A4002" t="s">
        <v>14228</v>
      </c>
      <c r="B4002">
        <v>1</v>
      </c>
    </row>
    <row r="4003" spans="1:2">
      <c r="A4003" t="s">
        <v>14232</v>
      </c>
      <c r="B4003">
        <v>1</v>
      </c>
    </row>
    <row r="4004" spans="1:2">
      <c r="A4004" t="s">
        <v>14236</v>
      </c>
      <c r="B4004">
        <v>1</v>
      </c>
    </row>
    <row r="4005" spans="1:2">
      <c r="A4005" t="s">
        <v>14239</v>
      </c>
      <c r="B4005">
        <v>1</v>
      </c>
    </row>
    <row r="4006" spans="1:2">
      <c r="A4006" t="s">
        <v>14241</v>
      </c>
      <c r="B4006">
        <v>1</v>
      </c>
    </row>
    <row r="4007" spans="1:2">
      <c r="A4007" t="s">
        <v>14243</v>
      </c>
      <c r="B4007">
        <v>1</v>
      </c>
    </row>
    <row r="4008" spans="1:2">
      <c r="A4008" t="s">
        <v>14247</v>
      </c>
      <c r="B4008">
        <v>1</v>
      </c>
    </row>
    <row r="4009" spans="1:2">
      <c r="A4009" t="s">
        <v>14251</v>
      </c>
      <c r="B4009">
        <v>1</v>
      </c>
    </row>
    <row r="4010" spans="1:2">
      <c r="A4010" t="s">
        <v>14206</v>
      </c>
      <c r="B4010">
        <v>1</v>
      </c>
    </row>
    <row r="4011" spans="1:2">
      <c r="A4011" t="s">
        <v>14160</v>
      </c>
      <c r="B4011">
        <v>1</v>
      </c>
    </row>
    <row r="4012" spans="1:2">
      <c r="A4012" t="s">
        <v>14196</v>
      </c>
      <c r="B4012">
        <v>1</v>
      </c>
    </row>
    <row r="4013" spans="1:2">
      <c r="A4013" t="s">
        <v>14168</v>
      </c>
      <c r="B4013">
        <v>1</v>
      </c>
    </row>
    <row r="4014" spans="1:2">
      <c r="A4014" t="s">
        <v>14170</v>
      </c>
      <c r="B4014">
        <v>1</v>
      </c>
    </row>
    <row r="4015" spans="1:2">
      <c r="A4015" t="s">
        <v>14175</v>
      </c>
      <c r="B4015">
        <v>1</v>
      </c>
    </row>
    <row r="4016" spans="1:2">
      <c r="A4016" t="s">
        <v>14179</v>
      </c>
      <c r="B4016">
        <v>1</v>
      </c>
    </row>
    <row r="4017" spans="1:2">
      <c r="A4017" t="s">
        <v>14180</v>
      </c>
      <c r="B4017">
        <v>1</v>
      </c>
    </row>
    <row r="4018" spans="1:2">
      <c r="A4018" t="s">
        <v>14183</v>
      </c>
      <c r="B4018">
        <v>1</v>
      </c>
    </row>
    <row r="4019" spans="1:2">
      <c r="A4019" t="s">
        <v>14187</v>
      </c>
      <c r="B4019">
        <v>1</v>
      </c>
    </row>
    <row r="4020" spans="1:2">
      <c r="A4020" t="s">
        <v>14188</v>
      </c>
      <c r="B4020">
        <v>1</v>
      </c>
    </row>
    <row r="4021" spans="1:2">
      <c r="A4021" t="s">
        <v>14190</v>
      </c>
      <c r="B4021">
        <v>1</v>
      </c>
    </row>
    <row r="4022" spans="1:2">
      <c r="A4022" t="s">
        <v>14191</v>
      </c>
      <c r="B4022">
        <v>1</v>
      </c>
    </row>
    <row r="4023" spans="1:2">
      <c r="A4023" t="s">
        <v>14363</v>
      </c>
      <c r="B4023">
        <v>1</v>
      </c>
    </row>
    <row r="4024" spans="1:2">
      <c r="A4024" t="s">
        <v>14359</v>
      </c>
      <c r="B4024">
        <v>1</v>
      </c>
    </row>
    <row r="4025" spans="1:2">
      <c r="A4025" t="s">
        <v>14395</v>
      </c>
      <c r="B4025">
        <v>1</v>
      </c>
    </row>
    <row r="4026" spans="1:2">
      <c r="A4026" t="s">
        <v>14352</v>
      </c>
      <c r="B4026">
        <v>1</v>
      </c>
    </row>
    <row r="4027" spans="1:2">
      <c r="A4027" t="s">
        <v>14345</v>
      </c>
      <c r="B4027">
        <v>1</v>
      </c>
    </row>
    <row r="4028" spans="1:2">
      <c r="A4028" t="s">
        <v>14342</v>
      </c>
      <c r="B4028">
        <v>1</v>
      </c>
    </row>
    <row r="4029" spans="1:2">
      <c r="A4029" t="s">
        <v>14334</v>
      </c>
      <c r="B4029">
        <v>1</v>
      </c>
    </row>
    <row r="4030" spans="1:2">
      <c r="A4030" t="s">
        <v>14330</v>
      </c>
      <c r="B4030">
        <v>1</v>
      </c>
    </row>
    <row r="4031" spans="1:2">
      <c r="A4031" t="s">
        <v>14326</v>
      </c>
      <c r="B4031">
        <v>1</v>
      </c>
    </row>
    <row r="4032" spans="1:2">
      <c r="A4032" t="s">
        <v>14323</v>
      </c>
      <c r="B4032">
        <v>1</v>
      </c>
    </row>
    <row r="4033" spans="1:2">
      <c r="A4033" t="s">
        <v>14349</v>
      </c>
      <c r="B4033">
        <v>1</v>
      </c>
    </row>
    <row r="4034" spans="1:2">
      <c r="A4034" t="s">
        <v>14367</v>
      </c>
      <c r="B4034">
        <v>1</v>
      </c>
    </row>
    <row r="4035" spans="1:2">
      <c r="A4035" t="s">
        <v>14371</v>
      </c>
      <c r="B4035">
        <v>1</v>
      </c>
    </row>
    <row r="4036" spans="1:2">
      <c r="A4036" t="s">
        <v>14375</v>
      </c>
      <c r="B4036">
        <v>1</v>
      </c>
    </row>
    <row r="4037" spans="1:2">
      <c r="A4037" t="s">
        <v>14379</v>
      </c>
      <c r="B4037">
        <v>1</v>
      </c>
    </row>
    <row r="4038" spans="1:2">
      <c r="A4038" t="s">
        <v>14383</v>
      </c>
      <c r="B4038">
        <v>1</v>
      </c>
    </row>
    <row r="4039" spans="1:2">
      <c r="A4039" t="s">
        <v>14387</v>
      </c>
      <c r="B4039">
        <v>1</v>
      </c>
    </row>
    <row r="4040" spans="1:2">
      <c r="A4040" t="s">
        <v>14391</v>
      </c>
      <c r="B4040">
        <v>1</v>
      </c>
    </row>
    <row r="4041" spans="1:2">
      <c r="A4041" t="s">
        <v>14319</v>
      </c>
      <c r="B4041">
        <v>1</v>
      </c>
    </row>
    <row r="4042" spans="1:2">
      <c r="A4042" t="s">
        <v>14338</v>
      </c>
      <c r="B4042">
        <v>1</v>
      </c>
    </row>
    <row r="4043" spans="1:2">
      <c r="A4043" t="s">
        <v>14312</v>
      </c>
      <c r="B4043">
        <v>1</v>
      </c>
    </row>
    <row r="4044" spans="1:2">
      <c r="A4044" t="s">
        <v>14287</v>
      </c>
      <c r="B4044">
        <v>1</v>
      </c>
    </row>
    <row r="4045" spans="1:2">
      <c r="A4045" t="s">
        <v>14316</v>
      </c>
      <c r="B4045">
        <v>1</v>
      </c>
    </row>
    <row r="4046" spans="1:2">
      <c r="A4046" t="s">
        <v>14273</v>
      </c>
      <c r="B4046">
        <v>1</v>
      </c>
    </row>
    <row r="4047" spans="1:2">
      <c r="A4047" t="s">
        <v>14277</v>
      </c>
      <c r="B4047">
        <v>1</v>
      </c>
    </row>
    <row r="4048" spans="1:2">
      <c r="A4048" t="s">
        <v>14280</v>
      </c>
      <c r="B4048">
        <v>1</v>
      </c>
    </row>
    <row r="4049" spans="1:2">
      <c r="A4049" t="s">
        <v>14283</v>
      </c>
      <c r="B4049">
        <v>1</v>
      </c>
    </row>
    <row r="4050" spans="1:2">
      <c r="A4050" t="s">
        <v>14286</v>
      </c>
      <c r="B4050">
        <v>1</v>
      </c>
    </row>
    <row r="4051" spans="1:2">
      <c r="A4051" t="s">
        <v>14308</v>
      </c>
      <c r="B4051">
        <v>1</v>
      </c>
    </row>
    <row r="4052" spans="1:2">
      <c r="A4052" t="s">
        <v>14291</v>
      </c>
      <c r="B4052">
        <v>1</v>
      </c>
    </row>
    <row r="4053" spans="1:2">
      <c r="A4053" t="s">
        <v>14294</v>
      </c>
      <c r="B4053">
        <v>1</v>
      </c>
    </row>
    <row r="4054" spans="1:2">
      <c r="A4054" t="s">
        <v>14298</v>
      </c>
      <c r="B4054">
        <v>1</v>
      </c>
    </row>
    <row r="4055" spans="1:2">
      <c r="A4055" t="s">
        <v>14301</v>
      </c>
      <c r="B4055">
        <v>1</v>
      </c>
    </row>
    <row r="4056" spans="1:2">
      <c r="A4056" t="s">
        <v>14304</v>
      </c>
      <c r="B4056">
        <v>1</v>
      </c>
    </row>
    <row r="4057" spans="1:2">
      <c r="A4057" t="s">
        <v>14307</v>
      </c>
      <c r="B4057">
        <v>1</v>
      </c>
    </row>
    <row r="4058" spans="1:2">
      <c r="A4058" t="s">
        <v>14270</v>
      </c>
      <c r="B4058">
        <v>1</v>
      </c>
    </row>
    <row r="4059" spans="1:2">
      <c r="A4059" t="s">
        <v>14527</v>
      </c>
      <c r="B4059">
        <v>1</v>
      </c>
    </row>
    <row r="4060" spans="1:2">
      <c r="A4060" t="s">
        <v>14529</v>
      </c>
      <c r="B4060">
        <v>1</v>
      </c>
    </row>
    <row r="4061" spans="1:2">
      <c r="A4061" t="s">
        <v>14532</v>
      </c>
      <c r="B4061">
        <v>1</v>
      </c>
    </row>
    <row r="4062" spans="1:2">
      <c r="A4062" t="s">
        <v>14535</v>
      </c>
      <c r="B4062">
        <v>1</v>
      </c>
    </row>
    <row r="4063" spans="1:2">
      <c r="A4063" t="s">
        <v>15661</v>
      </c>
      <c r="B4063">
        <v>1</v>
      </c>
    </row>
    <row r="4064" spans="1:2">
      <c r="A4064" t="s">
        <v>15637</v>
      </c>
      <c r="B4064">
        <v>1</v>
      </c>
    </row>
    <row r="4065" spans="1:2">
      <c r="A4065" t="s">
        <v>15641</v>
      </c>
      <c r="B4065">
        <v>1</v>
      </c>
    </row>
    <row r="4066" spans="1:2">
      <c r="A4066" t="s">
        <v>15644</v>
      </c>
      <c r="B4066">
        <v>1</v>
      </c>
    </row>
    <row r="4067" spans="1:2">
      <c r="A4067" t="s">
        <v>15653</v>
      </c>
      <c r="B4067">
        <v>1</v>
      </c>
    </row>
    <row r="4068" spans="1:2">
      <c r="A4068" t="s">
        <v>15654</v>
      </c>
      <c r="B4068">
        <v>1</v>
      </c>
    </row>
    <row r="4069" spans="1:2">
      <c r="A4069" t="s">
        <v>15657</v>
      </c>
      <c r="B4069">
        <v>1</v>
      </c>
    </row>
    <row r="4070" spans="1:2">
      <c r="A4070" t="s">
        <v>15632</v>
      </c>
      <c r="B4070">
        <v>1</v>
      </c>
    </row>
    <row r="4071" spans="1:2">
      <c r="A4071" t="s">
        <v>15625</v>
      </c>
      <c r="B4071">
        <v>1</v>
      </c>
    </row>
    <row r="4072" spans="1:2">
      <c r="A4072" t="s">
        <v>15623</v>
      </c>
      <c r="B4072">
        <v>1</v>
      </c>
    </row>
    <row r="4073" spans="1:2">
      <c r="A4073" t="s">
        <v>15619</v>
      </c>
      <c r="B4073">
        <v>1</v>
      </c>
    </row>
    <row r="4074" spans="1:2">
      <c r="A4074" t="s">
        <v>15614</v>
      </c>
      <c r="B4074">
        <v>1</v>
      </c>
    </row>
    <row r="4075" spans="1:2">
      <c r="A4075" t="s">
        <v>15608</v>
      </c>
      <c r="B4075">
        <v>1</v>
      </c>
    </row>
    <row r="4076" spans="1:2">
      <c r="A4076" t="s">
        <v>15605</v>
      </c>
      <c r="B4076">
        <v>1</v>
      </c>
    </row>
    <row r="4077" spans="1:2">
      <c r="A4077" t="s">
        <v>15601</v>
      </c>
      <c r="B4077">
        <v>1</v>
      </c>
    </row>
    <row r="4078" spans="1:2">
      <c r="A4078" t="s">
        <v>15598</v>
      </c>
      <c r="B4078">
        <v>1</v>
      </c>
    </row>
    <row r="4079" spans="1:2">
      <c r="A4079" t="s">
        <v>15649</v>
      </c>
      <c r="B4079">
        <v>1</v>
      </c>
    </row>
    <row r="4080" spans="1:2">
      <c r="A4080" t="s">
        <v>15662</v>
      </c>
      <c r="B4080">
        <v>1</v>
      </c>
    </row>
    <row r="4081" spans="1:2">
      <c r="A4081" t="s">
        <v>15669</v>
      </c>
      <c r="B4081">
        <v>1</v>
      </c>
    </row>
    <row r="4082" spans="1:2">
      <c r="A4082" t="s">
        <v>15672</v>
      </c>
      <c r="B4082">
        <v>1</v>
      </c>
    </row>
    <row r="4083" spans="1:2">
      <c r="A4083" t="s">
        <v>15676</v>
      </c>
      <c r="B4083">
        <v>1</v>
      </c>
    </row>
    <row r="4084" spans="1:2">
      <c r="A4084" t="s">
        <v>15679</v>
      </c>
      <c r="B4084">
        <v>1</v>
      </c>
    </row>
    <row r="4085" spans="1:2">
      <c r="A4085" t="s">
        <v>15683</v>
      </c>
      <c r="B4085">
        <v>1</v>
      </c>
    </row>
    <row r="4086" spans="1:2">
      <c r="A4086" t="s">
        <v>15666</v>
      </c>
      <c r="B4086">
        <v>1</v>
      </c>
    </row>
    <row r="4087" spans="1:2">
      <c r="A4087" t="s">
        <v>15687</v>
      </c>
      <c r="B4087">
        <v>1</v>
      </c>
    </row>
    <row r="4088" spans="1:2">
      <c r="A4088" t="s">
        <v>15690</v>
      </c>
      <c r="B4088">
        <v>1</v>
      </c>
    </row>
    <row r="4089" spans="1:2">
      <c r="A4089" t="s">
        <v>15694</v>
      </c>
      <c r="B4089">
        <v>1</v>
      </c>
    </row>
    <row r="4090" spans="1:2">
      <c r="A4090" t="s">
        <v>15697</v>
      </c>
      <c r="B4090">
        <v>1</v>
      </c>
    </row>
    <row r="4091" spans="1:2">
      <c r="A4091" t="s">
        <v>15700</v>
      </c>
      <c r="B4091">
        <v>1</v>
      </c>
    </row>
    <row r="4092" spans="1:2">
      <c r="A4092" t="s">
        <v>15872</v>
      </c>
      <c r="B4092">
        <v>1</v>
      </c>
    </row>
    <row r="4093" spans="1:2">
      <c r="A4093" t="s">
        <v>15796</v>
      </c>
      <c r="B4093">
        <v>1</v>
      </c>
    </row>
    <row r="4094" spans="1:2">
      <c r="A4094" t="s">
        <v>15975</v>
      </c>
      <c r="B4094">
        <v>1</v>
      </c>
    </row>
    <row r="4095" spans="1:2">
      <c r="A4095" t="s">
        <v>15930</v>
      </c>
      <c r="B4095">
        <v>1</v>
      </c>
    </row>
    <row r="4096" spans="1:2">
      <c r="A4096" t="s">
        <v>15885</v>
      </c>
      <c r="B4096">
        <v>1</v>
      </c>
    </row>
    <row r="4097" spans="1:2">
      <c r="A4097" t="s">
        <v>15881</v>
      </c>
      <c r="B4097">
        <v>1</v>
      </c>
    </row>
    <row r="4098" spans="1:2">
      <c r="A4098" t="s">
        <v>15878</v>
      </c>
      <c r="B4098">
        <v>1</v>
      </c>
    </row>
    <row r="4099" spans="1:2">
      <c r="A4099" t="s">
        <v>15874</v>
      </c>
      <c r="B4099">
        <v>1</v>
      </c>
    </row>
    <row r="4100" spans="1:2">
      <c r="A4100" t="s">
        <v>15793</v>
      </c>
      <c r="B4100">
        <v>1</v>
      </c>
    </row>
    <row r="4101" spans="1:2">
      <c r="A4101" t="s">
        <v>15868</v>
      </c>
      <c r="B4101">
        <v>1</v>
      </c>
    </row>
    <row r="4102" spans="1:2">
      <c r="A4102" t="s">
        <v>15864</v>
      </c>
      <c r="B4102">
        <v>1</v>
      </c>
    </row>
    <row r="4103" spans="1:2">
      <c r="A4103" t="s">
        <v>15861</v>
      </c>
      <c r="B4103">
        <v>1</v>
      </c>
    </row>
    <row r="4104" spans="1:2">
      <c r="A4104" t="s">
        <v>15859</v>
      </c>
      <c r="B4104">
        <v>1</v>
      </c>
    </row>
    <row r="4105" spans="1:2">
      <c r="A4105" t="s">
        <v>15856</v>
      </c>
      <c r="B4105">
        <v>1</v>
      </c>
    </row>
    <row r="4106" spans="1:2">
      <c r="A4106" t="s">
        <v>15852</v>
      </c>
      <c r="B4106">
        <v>1</v>
      </c>
    </row>
    <row r="4107" spans="1:2">
      <c r="A4107" t="s">
        <v>15849</v>
      </c>
      <c r="B4107">
        <v>1</v>
      </c>
    </row>
    <row r="4108" spans="1:2">
      <c r="A4108" t="s">
        <v>15887</v>
      </c>
      <c r="B4108">
        <v>1</v>
      </c>
    </row>
    <row r="4109" spans="1:2">
      <c r="A4109" t="s">
        <v>15846</v>
      </c>
      <c r="B4109">
        <v>1</v>
      </c>
    </row>
    <row r="4110" spans="1:2">
      <c r="A4110" t="s">
        <v>15837</v>
      </c>
      <c r="B4110">
        <v>1</v>
      </c>
    </row>
    <row r="4111" spans="1:2">
      <c r="A4111" t="s">
        <v>15834</v>
      </c>
      <c r="B4111">
        <v>1</v>
      </c>
    </row>
    <row r="4112" spans="1:2">
      <c r="A4112" t="s">
        <v>15831</v>
      </c>
      <c r="B4112">
        <v>1</v>
      </c>
    </row>
    <row r="4113" spans="1:2">
      <c r="A4113" t="s">
        <v>15826</v>
      </c>
      <c r="B4113">
        <v>1</v>
      </c>
    </row>
    <row r="4114" spans="1:2">
      <c r="A4114" t="s">
        <v>15822</v>
      </c>
      <c r="B4114">
        <v>1</v>
      </c>
    </row>
    <row r="4115" spans="1:2">
      <c r="A4115" t="s">
        <v>15818</v>
      </c>
      <c r="B4115">
        <v>1</v>
      </c>
    </row>
    <row r="4116" spans="1:2">
      <c r="A4116" t="s">
        <v>15813</v>
      </c>
      <c r="B4116">
        <v>1</v>
      </c>
    </row>
    <row r="4117" spans="1:2">
      <c r="A4117" t="s">
        <v>15811</v>
      </c>
      <c r="B4117">
        <v>1</v>
      </c>
    </row>
    <row r="4118" spans="1:2">
      <c r="A4118" t="s">
        <v>15808</v>
      </c>
      <c r="B4118">
        <v>1</v>
      </c>
    </row>
    <row r="4119" spans="1:2">
      <c r="A4119" t="s">
        <v>15804</v>
      </c>
      <c r="B4119">
        <v>1</v>
      </c>
    </row>
    <row r="4120" spans="1:2">
      <c r="A4120" t="s">
        <v>15799</v>
      </c>
      <c r="B4120">
        <v>1</v>
      </c>
    </row>
    <row r="4121" spans="1:2">
      <c r="A4121" t="s">
        <v>15841</v>
      </c>
      <c r="B4121">
        <v>1</v>
      </c>
    </row>
    <row r="4122" spans="1:2">
      <c r="A4122" t="s">
        <v>15889</v>
      </c>
      <c r="B4122">
        <v>1</v>
      </c>
    </row>
    <row r="4123" spans="1:2">
      <c r="A4123" t="s">
        <v>15894</v>
      </c>
      <c r="B4123">
        <v>1</v>
      </c>
    </row>
    <row r="4124" spans="1:2">
      <c r="A4124" t="s">
        <v>15897</v>
      </c>
      <c r="B4124">
        <v>1</v>
      </c>
    </row>
    <row r="4125" spans="1:2">
      <c r="A4125" t="s">
        <v>15953</v>
      </c>
      <c r="B4125">
        <v>1</v>
      </c>
    </row>
    <row r="4126" spans="1:2">
      <c r="A4126" t="s">
        <v>15947</v>
      </c>
      <c r="B4126">
        <v>1</v>
      </c>
    </row>
    <row r="4127" spans="1:2">
      <c r="A4127" t="s">
        <v>15948</v>
      </c>
      <c r="B4127">
        <v>1</v>
      </c>
    </row>
    <row r="4128" spans="1:2">
      <c r="A4128" t="s">
        <v>15971</v>
      </c>
      <c r="B4128">
        <v>1</v>
      </c>
    </row>
    <row r="4129" spans="1:2">
      <c r="A4129" t="s">
        <v>15956</v>
      </c>
      <c r="B4129">
        <v>1</v>
      </c>
    </row>
    <row r="4130" spans="1:2">
      <c r="A4130" t="s">
        <v>15960</v>
      </c>
      <c r="B4130">
        <v>1</v>
      </c>
    </row>
    <row r="4131" spans="1:2">
      <c r="A4131" t="s">
        <v>15964</v>
      </c>
      <c r="B4131">
        <v>1</v>
      </c>
    </row>
    <row r="4132" spans="1:2">
      <c r="A4132" t="s">
        <v>15968</v>
      </c>
      <c r="B4132">
        <v>1</v>
      </c>
    </row>
    <row r="4133" spans="1:2">
      <c r="A4133" t="s">
        <v>15943</v>
      </c>
      <c r="B4133">
        <v>1</v>
      </c>
    </row>
    <row r="4134" spans="1:2">
      <c r="A4134" t="s">
        <v>15936</v>
      </c>
      <c r="B4134">
        <v>1</v>
      </c>
    </row>
    <row r="4135" spans="1:2">
      <c r="A4135" t="s">
        <v>15933</v>
      </c>
      <c r="B4135">
        <v>1</v>
      </c>
    </row>
    <row r="4136" spans="1:2">
      <c r="A4136" t="s">
        <v>15939</v>
      </c>
      <c r="B4136">
        <v>1</v>
      </c>
    </row>
    <row r="4137" spans="1:2">
      <c r="A4137" t="s">
        <v>15926</v>
      </c>
      <c r="B4137">
        <v>1</v>
      </c>
    </row>
    <row r="4138" spans="1:2">
      <c r="A4138" t="s">
        <v>15923</v>
      </c>
      <c r="B4138">
        <v>1</v>
      </c>
    </row>
    <row r="4139" spans="1:2">
      <c r="A4139" t="s">
        <v>15919</v>
      </c>
      <c r="B4139">
        <v>1</v>
      </c>
    </row>
    <row r="4140" spans="1:2">
      <c r="A4140" t="s">
        <v>15915</v>
      </c>
      <c r="B4140">
        <v>1</v>
      </c>
    </row>
    <row r="4141" spans="1:2">
      <c r="A4141" t="s">
        <v>15911</v>
      </c>
      <c r="B4141">
        <v>1</v>
      </c>
    </row>
    <row r="4142" spans="1:2">
      <c r="A4142" t="s">
        <v>15789</v>
      </c>
      <c r="B4142">
        <v>1</v>
      </c>
    </row>
    <row r="4143" spans="1:2">
      <c r="A4143" t="s">
        <v>15905</v>
      </c>
      <c r="B4143">
        <v>1</v>
      </c>
    </row>
    <row r="4144" spans="1:2">
      <c r="A4144" t="s">
        <v>15978</v>
      </c>
      <c r="B4144">
        <v>1</v>
      </c>
    </row>
    <row r="4145" spans="1:2">
      <c r="A4145" t="s">
        <v>15983</v>
      </c>
      <c r="B4145">
        <v>1</v>
      </c>
    </row>
    <row r="4146" spans="1:2">
      <c r="A4146" t="s">
        <v>15986</v>
      </c>
      <c r="B4146">
        <v>1</v>
      </c>
    </row>
    <row r="4147" spans="1:2">
      <c r="A4147" t="s">
        <v>15988</v>
      </c>
      <c r="B4147">
        <v>1</v>
      </c>
    </row>
    <row r="4148" spans="1:2">
      <c r="A4148" t="s">
        <v>15992</v>
      </c>
      <c r="B4148">
        <v>1</v>
      </c>
    </row>
    <row r="4149" spans="1:2">
      <c r="A4149" t="s">
        <v>16245</v>
      </c>
      <c r="B4149">
        <v>1</v>
      </c>
    </row>
    <row r="4150" spans="1:2">
      <c r="A4150" t="s">
        <v>16248</v>
      </c>
      <c r="B4150">
        <v>1</v>
      </c>
    </row>
    <row r="4151" spans="1:2">
      <c r="A4151" t="s">
        <v>16241</v>
      </c>
      <c r="B4151">
        <v>1</v>
      </c>
    </row>
    <row r="4152" spans="1:2">
      <c r="A4152" t="s">
        <v>16259</v>
      </c>
      <c r="B4152">
        <v>1</v>
      </c>
    </row>
    <row r="4153" spans="1:2">
      <c r="A4153" t="s">
        <v>16344</v>
      </c>
      <c r="B4153">
        <v>1</v>
      </c>
    </row>
    <row r="4154" spans="1:2">
      <c r="A4154" t="s">
        <v>16252</v>
      </c>
      <c r="B4154">
        <v>1</v>
      </c>
    </row>
    <row r="4155" spans="1:2">
      <c r="A4155" t="s">
        <v>16330</v>
      </c>
      <c r="B4155">
        <v>1</v>
      </c>
    </row>
    <row r="4156" spans="1:2">
      <c r="A4156" t="s">
        <v>16326</v>
      </c>
      <c r="B4156">
        <v>1</v>
      </c>
    </row>
    <row r="4157" spans="1:2">
      <c r="A4157" t="s">
        <v>16322</v>
      </c>
      <c r="B4157">
        <v>1</v>
      </c>
    </row>
    <row r="4158" spans="1:2">
      <c r="A4158" t="s">
        <v>16320</v>
      </c>
      <c r="B4158">
        <v>1</v>
      </c>
    </row>
    <row r="4159" spans="1:2">
      <c r="A4159" t="s">
        <v>16315</v>
      </c>
      <c r="B4159">
        <v>1</v>
      </c>
    </row>
    <row r="4160" spans="1:2">
      <c r="A4160" t="s">
        <v>16312</v>
      </c>
      <c r="B4160">
        <v>1</v>
      </c>
    </row>
    <row r="4161" spans="1:2">
      <c r="A4161" t="s">
        <v>16310</v>
      </c>
      <c r="B4161">
        <v>1</v>
      </c>
    </row>
    <row r="4162" spans="1:2">
      <c r="A4162" t="s">
        <v>16307</v>
      </c>
      <c r="B4162">
        <v>1</v>
      </c>
    </row>
    <row r="4163" spans="1:2">
      <c r="A4163" t="s">
        <v>16287</v>
      </c>
      <c r="B4163">
        <v>1</v>
      </c>
    </row>
    <row r="4164" spans="1:2">
      <c r="A4164" t="s">
        <v>16282</v>
      </c>
      <c r="B4164">
        <v>1</v>
      </c>
    </row>
    <row r="4165" spans="1:2">
      <c r="A4165" t="s">
        <v>16278</v>
      </c>
      <c r="B4165">
        <v>1</v>
      </c>
    </row>
    <row r="4166" spans="1:2">
      <c r="A4166" t="s">
        <v>16226</v>
      </c>
      <c r="B4166">
        <v>1</v>
      </c>
    </row>
    <row r="4167" spans="1:2">
      <c r="A4167" t="s">
        <v>16230</v>
      </c>
      <c r="B4167">
        <v>1</v>
      </c>
    </row>
    <row r="4168" spans="1:2">
      <c r="A4168" t="s">
        <v>16233</v>
      </c>
      <c r="B4168">
        <v>1</v>
      </c>
    </row>
    <row r="4169" spans="1:2">
      <c r="A4169" t="s">
        <v>16237</v>
      </c>
      <c r="B4169">
        <v>1</v>
      </c>
    </row>
    <row r="4170" spans="1:2">
      <c r="A4170" t="s">
        <v>16262</v>
      </c>
      <c r="B4170">
        <v>1</v>
      </c>
    </row>
    <row r="4171" spans="1:2">
      <c r="A4171" t="s">
        <v>16266</v>
      </c>
      <c r="B4171">
        <v>1</v>
      </c>
    </row>
    <row r="4172" spans="1:2">
      <c r="A4172" t="s">
        <v>16340</v>
      </c>
      <c r="B4172">
        <v>1</v>
      </c>
    </row>
    <row r="4173" spans="1:2">
      <c r="A4173" t="s">
        <v>16274</v>
      </c>
      <c r="B4173">
        <v>1</v>
      </c>
    </row>
    <row r="4174" spans="1:2">
      <c r="A4174" t="s">
        <v>16270</v>
      </c>
      <c r="B4174">
        <v>1</v>
      </c>
    </row>
    <row r="4175" spans="1:2">
      <c r="A4175" t="s">
        <v>16337</v>
      </c>
      <c r="B4175">
        <v>1</v>
      </c>
    </row>
    <row r="4176" spans="1:2">
      <c r="A4176" t="s">
        <v>16333</v>
      </c>
      <c r="B4176">
        <v>1</v>
      </c>
    </row>
    <row r="4177" spans="1:2">
      <c r="A4177" t="s">
        <v>16305</v>
      </c>
      <c r="B4177">
        <v>1</v>
      </c>
    </row>
    <row r="4178" spans="1:2">
      <c r="A4178" t="s">
        <v>16302</v>
      </c>
      <c r="B4178">
        <v>1</v>
      </c>
    </row>
    <row r="4179" spans="1:2">
      <c r="A4179" t="s">
        <v>16298</v>
      </c>
      <c r="B4179">
        <v>1</v>
      </c>
    </row>
    <row r="4180" spans="1:2">
      <c r="A4180" t="s">
        <v>16296</v>
      </c>
      <c r="B4180">
        <v>1</v>
      </c>
    </row>
    <row r="4181" spans="1:2">
      <c r="A4181" t="s">
        <v>16292</v>
      </c>
      <c r="B4181">
        <v>1</v>
      </c>
    </row>
    <row r="4182" spans="1:2">
      <c r="A4182" t="s">
        <v>16289</v>
      </c>
      <c r="B4182">
        <v>1</v>
      </c>
    </row>
    <row r="4183" spans="1:2">
      <c r="A4183" t="s">
        <v>16498</v>
      </c>
      <c r="B4183">
        <v>1</v>
      </c>
    </row>
    <row r="4184" spans="1:2">
      <c r="A4184" t="s">
        <v>16502</v>
      </c>
      <c r="B4184">
        <v>1</v>
      </c>
    </row>
    <row r="4185" spans="1:2">
      <c r="A4185" t="s">
        <v>16504</v>
      </c>
      <c r="B4185">
        <v>1</v>
      </c>
    </row>
    <row r="4186" spans="1:2">
      <c r="A4186" t="s">
        <v>16505</v>
      </c>
      <c r="B4186">
        <v>1</v>
      </c>
    </row>
    <row r="4187" spans="1:2">
      <c r="A4187" t="s">
        <v>17762</v>
      </c>
      <c r="B4187">
        <v>1</v>
      </c>
    </row>
    <row r="4188" spans="1:2">
      <c r="A4188" t="s">
        <v>17786</v>
      </c>
      <c r="B4188">
        <v>1</v>
      </c>
    </row>
    <row r="4189" spans="1:2">
      <c r="A4189" t="s">
        <v>17783</v>
      </c>
      <c r="B4189">
        <v>1</v>
      </c>
    </row>
    <row r="4190" spans="1:2">
      <c r="A4190" t="s">
        <v>17794</v>
      </c>
      <c r="B4190">
        <v>1</v>
      </c>
    </row>
    <row r="4191" spans="1:2">
      <c r="A4191" t="s">
        <v>17779</v>
      </c>
      <c r="B4191">
        <v>1</v>
      </c>
    </row>
    <row r="4192" spans="1:2">
      <c r="A4192" t="s">
        <v>17775</v>
      </c>
      <c r="B4192">
        <v>1</v>
      </c>
    </row>
    <row r="4193" spans="1:2">
      <c r="A4193" t="s">
        <v>17772</v>
      </c>
      <c r="B4193">
        <v>1</v>
      </c>
    </row>
    <row r="4194" spans="1:2">
      <c r="A4194" t="s">
        <v>17769</v>
      </c>
      <c r="B4194">
        <v>1</v>
      </c>
    </row>
    <row r="4195" spans="1:2">
      <c r="A4195" t="s">
        <v>17766</v>
      </c>
      <c r="B4195">
        <v>1</v>
      </c>
    </row>
    <row r="4196" spans="1:2">
      <c r="A4196" t="s">
        <v>17797</v>
      </c>
      <c r="B4196">
        <v>1</v>
      </c>
    </row>
    <row r="4197" spans="1:2">
      <c r="A4197" t="s">
        <v>17809</v>
      </c>
      <c r="B4197">
        <v>1</v>
      </c>
    </row>
    <row r="4198" spans="1:2">
      <c r="A4198" t="s">
        <v>17801</v>
      </c>
      <c r="B4198">
        <v>1</v>
      </c>
    </row>
    <row r="4199" spans="1:2">
      <c r="A4199" t="s">
        <v>17805</v>
      </c>
      <c r="B4199">
        <v>1</v>
      </c>
    </row>
    <row r="4200" spans="1:2">
      <c r="A4200" t="s">
        <v>18391</v>
      </c>
      <c r="B4200">
        <v>1</v>
      </c>
    </row>
    <row r="4201" spans="1:2">
      <c r="A4201" t="s">
        <v>18388</v>
      </c>
      <c r="B4201">
        <v>1</v>
      </c>
    </row>
    <row r="4202" spans="1:2">
      <c r="A4202" t="s">
        <v>18385</v>
      </c>
      <c r="B4202">
        <v>1</v>
      </c>
    </row>
    <row r="4203" spans="1:2">
      <c r="A4203" t="s">
        <v>18398</v>
      </c>
      <c r="B4203">
        <v>1</v>
      </c>
    </row>
    <row r="4204" spans="1:2">
      <c r="A4204" t="s">
        <v>18384</v>
      </c>
      <c r="B4204">
        <v>1</v>
      </c>
    </row>
    <row r="4205" spans="1:2">
      <c r="A4205" t="s">
        <v>18379</v>
      </c>
      <c r="B4205">
        <v>1</v>
      </c>
    </row>
    <row r="4206" spans="1:2">
      <c r="A4206" t="s">
        <v>18376</v>
      </c>
      <c r="B4206">
        <v>1</v>
      </c>
    </row>
    <row r="4207" spans="1:2">
      <c r="A4207" t="s">
        <v>18373</v>
      </c>
      <c r="B4207">
        <v>1</v>
      </c>
    </row>
    <row r="4208" spans="1:2">
      <c r="A4208" t="s">
        <v>18369</v>
      </c>
      <c r="B4208">
        <v>1</v>
      </c>
    </row>
    <row r="4209" spans="1:2">
      <c r="A4209" t="s">
        <v>18366</v>
      </c>
      <c r="B4209">
        <v>1</v>
      </c>
    </row>
    <row r="4210" spans="1:2">
      <c r="A4210" t="s">
        <v>18362</v>
      </c>
      <c r="B4210">
        <v>1</v>
      </c>
    </row>
    <row r="4211" spans="1:2">
      <c r="A4211" t="s">
        <v>18381</v>
      </c>
      <c r="B4211">
        <v>1</v>
      </c>
    </row>
    <row r="4212" spans="1:2">
      <c r="A4212" t="s">
        <v>18400</v>
      </c>
      <c r="B4212">
        <v>1</v>
      </c>
    </row>
    <row r="4213" spans="1:2">
      <c r="A4213" t="s">
        <v>18404</v>
      </c>
      <c r="B4213">
        <v>1</v>
      </c>
    </row>
    <row r="4214" spans="1:2">
      <c r="A4214" t="s">
        <v>18407</v>
      </c>
      <c r="B4214">
        <v>1</v>
      </c>
    </row>
    <row r="4215" spans="1:2">
      <c r="A4215" t="s">
        <v>18462</v>
      </c>
      <c r="B4215">
        <v>1</v>
      </c>
    </row>
    <row r="4216" spans="1:2">
      <c r="A4216" t="s">
        <v>18457</v>
      </c>
      <c r="B4216">
        <v>1</v>
      </c>
    </row>
    <row r="4217" spans="1:2">
      <c r="A4217" t="s">
        <v>18453</v>
      </c>
      <c r="B4217">
        <v>1</v>
      </c>
    </row>
    <row r="4218" spans="1:2">
      <c r="A4218" t="s">
        <v>18449</v>
      </c>
      <c r="B4218">
        <v>1</v>
      </c>
    </row>
    <row r="4219" spans="1:2">
      <c r="A4219" t="s">
        <v>18445</v>
      </c>
      <c r="B4219">
        <v>1</v>
      </c>
    </row>
    <row r="4220" spans="1:2">
      <c r="A4220" t="s">
        <v>18441</v>
      </c>
      <c r="B4220">
        <v>1</v>
      </c>
    </row>
    <row r="4221" spans="1:2">
      <c r="A4221" t="s">
        <v>18437</v>
      </c>
      <c r="B4221">
        <v>1</v>
      </c>
    </row>
    <row r="4222" spans="1:2">
      <c r="A4222" t="s">
        <v>18436</v>
      </c>
      <c r="B4222">
        <v>1</v>
      </c>
    </row>
    <row r="4223" spans="1:2">
      <c r="A4223" t="s">
        <v>18433</v>
      </c>
      <c r="B4223">
        <v>1</v>
      </c>
    </row>
    <row r="4224" spans="1:2">
      <c r="A4224" t="s">
        <v>18429</v>
      </c>
      <c r="B4224">
        <v>1</v>
      </c>
    </row>
    <row r="4225" spans="1:2">
      <c r="A4225" t="s">
        <v>18425</v>
      </c>
      <c r="B4225">
        <v>1</v>
      </c>
    </row>
    <row r="4226" spans="1:2">
      <c r="A4226" t="s">
        <v>18356</v>
      </c>
      <c r="B4226">
        <v>1</v>
      </c>
    </row>
    <row r="4227" spans="1:2">
      <c r="A4227" t="s">
        <v>18421</v>
      </c>
      <c r="B4227">
        <v>1</v>
      </c>
    </row>
    <row r="4228" spans="1:2">
      <c r="A4228" t="s">
        <v>18418</v>
      </c>
      <c r="B4228">
        <v>1</v>
      </c>
    </row>
    <row r="4229" spans="1:2">
      <c r="A4229" t="s">
        <v>18415</v>
      </c>
      <c r="B4229">
        <v>1</v>
      </c>
    </row>
    <row r="4230" spans="1:2">
      <c r="A4230" t="s">
        <v>18411</v>
      </c>
      <c r="B4230">
        <v>1</v>
      </c>
    </row>
    <row r="4231" spans="1:2">
      <c r="A4231" t="s">
        <v>18359</v>
      </c>
      <c r="B4231">
        <v>1</v>
      </c>
    </row>
    <row r="4232" spans="1:2">
      <c r="A4232" t="s">
        <v>18465</v>
      </c>
      <c r="B4232">
        <v>1</v>
      </c>
    </row>
    <row r="4233" spans="1:2">
      <c r="A4233" t="s">
        <v>18353</v>
      </c>
      <c r="B4233">
        <v>1</v>
      </c>
    </row>
    <row r="4234" spans="1:2">
      <c r="A4234" t="s">
        <v>18603</v>
      </c>
      <c r="B4234">
        <v>1</v>
      </c>
    </row>
    <row r="4235" spans="1:2">
      <c r="A4235" t="s">
        <v>18607</v>
      </c>
      <c r="B4235">
        <v>1</v>
      </c>
    </row>
    <row r="4236" spans="1:2">
      <c r="A4236" t="s">
        <v>18610</v>
      </c>
      <c r="B4236">
        <v>1</v>
      </c>
    </row>
    <row r="4237" spans="1:2">
      <c r="A4237" t="s">
        <v>18613</v>
      </c>
      <c r="B4237">
        <v>1</v>
      </c>
    </row>
    <row r="4238" spans="1:2">
      <c r="A4238" t="s">
        <v>18617</v>
      </c>
      <c r="B4238">
        <v>1</v>
      </c>
    </row>
    <row r="4239" spans="1:2">
      <c r="A4239" t="s">
        <v>18621</v>
      </c>
      <c r="B4239">
        <v>1</v>
      </c>
    </row>
    <row r="4240" spans="1:2">
      <c r="A4240" t="s">
        <v>18628</v>
      </c>
      <c r="B4240">
        <v>1</v>
      </c>
    </row>
    <row r="4241" spans="1:2">
      <c r="A4241" t="s">
        <v>18599</v>
      </c>
      <c r="B4241">
        <v>1</v>
      </c>
    </row>
    <row r="4242" spans="1:2">
      <c r="A4242" t="s">
        <v>18632</v>
      </c>
      <c r="B4242">
        <v>1</v>
      </c>
    </row>
    <row r="4243" spans="1:2">
      <c r="A4243" t="s">
        <v>18634</v>
      </c>
      <c r="B4243">
        <v>1</v>
      </c>
    </row>
    <row r="4244" spans="1:2">
      <c r="A4244" t="s">
        <v>18638</v>
      </c>
      <c r="B4244">
        <v>1</v>
      </c>
    </row>
    <row r="4245" spans="1:2">
      <c r="A4245" t="s">
        <v>18640</v>
      </c>
      <c r="B4245">
        <v>1</v>
      </c>
    </row>
    <row r="4246" spans="1:2">
      <c r="A4246" t="s">
        <v>18644</v>
      </c>
      <c r="B4246">
        <v>1</v>
      </c>
    </row>
    <row r="4247" spans="1:2">
      <c r="A4247" t="s">
        <v>18646</v>
      </c>
      <c r="B4247">
        <v>1</v>
      </c>
    </row>
    <row r="4248" spans="1:2">
      <c r="A4248" t="s">
        <v>18601</v>
      </c>
      <c r="B4248">
        <v>1</v>
      </c>
    </row>
    <row r="4249" spans="1:2">
      <c r="A4249" t="s">
        <v>18624</v>
      </c>
      <c r="B4249">
        <v>1</v>
      </c>
    </row>
    <row r="4250" spans="1:2">
      <c r="A4250" t="s">
        <v>18595</v>
      </c>
      <c r="B4250">
        <v>1</v>
      </c>
    </row>
    <row r="4251" spans="1:2">
      <c r="A4251" t="s">
        <v>18653</v>
      </c>
      <c r="B4251">
        <v>1</v>
      </c>
    </row>
    <row r="4252" spans="1:2">
      <c r="A4252" t="s">
        <v>18588</v>
      </c>
      <c r="B4252">
        <v>1</v>
      </c>
    </row>
    <row r="4253" spans="1:2">
      <c r="A4253" t="s">
        <v>18549</v>
      </c>
      <c r="B4253">
        <v>1</v>
      </c>
    </row>
    <row r="4254" spans="1:2">
      <c r="A4254" t="s">
        <v>18552</v>
      </c>
      <c r="B4254">
        <v>1</v>
      </c>
    </row>
    <row r="4255" spans="1:2">
      <c r="A4255" t="s">
        <v>18554</v>
      </c>
      <c r="B4255">
        <v>1</v>
      </c>
    </row>
    <row r="4256" spans="1:2">
      <c r="A4256" t="s">
        <v>18558</v>
      </c>
      <c r="B4256">
        <v>1</v>
      </c>
    </row>
    <row r="4257" spans="1:2">
      <c r="A4257" t="s">
        <v>18562</v>
      </c>
      <c r="B4257">
        <v>1</v>
      </c>
    </row>
    <row r="4258" spans="1:2">
      <c r="A4258" t="s">
        <v>18567</v>
      </c>
      <c r="B4258">
        <v>1</v>
      </c>
    </row>
    <row r="4259" spans="1:2">
      <c r="A4259" t="s">
        <v>18592</v>
      </c>
      <c r="B4259">
        <v>1</v>
      </c>
    </row>
    <row r="4260" spans="1:2">
      <c r="A4260" t="s">
        <v>18573</v>
      </c>
      <c r="B4260">
        <v>1</v>
      </c>
    </row>
    <row r="4261" spans="1:2">
      <c r="A4261" t="s">
        <v>18576</v>
      </c>
      <c r="B4261">
        <v>1</v>
      </c>
    </row>
    <row r="4262" spans="1:2">
      <c r="A4262" t="s">
        <v>18570</v>
      </c>
      <c r="B4262">
        <v>1</v>
      </c>
    </row>
    <row r="4263" spans="1:2">
      <c r="A4263" t="s">
        <v>18579</v>
      </c>
      <c r="B4263">
        <v>1</v>
      </c>
    </row>
    <row r="4264" spans="1:2">
      <c r="A4264" t="s">
        <v>18582</v>
      </c>
      <c r="B4264">
        <v>1</v>
      </c>
    </row>
    <row r="4265" spans="1:2">
      <c r="A4265" t="s">
        <v>18584</v>
      </c>
      <c r="B4265">
        <v>1</v>
      </c>
    </row>
    <row r="4266" spans="1:2">
      <c r="A4266" t="s">
        <v>18650</v>
      </c>
      <c r="B4266">
        <v>1</v>
      </c>
    </row>
    <row r="4267" spans="1:2">
      <c r="A4267" t="s">
        <v>18675</v>
      </c>
      <c r="B4267">
        <v>1</v>
      </c>
    </row>
    <row r="4268" spans="1:2">
      <c r="A4268" t="s">
        <v>18657</v>
      </c>
      <c r="B4268">
        <v>1</v>
      </c>
    </row>
    <row r="4269" spans="1:2">
      <c r="A4269" t="s">
        <v>18660</v>
      </c>
      <c r="B4269">
        <v>1</v>
      </c>
    </row>
    <row r="4270" spans="1:2">
      <c r="A4270" t="s">
        <v>18663</v>
      </c>
      <c r="B4270">
        <v>1</v>
      </c>
    </row>
    <row r="4271" spans="1:2">
      <c r="A4271" t="s">
        <v>18665</v>
      </c>
      <c r="B4271">
        <v>1</v>
      </c>
    </row>
    <row r="4272" spans="1:2">
      <c r="A4272" t="s">
        <v>18669</v>
      </c>
      <c r="B4272">
        <v>1</v>
      </c>
    </row>
    <row r="4273" spans="1:2">
      <c r="A4273" t="s">
        <v>18673</v>
      </c>
      <c r="B4273">
        <v>1</v>
      </c>
    </row>
    <row r="4274" spans="1:2">
      <c r="A4274" t="s">
        <v>19301</v>
      </c>
      <c r="B4274">
        <v>1</v>
      </c>
    </row>
    <row r="4275" spans="1:2">
      <c r="A4275" t="s">
        <v>19299</v>
      </c>
      <c r="B4275">
        <v>1</v>
      </c>
    </row>
    <row r="4276" spans="1:2">
      <c r="A4276" t="s">
        <v>19295</v>
      </c>
      <c r="B4276">
        <v>1</v>
      </c>
    </row>
    <row r="4277" spans="1:2">
      <c r="A4277" t="s">
        <v>19291</v>
      </c>
      <c r="B4277">
        <v>1</v>
      </c>
    </row>
    <row r="4278" spans="1:2">
      <c r="A4278" t="s">
        <v>19307</v>
      </c>
      <c r="B4278">
        <v>1</v>
      </c>
    </row>
    <row r="4279" spans="1:2">
      <c r="A4279" t="s">
        <v>19359</v>
      </c>
      <c r="B4279">
        <v>1</v>
      </c>
    </row>
    <row r="4280" spans="1:2">
      <c r="A4280" t="s">
        <v>19366</v>
      </c>
      <c r="B4280">
        <v>1</v>
      </c>
    </row>
    <row r="4281" spans="1:2">
      <c r="A4281" t="s">
        <v>19314</v>
      </c>
      <c r="B4281">
        <v>1</v>
      </c>
    </row>
    <row r="4282" spans="1:2">
      <c r="A4282" t="s">
        <v>19318</v>
      </c>
      <c r="B4282">
        <v>1</v>
      </c>
    </row>
    <row r="4283" spans="1:2">
      <c r="A4283" t="s">
        <v>19320</v>
      </c>
      <c r="B4283">
        <v>1</v>
      </c>
    </row>
    <row r="4284" spans="1:2">
      <c r="A4284" t="s">
        <v>19311</v>
      </c>
      <c r="B4284">
        <v>1</v>
      </c>
    </row>
    <row r="4285" spans="1:2">
      <c r="A4285" t="s">
        <v>19323</v>
      </c>
      <c r="B4285">
        <v>1</v>
      </c>
    </row>
    <row r="4286" spans="1:2">
      <c r="A4286" t="s">
        <v>19362</v>
      </c>
      <c r="B4286">
        <v>1</v>
      </c>
    </row>
    <row r="4287" spans="1:2">
      <c r="A4287" t="s">
        <v>19327</v>
      </c>
      <c r="B4287">
        <v>1</v>
      </c>
    </row>
    <row r="4288" spans="1:2">
      <c r="A4288" t="s">
        <v>19331</v>
      </c>
      <c r="B4288">
        <v>1</v>
      </c>
    </row>
    <row r="4289" spans="1:2">
      <c r="A4289" t="s">
        <v>19335</v>
      </c>
      <c r="B4289">
        <v>1</v>
      </c>
    </row>
    <row r="4290" spans="1:2">
      <c r="A4290" t="s">
        <v>19339</v>
      </c>
      <c r="B4290">
        <v>1</v>
      </c>
    </row>
    <row r="4291" spans="1:2">
      <c r="A4291" t="s">
        <v>19341</v>
      </c>
      <c r="B4291">
        <v>1</v>
      </c>
    </row>
    <row r="4292" spans="1:2">
      <c r="A4292" t="s">
        <v>19344</v>
      </c>
      <c r="B4292">
        <v>1</v>
      </c>
    </row>
    <row r="4293" spans="1:2">
      <c r="A4293" t="s">
        <v>19348</v>
      </c>
      <c r="B4293">
        <v>1</v>
      </c>
    </row>
    <row r="4294" spans="1:2">
      <c r="A4294" t="s">
        <v>19351</v>
      </c>
      <c r="B4294">
        <v>1</v>
      </c>
    </row>
    <row r="4295" spans="1:2">
      <c r="A4295" t="s">
        <v>19355</v>
      </c>
      <c r="B4295">
        <v>1</v>
      </c>
    </row>
    <row r="4296" spans="1:2">
      <c r="A4296" t="s">
        <v>19325</v>
      </c>
      <c r="B4296">
        <v>1</v>
      </c>
    </row>
    <row r="4297" spans="1:2">
      <c r="A4297" t="s">
        <v>19462</v>
      </c>
      <c r="B4297">
        <v>1</v>
      </c>
    </row>
    <row r="4298" spans="1:2">
      <c r="A4298" t="s">
        <v>19443</v>
      </c>
      <c r="B4298">
        <v>1</v>
      </c>
    </row>
    <row r="4299" spans="1:2">
      <c r="A4299" t="s">
        <v>19495</v>
      </c>
      <c r="B4299">
        <v>1</v>
      </c>
    </row>
    <row r="4300" spans="1:2">
      <c r="A4300" t="s">
        <v>19490</v>
      </c>
      <c r="B4300">
        <v>1</v>
      </c>
    </row>
    <row r="4301" spans="1:2">
      <c r="A4301" t="s">
        <v>19484</v>
      </c>
      <c r="B4301">
        <v>1</v>
      </c>
    </row>
    <row r="4302" spans="1:2">
      <c r="A4302" t="s">
        <v>19480</v>
      </c>
      <c r="B4302">
        <v>1</v>
      </c>
    </row>
    <row r="4303" spans="1:2">
      <c r="A4303" t="s">
        <v>19476</v>
      </c>
      <c r="B4303">
        <v>1</v>
      </c>
    </row>
    <row r="4304" spans="1:2">
      <c r="A4304" t="s">
        <v>19471</v>
      </c>
      <c r="B4304">
        <v>1</v>
      </c>
    </row>
    <row r="4305" spans="1:2">
      <c r="A4305" t="s">
        <v>19469</v>
      </c>
      <c r="B4305">
        <v>1</v>
      </c>
    </row>
    <row r="4306" spans="1:2">
      <c r="A4306" t="s">
        <v>19493</v>
      </c>
      <c r="B4306">
        <v>1</v>
      </c>
    </row>
    <row r="4307" spans="1:2">
      <c r="A4307" t="s">
        <v>19466</v>
      </c>
      <c r="B4307">
        <v>1</v>
      </c>
    </row>
    <row r="4308" spans="1:2">
      <c r="A4308" t="s">
        <v>19459</v>
      </c>
      <c r="B4308">
        <v>1</v>
      </c>
    </row>
    <row r="4309" spans="1:2">
      <c r="A4309" t="s">
        <v>19455</v>
      </c>
      <c r="B4309">
        <v>1</v>
      </c>
    </row>
    <row r="4310" spans="1:2">
      <c r="A4310" t="s">
        <v>19453</v>
      </c>
      <c r="B4310">
        <v>1</v>
      </c>
    </row>
    <row r="4311" spans="1:2">
      <c r="A4311" t="s">
        <v>19451</v>
      </c>
      <c r="B4311">
        <v>1</v>
      </c>
    </row>
    <row r="4312" spans="1:2">
      <c r="A4312" t="s">
        <v>19448</v>
      </c>
      <c r="B4312">
        <v>1</v>
      </c>
    </row>
    <row r="4313" spans="1:2">
      <c r="A4313" t="s">
        <v>19447</v>
      </c>
      <c r="B4313">
        <v>1</v>
      </c>
    </row>
    <row r="4314" spans="1:2">
      <c r="A4314" t="s">
        <v>395</v>
      </c>
      <c r="B4314">
        <v>1</v>
      </c>
    </row>
    <row r="4315" spans="1:2">
      <c r="A4315" t="s">
        <v>398</v>
      </c>
      <c r="B4315">
        <v>1</v>
      </c>
    </row>
    <row r="4316" spans="1:2">
      <c r="A4316" t="s">
        <v>427</v>
      </c>
      <c r="B4316">
        <v>1</v>
      </c>
    </row>
    <row r="4317" spans="1:2">
      <c r="A4317" t="s">
        <v>367</v>
      </c>
      <c r="B4317">
        <v>1</v>
      </c>
    </row>
    <row r="4318" spans="1:2">
      <c r="A4318" t="s">
        <v>414</v>
      </c>
      <c r="B4318">
        <v>1</v>
      </c>
    </row>
    <row r="4319" spans="1:2">
      <c r="A4319" t="s">
        <v>410</v>
      </c>
      <c r="B4319">
        <v>1</v>
      </c>
    </row>
    <row r="4320" spans="1:2">
      <c r="A4320" t="s">
        <v>406</v>
      </c>
      <c r="B4320">
        <v>1</v>
      </c>
    </row>
    <row r="4321" spans="1:2">
      <c r="A4321" t="s">
        <v>404</v>
      </c>
      <c r="B4321">
        <v>1</v>
      </c>
    </row>
    <row r="4322" spans="1:2">
      <c r="A4322" t="s">
        <v>400</v>
      </c>
      <c r="B4322">
        <v>1</v>
      </c>
    </row>
    <row r="4323" spans="1:2">
      <c r="A4323" t="s">
        <v>392</v>
      </c>
      <c r="B4323">
        <v>1</v>
      </c>
    </row>
    <row r="4324" spans="1:2">
      <c r="A4324" t="s">
        <v>389</v>
      </c>
      <c r="B4324">
        <v>1</v>
      </c>
    </row>
    <row r="4325" spans="1:2">
      <c r="A4325" t="s">
        <v>386</v>
      </c>
      <c r="B4325">
        <v>1</v>
      </c>
    </row>
    <row r="4326" spans="1:2">
      <c r="A4326" t="s">
        <v>420</v>
      </c>
      <c r="B4326">
        <v>1</v>
      </c>
    </row>
    <row r="4327" spans="1:2">
      <c r="A4327" t="s">
        <v>379</v>
      </c>
      <c r="B4327">
        <v>1</v>
      </c>
    </row>
    <row r="4328" spans="1:2">
      <c r="A4328" t="s">
        <v>371</v>
      </c>
      <c r="B4328">
        <v>1</v>
      </c>
    </row>
    <row r="4329" spans="1:2">
      <c r="A4329" t="s">
        <v>339</v>
      </c>
      <c r="B4329">
        <v>1</v>
      </c>
    </row>
    <row r="4330" spans="1:2">
      <c r="A4330" t="s">
        <v>343</v>
      </c>
      <c r="B4330">
        <v>1</v>
      </c>
    </row>
    <row r="4331" spans="1:2">
      <c r="A4331" t="s">
        <v>348</v>
      </c>
      <c r="B4331">
        <v>1</v>
      </c>
    </row>
    <row r="4332" spans="1:2">
      <c r="A4332" t="s">
        <v>353</v>
      </c>
      <c r="B4332">
        <v>1</v>
      </c>
    </row>
    <row r="4333" spans="1:2">
      <c r="A4333" t="s">
        <v>375</v>
      </c>
      <c r="B4333">
        <v>1</v>
      </c>
    </row>
    <row r="4334" spans="1:2">
      <c r="A4334" t="s">
        <v>361</v>
      </c>
      <c r="B4334">
        <v>1</v>
      </c>
    </row>
    <row r="4335" spans="1:2">
      <c r="A4335" t="s">
        <v>364</v>
      </c>
      <c r="B4335">
        <v>1</v>
      </c>
    </row>
    <row r="4336" spans="1:2">
      <c r="A4336" t="s">
        <v>382</v>
      </c>
      <c r="B4336">
        <v>1</v>
      </c>
    </row>
    <row r="4337" spans="1:2">
      <c r="A4337" t="s">
        <v>357</v>
      </c>
      <c r="B4337">
        <v>1</v>
      </c>
    </row>
    <row r="4338" spans="1:2">
      <c r="A4338" t="s">
        <v>418</v>
      </c>
      <c r="B4338">
        <v>1</v>
      </c>
    </row>
    <row r="4339" spans="1:2">
      <c r="A4339" t="s">
        <v>424</v>
      </c>
      <c r="B4339">
        <v>1</v>
      </c>
    </row>
    <row r="4340" spans="1:2">
      <c r="A4340" t="s">
        <v>489</v>
      </c>
      <c r="B4340">
        <v>1</v>
      </c>
    </row>
    <row r="4341" spans="1:2">
      <c r="A4341" t="s">
        <v>481</v>
      </c>
      <c r="B4341">
        <v>1</v>
      </c>
    </row>
    <row r="4342" spans="1:2">
      <c r="A4342" t="s">
        <v>477</v>
      </c>
      <c r="B4342">
        <v>1</v>
      </c>
    </row>
    <row r="4343" spans="1:2">
      <c r="A4343" t="s">
        <v>473</v>
      </c>
      <c r="B4343">
        <v>1</v>
      </c>
    </row>
    <row r="4344" spans="1:2">
      <c r="A4344" t="s">
        <v>469</v>
      </c>
      <c r="B4344">
        <v>1</v>
      </c>
    </row>
    <row r="4345" spans="1:2">
      <c r="A4345" t="s">
        <v>466</v>
      </c>
      <c r="B4345">
        <v>1</v>
      </c>
    </row>
    <row r="4346" spans="1:2">
      <c r="A4346" t="s">
        <v>462</v>
      </c>
      <c r="B4346">
        <v>1</v>
      </c>
    </row>
    <row r="4347" spans="1:2">
      <c r="A4347" t="s">
        <v>460</v>
      </c>
      <c r="B4347">
        <v>1</v>
      </c>
    </row>
    <row r="4348" spans="1:2">
      <c r="A4348" t="s">
        <v>457</v>
      </c>
      <c r="B4348">
        <v>1</v>
      </c>
    </row>
    <row r="4349" spans="1:2">
      <c r="A4349" t="s">
        <v>453</v>
      </c>
      <c r="B4349">
        <v>1</v>
      </c>
    </row>
    <row r="4350" spans="1:2">
      <c r="A4350" t="s">
        <v>450</v>
      </c>
      <c r="B4350">
        <v>1</v>
      </c>
    </row>
    <row r="4351" spans="1:2">
      <c r="A4351" t="s">
        <v>446</v>
      </c>
      <c r="B4351">
        <v>1</v>
      </c>
    </row>
    <row r="4352" spans="1:2">
      <c r="A4352" t="s">
        <v>442</v>
      </c>
      <c r="B4352">
        <v>1</v>
      </c>
    </row>
    <row r="4353" spans="1:2">
      <c r="A4353" t="s">
        <v>438</v>
      </c>
      <c r="B4353">
        <v>1</v>
      </c>
    </row>
    <row r="4354" spans="1:2">
      <c r="A4354" t="s">
        <v>496</v>
      </c>
      <c r="B4354">
        <v>1</v>
      </c>
    </row>
    <row r="4355" spans="1:2">
      <c r="A4355" t="s">
        <v>492</v>
      </c>
      <c r="B4355">
        <v>1</v>
      </c>
    </row>
    <row r="4356" spans="1:2">
      <c r="A4356" t="s">
        <v>434</v>
      </c>
      <c r="B4356">
        <v>1</v>
      </c>
    </row>
    <row r="4357" spans="1:2">
      <c r="A4357" t="s">
        <v>430</v>
      </c>
      <c r="B4357">
        <v>1</v>
      </c>
    </row>
    <row r="4358" spans="1:2">
      <c r="A4358" t="s">
        <v>485</v>
      </c>
      <c r="B4358">
        <v>1</v>
      </c>
    </row>
    <row r="4359" spans="1:2">
      <c r="A4359" t="s">
        <v>1403</v>
      </c>
      <c r="B4359">
        <v>1</v>
      </c>
    </row>
    <row r="4360" spans="1:2">
      <c r="A4360" t="s">
        <v>1410</v>
      </c>
      <c r="B4360">
        <v>1</v>
      </c>
    </row>
    <row r="4361" spans="1:2">
      <c r="A4361" t="s">
        <v>1624</v>
      </c>
      <c r="B4361">
        <v>1</v>
      </c>
    </row>
    <row r="4362" spans="1:2">
      <c r="A4362" t="s">
        <v>1628</v>
      </c>
      <c r="B4362">
        <v>1</v>
      </c>
    </row>
    <row r="4363" spans="1:2">
      <c r="A4363" t="s">
        <v>1634</v>
      </c>
      <c r="B4363">
        <v>1</v>
      </c>
    </row>
    <row r="4364" spans="1:2">
      <c r="A4364" t="s">
        <v>1638</v>
      </c>
      <c r="B4364">
        <v>1</v>
      </c>
    </row>
    <row r="4365" spans="1:2">
      <c r="A4365" t="s">
        <v>1643</v>
      </c>
      <c r="B4365">
        <v>1</v>
      </c>
    </row>
    <row r="4366" spans="1:2">
      <c r="A4366" t="s">
        <v>1644</v>
      </c>
      <c r="B4366">
        <v>1</v>
      </c>
    </row>
    <row r="4367" spans="1:2">
      <c r="A4367" t="s">
        <v>1649</v>
      </c>
      <c r="B4367">
        <v>1</v>
      </c>
    </row>
    <row r="4368" spans="1:2">
      <c r="A4368" t="s">
        <v>1661</v>
      </c>
      <c r="B4368">
        <v>1</v>
      </c>
    </row>
    <row r="4369" spans="1:2">
      <c r="A4369" t="s">
        <v>1656</v>
      </c>
      <c r="B4369">
        <v>1</v>
      </c>
    </row>
    <row r="4370" spans="1:2">
      <c r="A4370" t="s">
        <v>1684</v>
      </c>
      <c r="B4370">
        <v>1</v>
      </c>
    </row>
    <row r="4371" spans="1:2">
      <c r="A4371" t="s">
        <v>1682</v>
      </c>
      <c r="B4371">
        <v>1</v>
      </c>
    </row>
    <row r="4372" spans="1:2">
      <c r="A4372" t="s">
        <v>1678</v>
      </c>
      <c r="B4372">
        <v>1</v>
      </c>
    </row>
    <row r="4373" spans="1:2">
      <c r="A4373" t="s">
        <v>1676</v>
      </c>
      <c r="B4373">
        <v>1</v>
      </c>
    </row>
    <row r="4374" spans="1:2">
      <c r="A4374" t="s">
        <v>1687</v>
      </c>
      <c r="B4374">
        <v>1</v>
      </c>
    </row>
    <row r="4375" spans="1:2">
      <c r="A4375" t="s">
        <v>1669</v>
      </c>
      <c r="B4375">
        <v>1</v>
      </c>
    </row>
    <row r="4376" spans="1:2">
      <c r="A4376" t="s">
        <v>1666</v>
      </c>
      <c r="B4376">
        <v>1</v>
      </c>
    </row>
    <row r="4377" spans="1:2">
      <c r="A4377" t="s">
        <v>1663</v>
      </c>
      <c r="B4377">
        <v>1</v>
      </c>
    </row>
    <row r="4378" spans="1:2">
      <c r="A4378" t="s">
        <v>1672</v>
      </c>
      <c r="B4378">
        <v>1</v>
      </c>
    </row>
    <row r="4379" spans="1:2">
      <c r="A4379" t="s">
        <v>1659</v>
      </c>
      <c r="B4379">
        <v>1</v>
      </c>
    </row>
    <row r="4380" spans="1:2">
      <c r="A4380" t="s">
        <v>1654</v>
      </c>
      <c r="B4380">
        <v>1</v>
      </c>
    </row>
    <row r="4381" spans="1:2">
      <c r="A4381" t="s">
        <v>2076</v>
      </c>
      <c r="B4381">
        <v>1</v>
      </c>
    </row>
    <row r="4382" spans="1:2">
      <c r="A4382" t="s">
        <v>2153</v>
      </c>
      <c r="B4382">
        <v>1</v>
      </c>
    </row>
    <row r="4383" spans="1:2">
      <c r="A4383" t="s">
        <v>1865</v>
      </c>
      <c r="B4383">
        <v>1</v>
      </c>
    </row>
    <row r="4384" spans="1:2">
      <c r="A4384" t="s">
        <v>1763</v>
      </c>
      <c r="B4384">
        <v>1</v>
      </c>
    </row>
    <row r="4385" spans="1:2">
      <c r="A4385" t="s">
        <v>1692</v>
      </c>
      <c r="B4385">
        <v>1</v>
      </c>
    </row>
    <row r="4386" spans="1:2">
      <c r="A4386" t="s">
        <v>1695</v>
      </c>
      <c r="B4386">
        <v>1</v>
      </c>
    </row>
    <row r="4387" spans="1:2">
      <c r="A4387" t="s">
        <v>1699</v>
      </c>
      <c r="B4387">
        <v>1</v>
      </c>
    </row>
    <row r="4388" spans="1:2">
      <c r="A4388" t="s">
        <v>1702</v>
      </c>
      <c r="B4388">
        <v>1</v>
      </c>
    </row>
    <row r="4389" spans="1:2">
      <c r="A4389" t="s">
        <v>1706</v>
      </c>
      <c r="B4389">
        <v>1</v>
      </c>
    </row>
    <row r="4390" spans="1:2">
      <c r="A4390" t="s">
        <v>1711</v>
      </c>
      <c r="B4390">
        <v>1</v>
      </c>
    </row>
    <row r="4391" spans="1:2">
      <c r="A4391" t="s">
        <v>1715</v>
      </c>
      <c r="B4391">
        <v>1</v>
      </c>
    </row>
    <row r="4392" spans="1:2">
      <c r="A4392" t="s">
        <v>1689</v>
      </c>
      <c r="B4392">
        <v>1</v>
      </c>
    </row>
    <row r="4393" spans="1:2">
      <c r="A4393" t="s">
        <v>1723</v>
      </c>
      <c r="B4393">
        <v>1</v>
      </c>
    </row>
    <row r="4394" spans="1:2">
      <c r="A4394" t="s">
        <v>1793</v>
      </c>
      <c r="B4394">
        <v>1</v>
      </c>
    </row>
    <row r="4395" spans="1:2">
      <c r="A4395" t="s">
        <v>1732</v>
      </c>
      <c r="B4395">
        <v>1</v>
      </c>
    </row>
    <row r="4396" spans="1:2">
      <c r="A4396" t="s">
        <v>1805</v>
      </c>
      <c r="B4396">
        <v>1</v>
      </c>
    </row>
    <row r="4397" spans="1:2">
      <c r="A4397" t="s">
        <v>1807</v>
      </c>
      <c r="B4397">
        <v>1</v>
      </c>
    </row>
    <row r="4398" spans="1:2">
      <c r="A4398" t="s">
        <v>1810</v>
      </c>
      <c r="B4398">
        <v>1</v>
      </c>
    </row>
    <row r="4399" spans="1:2">
      <c r="A4399" t="s">
        <v>1814</v>
      </c>
      <c r="B4399">
        <v>1</v>
      </c>
    </row>
    <row r="4400" spans="1:2">
      <c r="A4400" t="s">
        <v>1821</v>
      </c>
      <c r="B4400">
        <v>1</v>
      </c>
    </row>
    <row r="4401" spans="1:2">
      <c r="A4401" t="s">
        <v>1826</v>
      </c>
      <c r="B4401">
        <v>1</v>
      </c>
    </row>
    <row r="4402" spans="1:2">
      <c r="A4402" t="s">
        <v>1830</v>
      </c>
      <c r="B4402">
        <v>1</v>
      </c>
    </row>
    <row r="4403" spans="1:2">
      <c r="A4403" t="s">
        <v>1834</v>
      </c>
      <c r="B4403">
        <v>1</v>
      </c>
    </row>
    <row r="4404" spans="1:2">
      <c r="A4404" t="s">
        <v>1837</v>
      </c>
      <c r="B4404">
        <v>1</v>
      </c>
    </row>
    <row r="4405" spans="1:2">
      <c r="A4405" t="s">
        <v>1840</v>
      </c>
      <c r="B4405">
        <v>1</v>
      </c>
    </row>
    <row r="4406" spans="1:2">
      <c r="A4406" t="s">
        <v>1844</v>
      </c>
      <c r="B4406">
        <v>1</v>
      </c>
    </row>
    <row r="4407" spans="1:2">
      <c r="A4407" t="s">
        <v>1849</v>
      </c>
      <c r="B4407">
        <v>1</v>
      </c>
    </row>
    <row r="4408" spans="1:2">
      <c r="A4408" t="s">
        <v>1854</v>
      </c>
      <c r="B4408">
        <v>1</v>
      </c>
    </row>
    <row r="4409" spans="1:2">
      <c r="A4409" t="s">
        <v>1859</v>
      </c>
      <c r="B4409">
        <v>1</v>
      </c>
    </row>
    <row r="4410" spans="1:2">
      <c r="A4410" t="s">
        <v>1801</v>
      </c>
      <c r="B4410">
        <v>1</v>
      </c>
    </row>
    <row r="4411" spans="1:2">
      <c r="A4411" t="s">
        <v>1862</v>
      </c>
      <c r="B4411">
        <v>1</v>
      </c>
    </row>
    <row r="4412" spans="1:2">
      <c r="A4412" t="s">
        <v>1798</v>
      </c>
      <c r="B4412">
        <v>1</v>
      </c>
    </row>
    <row r="4413" spans="1:2">
      <c r="A4413" t="s">
        <v>1790</v>
      </c>
      <c r="B4413">
        <v>1</v>
      </c>
    </row>
    <row r="4414" spans="1:2">
      <c r="A4414" t="s">
        <v>1736</v>
      </c>
      <c r="B4414">
        <v>1</v>
      </c>
    </row>
    <row r="4415" spans="1:2">
      <c r="A4415" t="s">
        <v>1741</v>
      </c>
      <c r="B4415">
        <v>1</v>
      </c>
    </row>
    <row r="4416" spans="1:2">
      <c r="A4416" t="s">
        <v>1743</v>
      </c>
      <c r="B4416">
        <v>1</v>
      </c>
    </row>
    <row r="4417" spans="1:2">
      <c r="A4417" t="s">
        <v>1747</v>
      </c>
      <c r="B4417">
        <v>1</v>
      </c>
    </row>
    <row r="4418" spans="1:2">
      <c r="A4418" t="s">
        <v>1751</v>
      </c>
      <c r="B4418">
        <v>1</v>
      </c>
    </row>
    <row r="4419" spans="1:2">
      <c r="A4419" t="s">
        <v>1755</v>
      </c>
      <c r="B4419">
        <v>1</v>
      </c>
    </row>
    <row r="4420" spans="1:2">
      <c r="A4420" t="s">
        <v>1759</v>
      </c>
      <c r="B4420">
        <v>1</v>
      </c>
    </row>
    <row r="4421" spans="1:2">
      <c r="A4421" t="s">
        <v>2155</v>
      </c>
      <c r="B4421">
        <v>1</v>
      </c>
    </row>
    <row r="4422" spans="1:2">
      <c r="A4422" t="s">
        <v>2157</v>
      </c>
      <c r="B4422">
        <v>1</v>
      </c>
    </row>
    <row r="4423" spans="1:2">
      <c r="A4423" t="s">
        <v>2073</v>
      </c>
      <c r="B4423">
        <v>1</v>
      </c>
    </row>
    <row r="4424" spans="1:2">
      <c r="A4424" t="s">
        <v>2068</v>
      </c>
      <c r="B4424">
        <v>1</v>
      </c>
    </row>
    <row r="4425" spans="1:2">
      <c r="A4425" t="s">
        <v>2063</v>
      </c>
      <c r="B4425">
        <v>1</v>
      </c>
    </row>
    <row r="4426" spans="1:2">
      <c r="A4426" t="s">
        <v>2057</v>
      </c>
      <c r="B4426">
        <v>1</v>
      </c>
    </row>
    <row r="4427" spans="1:2">
      <c r="A4427" t="s">
        <v>2054</v>
      </c>
      <c r="B4427">
        <v>1</v>
      </c>
    </row>
    <row r="4428" spans="1:2">
      <c r="A4428" t="s">
        <v>2052</v>
      </c>
      <c r="B4428">
        <v>1</v>
      </c>
    </row>
    <row r="4429" spans="1:2">
      <c r="A4429" t="s">
        <v>2049</v>
      </c>
      <c r="B4429">
        <v>1</v>
      </c>
    </row>
    <row r="4430" spans="1:2">
      <c r="A4430" t="s">
        <v>2080</v>
      </c>
      <c r="B4430">
        <v>1</v>
      </c>
    </row>
    <row r="4431" spans="1:2">
      <c r="A4431" t="s">
        <v>2046</v>
      </c>
      <c r="B4431">
        <v>1</v>
      </c>
    </row>
    <row r="4432" spans="1:2">
      <c r="A4432" t="s">
        <v>2040</v>
      </c>
      <c r="B4432">
        <v>1</v>
      </c>
    </row>
    <row r="4433" spans="1:2">
      <c r="A4433" t="s">
        <v>2036</v>
      </c>
      <c r="B4433">
        <v>1</v>
      </c>
    </row>
    <row r="4434" spans="1:2">
      <c r="A4434" t="s">
        <v>2033</v>
      </c>
      <c r="B4434">
        <v>1</v>
      </c>
    </row>
    <row r="4435" spans="1:2">
      <c r="A4435" t="s">
        <v>2030</v>
      </c>
      <c r="B4435">
        <v>1</v>
      </c>
    </row>
    <row r="4436" spans="1:2">
      <c r="A4436" t="s">
        <v>2026</v>
      </c>
      <c r="B4436">
        <v>1</v>
      </c>
    </row>
    <row r="4437" spans="1:2">
      <c r="A4437" t="s">
        <v>2024</v>
      </c>
      <c r="B4437">
        <v>1</v>
      </c>
    </row>
    <row r="4438" spans="1:2">
      <c r="A4438" t="s">
        <v>1869</v>
      </c>
      <c r="B4438">
        <v>1</v>
      </c>
    </row>
    <row r="4439" spans="1:2">
      <c r="A4439" t="s">
        <v>2020</v>
      </c>
      <c r="B4439">
        <v>1</v>
      </c>
    </row>
    <row r="4440" spans="1:2">
      <c r="A4440" t="s">
        <v>2018</v>
      </c>
      <c r="B4440">
        <v>1</v>
      </c>
    </row>
    <row r="4441" spans="1:2">
      <c r="A4441" t="s">
        <v>2017</v>
      </c>
      <c r="B4441">
        <v>1</v>
      </c>
    </row>
    <row r="4442" spans="1:2">
      <c r="A4442" t="s">
        <v>2042</v>
      </c>
      <c r="B4442">
        <v>1</v>
      </c>
    </row>
    <row r="4443" spans="1:2">
      <c r="A4443" t="s">
        <v>2082</v>
      </c>
      <c r="B4443">
        <v>1</v>
      </c>
    </row>
    <row r="4444" spans="1:2">
      <c r="A4444" t="s">
        <v>2084</v>
      </c>
      <c r="B4444">
        <v>1</v>
      </c>
    </row>
    <row r="4445" spans="1:2">
      <c r="A4445" t="s">
        <v>2089</v>
      </c>
      <c r="B4445">
        <v>1</v>
      </c>
    </row>
    <row r="4446" spans="1:2">
      <c r="A4446" t="s">
        <v>2149</v>
      </c>
      <c r="B4446">
        <v>1</v>
      </c>
    </row>
    <row r="4447" spans="1:2">
      <c r="A4447" t="s">
        <v>2145</v>
      </c>
      <c r="B4447">
        <v>1</v>
      </c>
    </row>
    <row r="4448" spans="1:2">
      <c r="A4448" t="s">
        <v>2141</v>
      </c>
      <c r="B4448">
        <v>1</v>
      </c>
    </row>
    <row r="4449" spans="1:2">
      <c r="A4449" t="s">
        <v>2136</v>
      </c>
      <c r="B4449">
        <v>1</v>
      </c>
    </row>
    <row r="4450" spans="1:2">
      <c r="A4450" t="s">
        <v>2132</v>
      </c>
      <c r="B4450">
        <v>1</v>
      </c>
    </row>
    <row r="4451" spans="1:2">
      <c r="A4451" t="s">
        <v>2206</v>
      </c>
      <c r="B4451">
        <v>1</v>
      </c>
    </row>
    <row r="4452" spans="1:2">
      <c r="A4452" t="s">
        <v>2202</v>
      </c>
      <c r="B4452">
        <v>1</v>
      </c>
    </row>
    <row r="4453" spans="1:2">
      <c r="A4453" t="s">
        <v>2163</v>
      </c>
      <c r="B4453">
        <v>1</v>
      </c>
    </row>
    <row r="4454" spans="1:2">
      <c r="A4454" t="s">
        <v>2167</v>
      </c>
      <c r="B4454">
        <v>1</v>
      </c>
    </row>
    <row r="4455" spans="1:2">
      <c r="A4455" t="s">
        <v>2169</v>
      </c>
      <c r="B4455">
        <v>1</v>
      </c>
    </row>
    <row r="4456" spans="1:2">
      <c r="A4456" t="s">
        <v>2172</v>
      </c>
      <c r="B4456">
        <v>1</v>
      </c>
    </row>
    <row r="4457" spans="1:2">
      <c r="A4457" t="s">
        <v>2175</v>
      </c>
      <c r="B4457">
        <v>1</v>
      </c>
    </row>
    <row r="4458" spans="1:2">
      <c r="A4458" t="s">
        <v>2180</v>
      </c>
      <c r="B4458">
        <v>1</v>
      </c>
    </row>
    <row r="4459" spans="1:2">
      <c r="A4459" t="s">
        <v>2159</v>
      </c>
      <c r="B4459">
        <v>1</v>
      </c>
    </row>
    <row r="4460" spans="1:2">
      <c r="A4460" t="s">
        <v>2182</v>
      </c>
      <c r="B4460">
        <v>1</v>
      </c>
    </row>
    <row r="4461" spans="1:2">
      <c r="A4461" t="s">
        <v>2186</v>
      </c>
      <c r="B4461">
        <v>1</v>
      </c>
    </row>
    <row r="4462" spans="1:2">
      <c r="A4462" t="s">
        <v>2190</v>
      </c>
      <c r="B4462">
        <v>1</v>
      </c>
    </row>
    <row r="4463" spans="1:2">
      <c r="A4463" t="s">
        <v>2198</v>
      </c>
      <c r="B4463">
        <v>1</v>
      </c>
    </row>
    <row r="4464" spans="1:2">
      <c r="A4464" t="s">
        <v>2200</v>
      </c>
      <c r="B4464">
        <v>1</v>
      </c>
    </row>
    <row r="4465" spans="1:2">
      <c r="A4465" t="s">
        <v>1787</v>
      </c>
      <c r="B4465">
        <v>1</v>
      </c>
    </row>
    <row r="4466" spans="1:2">
      <c r="A4466" t="s">
        <v>1783</v>
      </c>
      <c r="B4466">
        <v>1</v>
      </c>
    </row>
    <row r="4467" spans="1:2">
      <c r="A4467" t="s">
        <v>1779</v>
      </c>
      <c r="B4467">
        <v>1</v>
      </c>
    </row>
    <row r="4468" spans="1:2">
      <c r="A4468" t="s">
        <v>1774</v>
      </c>
      <c r="B4468">
        <v>1</v>
      </c>
    </row>
    <row r="4469" spans="1:2">
      <c r="A4469" t="s">
        <v>1770</v>
      </c>
      <c r="B4469">
        <v>1</v>
      </c>
    </row>
    <row r="4470" spans="1:2">
      <c r="A4470" t="s">
        <v>1766</v>
      </c>
      <c r="B4470">
        <v>1</v>
      </c>
    </row>
    <row r="4471" spans="1:2">
      <c r="A4471" t="s">
        <v>1938</v>
      </c>
      <c r="B4471">
        <v>1</v>
      </c>
    </row>
    <row r="4472" spans="1:2">
      <c r="A4472" t="s">
        <v>1959</v>
      </c>
      <c r="B4472">
        <v>1</v>
      </c>
    </row>
    <row r="4473" spans="1:2">
      <c r="A4473" t="s">
        <v>1957</v>
      </c>
      <c r="B4473">
        <v>1</v>
      </c>
    </row>
    <row r="4474" spans="1:2">
      <c r="A4474" t="s">
        <v>1953</v>
      </c>
      <c r="B4474">
        <v>1</v>
      </c>
    </row>
    <row r="4475" spans="1:2">
      <c r="A4475" t="s">
        <v>1950</v>
      </c>
      <c r="B4475">
        <v>1</v>
      </c>
    </row>
    <row r="4476" spans="1:2">
      <c r="A4476" t="s">
        <v>1947</v>
      </c>
      <c r="B4476">
        <v>1</v>
      </c>
    </row>
    <row r="4477" spans="1:2">
      <c r="A4477" t="s">
        <v>1727</v>
      </c>
      <c r="B4477">
        <v>1</v>
      </c>
    </row>
    <row r="4478" spans="1:2">
      <c r="A4478" t="s">
        <v>1962</v>
      </c>
      <c r="B4478">
        <v>1</v>
      </c>
    </row>
    <row r="4479" spans="1:2">
      <c r="A4479" t="s">
        <v>1966</v>
      </c>
      <c r="B4479">
        <v>1</v>
      </c>
    </row>
    <row r="4480" spans="1:2">
      <c r="A4480" t="s">
        <v>1970</v>
      </c>
      <c r="B4480">
        <v>1</v>
      </c>
    </row>
    <row r="4481" spans="1:2">
      <c r="A4481" t="s">
        <v>1974</v>
      </c>
      <c r="B4481">
        <v>1</v>
      </c>
    </row>
    <row r="4482" spans="1:2">
      <c r="A4482" t="s">
        <v>1979</v>
      </c>
      <c r="B4482">
        <v>1</v>
      </c>
    </row>
    <row r="4483" spans="1:2">
      <c r="A4483" t="s">
        <v>2005</v>
      </c>
      <c r="B4483">
        <v>1</v>
      </c>
    </row>
    <row r="4484" spans="1:2">
      <c r="A4484" t="s">
        <v>1982</v>
      </c>
      <c r="B4484">
        <v>1</v>
      </c>
    </row>
    <row r="4485" spans="1:2">
      <c r="A4485" t="s">
        <v>1984</v>
      </c>
      <c r="B4485">
        <v>1</v>
      </c>
    </row>
    <row r="4486" spans="1:2">
      <c r="A4486" t="s">
        <v>1986</v>
      </c>
      <c r="B4486">
        <v>1</v>
      </c>
    </row>
    <row r="4487" spans="1:2">
      <c r="A4487" t="s">
        <v>1988</v>
      </c>
      <c r="B4487">
        <v>1</v>
      </c>
    </row>
    <row r="4488" spans="1:2">
      <c r="A4488" t="s">
        <v>1990</v>
      </c>
      <c r="B4488">
        <v>1</v>
      </c>
    </row>
    <row r="4489" spans="1:2">
      <c r="A4489" t="s">
        <v>1993</v>
      </c>
      <c r="B4489">
        <v>1</v>
      </c>
    </row>
    <row r="4490" spans="1:2">
      <c r="A4490" t="s">
        <v>1996</v>
      </c>
      <c r="B4490">
        <v>1</v>
      </c>
    </row>
    <row r="4491" spans="1:2">
      <c r="A4491" t="s">
        <v>1999</v>
      </c>
      <c r="B4491">
        <v>1</v>
      </c>
    </row>
    <row r="4492" spans="1:2">
      <c r="A4492" t="s">
        <v>2002</v>
      </c>
      <c r="B4492">
        <v>1</v>
      </c>
    </row>
    <row r="4493" spans="1:2">
      <c r="A4493" t="s">
        <v>1945</v>
      </c>
      <c r="B4493">
        <v>1</v>
      </c>
    </row>
    <row r="4494" spans="1:2">
      <c r="A4494" t="s">
        <v>1977</v>
      </c>
      <c r="B4494">
        <v>1</v>
      </c>
    </row>
    <row r="4495" spans="1:2">
      <c r="A4495" t="s">
        <v>1943</v>
      </c>
      <c r="B4495">
        <v>1</v>
      </c>
    </row>
    <row r="4496" spans="1:2">
      <c r="A4496" t="s">
        <v>1901</v>
      </c>
      <c r="B4496">
        <v>1</v>
      </c>
    </row>
    <row r="4497" spans="1:2">
      <c r="A4497" t="s">
        <v>1874</v>
      </c>
      <c r="B4497">
        <v>1</v>
      </c>
    </row>
    <row r="4498" spans="1:2">
      <c r="A4498" t="s">
        <v>1879</v>
      </c>
      <c r="B4498">
        <v>1</v>
      </c>
    </row>
    <row r="4499" spans="1:2">
      <c r="A4499" t="s">
        <v>1882</v>
      </c>
      <c r="B4499">
        <v>1</v>
      </c>
    </row>
    <row r="4500" spans="1:2">
      <c r="A4500" t="s">
        <v>167</v>
      </c>
      <c r="B4500">
        <v>1</v>
      </c>
    </row>
    <row r="4501" spans="1:2">
      <c r="A4501" t="s">
        <v>1887</v>
      </c>
      <c r="B4501">
        <v>1</v>
      </c>
    </row>
    <row r="4502" spans="1:2">
      <c r="A4502" t="s">
        <v>1891</v>
      </c>
      <c r="B4502">
        <v>1</v>
      </c>
    </row>
    <row r="4503" spans="1:2">
      <c r="A4503" t="s">
        <v>1895</v>
      </c>
      <c r="B4503">
        <v>1</v>
      </c>
    </row>
    <row r="4504" spans="1:2">
      <c r="A4504" t="s">
        <v>1898</v>
      </c>
      <c r="B4504">
        <v>1</v>
      </c>
    </row>
    <row r="4505" spans="1:2">
      <c r="A4505" t="s">
        <v>1904</v>
      </c>
      <c r="B4505">
        <v>1</v>
      </c>
    </row>
    <row r="4506" spans="1:2">
      <c r="A4506" t="s">
        <v>1908</v>
      </c>
      <c r="B4506">
        <v>1</v>
      </c>
    </row>
    <row r="4507" spans="1:2">
      <c r="A4507" t="s">
        <v>1911</v>
      </c>
      <c r="B4507">
        <v>1</v>
      </c>
    </row>
    <row r="4508" spans="1:2">
      <c r="A4508" t="s">
        <v>1914</v>
      </c>
      <c r="B4508">
        <v>1</v>
      </c>
    </row>
    <row r="4509" spans="1:2">
      <c r="A4509" t="s">
        <v>1917</v>
      </c>
      <c r="B4509">
        <v>1</v>
      </c>
    </row>
    <row r="4510" spans="1:2">
      <c r="A4510" t="s">
        <v>1921</v>
      </c>
      <c r="B4510">
        <v>1</v>
      </c>
    </row>
    <row r="4511" spans="1:2">
      <c r="A4511" t="s">
        <v>1925</v>
      </c>
      <c r="B4511">
        <v>1</v>
      </c>
    </row>
    <row r="4512" spans="1:2">
      <c r="A4512" t="s">
        <v>1928</v>
      </c>
      <c r="B4512">
        <v>1</v>
      </c>
    </row>
    <row r="4513" spans="1:2">
      <c r="A4513" t="s">
        <v>1932</v>
      </c>
      <c r="B4513">
        <v>1</v>
      </c>
    </row>
    <row r="4514" spans="1:2">
      <c r="A4514" t="s">
        <v>1936</v>
      </c>
      <c r="B4514">
        <v>1</v>
      </c>
    </row>
    <row r="4515" spans="1:2">
      <c r="A4515" t="s">
        <v>1940</v>
      </c>
      <c r="B4515">
        <v>1</v>
      </c>
    </row>
    <row r="4516" spans="1:2">
      <c r="A4516" t="s">
        <v>2009</v>
      </c>
      <c r="B4516">
        <v>1</v>
      </c>
    </row>
    <row r="4517" spans="1:2">
      <c r="A4517" t="s">
        <v>2012</v>
      </c>
      <c r="B4517">
        <v>1</v>
      </c>
    </row>
    <row r="4518" spans="1:2">
      <c r="A4518" t="s">
        <v>2015</v>
      </c>
      <c r="B4518">
        <v>1</v>
      </c>
    </row>
    <row r="4519" spans="1:2">
      <c r="A4519" t="s">
        <v>2093</v>
      </c>
      <c r="B4519">
        <v>1</v>
      </c>
    </row>
    <row r="4520" spans="1:2">
      <c r="A4520" t="s">
        <v>2097</v>
      </c>
      <c r="B4520">
        <v>1</v>
      </c>
    </row>
    <row r="4521" spans="1:2">
      <c r="A4521" t="s">
        <v>2099</v>
      </c>
      <c r="B4521">
        <v>1</v>
      </c>
    </row>
    <row r="4522" spans="1:2">
      <c r="A4522" t="s">
        <v>2101</v>
      </c>
      <c r="B4522">
        <v>1</v>
      </c>
    </row>
    <row r="4523" spans="1:2">
      <c r="A4523" t="s">
        <v>2104</v>
      </c>
      <c r="B4523">
        <v>1</v>
      </c>
    </row>
    <row r="4524" spans="1:2">
      <c r="A4524" t="s">
        <v>2105</v>
      </c>
      <c r="B4524">
        <v>1</v>
      </c>
    </row>
    <row r="4525" spans="1:2">
      <c r="A4525" t="s">
        <v>2108</v>
      </c>
      <c r="B4525">
        <v>1</v>
      </c>
    </row>
    <row r="4526" spans="1:2">
      <c r="A4526" t="s">
        <v>2112</v>
      </c>
      <c r="B4526">
        <v>1</v>
      </c>
    </row>
    <row r="4527" spans="1:2">
      <c r="A4527" t="s">
        <v>2114</v>
      </c>
      <c r="B4527">
        <v>1</v>
      </c>
    </row>
    <row r="4528" spans="1:2">
      <c r="A4528" t="s">
        <v>2117</v>
      </c>
      <c r="B4528">
        <v>1</v>
      </c>
    </row>
    <row r="4529" spans="1:2">
      <c r="A4529" t="s">
        <v>2120</v>
      </c>
      <c r="B4529">
        <v>1</v>
      </c>
    </row>
    <row r="4530" spans="1:2">
      <c r="A4530" t="s">
        <v>2122</v>
      </c>
      <c r="B4530">
        <v>1</v>
      </c>
    </row>
    <row r="4531" spans="1:2">
      <c r="A4531" t="s">
        <v>2124</v>
      </c>
      <c r="B4531">
        <v>1</v>
      </c>
    </row>
    <row r="4532" spans="1:2">
      <c r="A4532" t="s">
        <v>2127</v>
      </c>
      <c r="B4532">
        <v>1</v>
      </c>
    </row>
    <row r="4533" spans="1:2">
      <c r="A4533" t="s">
        <v>3026</v>
      </c>
      <c r="B4533">
        <v>1</v>
      </c>
    </row>
    <row r="4534" spans="1:2">
      <c r="A4534" t="s">
        <v>3056</v>
      </c>
      <c r="B4534">
        <v>1</v>
      </c>
    </row>
    <row r="4535" spans="1:2">
      <c r="A4535" t="s">
        <v>3052</v>
      </c>
      <c r="B4535">
        <v>1</v>
      </c>
    </row>
    <row r="4536" spans="1:2">
      <c r="A4536" t="s">
        <v>3048</v>
      </c>
      <c r="B4536">
        <v>1</v>
      </c>
    </row>
    <row r="4537" spans="1:2">
      <c r="A4537" t="s">
        <v>3044</v>
      </c>
      <c r="B4537">
        <v>1</v>
      </c>
    </row>
    <row r="4538" spans="1:2">
      <c r="A4538" t="s">
        <v>3041</v>
      </c>
      <c r="B4538">
        <v>1</v>
      </c>
    </row>
    <row r="4539" spans="1:2">
      <c r="A4539" t="s">
        <v>3037</v>
      </c>
      <c r="B4539">
        <v>1</v>
      </c>
    </row>
    <row r="4540" spans="1:2">
      <c r="A4540" t="s">
        <v>3033</v>
      </c>
      <c r="B4540">
        <v>1</v>
      </c>
    </row>
    <row r="4541" spans="1:2">
      <c r="A4541" t="s">
        <v>3029</v>
      </c>
      <c r="B4541">
        <v>1</v>
      </c>
    </row>
    <row r="4542" spans="1:2">
      <c r="A4542" t="s">
        <v>3169</v>
      </c>
      <c r="B4542">
        <v>1</v>
      </c>
    </row>
    <row r="4543" spans="1:2">
      <c r="A4543" t="s">
        <v>3175</v>
      </c>
      <c r="B4543">
        <v>1</v>
      </c>
    </row>
    <row r="4544" spans="1:2">
      <c r="A4544" t="s">
        <v>3163</v>
      </c>
      <c r="B4544">
        <v>1</v>
      </c>
    </row>
    <row r="4545" spans="1:2">
      <c r="A4545" t="s">
        <v>3160</v>
      </c>
      <c r="B4545">
        <v>1</v>
      </c>
    </row>
    <row r="4546" spans="1:2">
      <c r="A4546" t="s">
        <v>3156</v>
      </c>
      <c r="B4546">
        <v>1</v>
      </c>
    </row>
    <row r="4547" spans="1:2">
      <c r="A4547" t="s">
        <v>3166</v>
      </c>
      <c r="B4547">
        <v>1</v>
      </c>
    </row>
    <row r="4548" spans="1:2">
      <c r="A4548" t="s">
        <v>3171</v>
      </c>
      <c r="B4548">
        <v>1</v>
      </c>
    </row>
    <row r="4549" spans="1:2">
      <c r="A4549" t="s">
        <v>3435</v>
      </c>
      <c r="B4549">
        <v>1</v>
      </c>
    </row>
    <row r="4550" spans="1:2">
      <c r="A4550" t="s">
        <v>3432</v>
      </c>
      <c r="B4550">
        <v>1</v>
      </c>
    </row>
    <row r="4551" spans="1:2">
      <c r="A4551" t="s">
        <v>3427</v>
      </c>
      <c r="B4551">
        <v>1</v>
      </c>
    </row>
    <row r="4552" spans="1:2">
      <c r="A4552" t="s">
        <v>3401</v>
      </c>
      <c r="B4552">
        <v>1</v>
      </c>
    </row>
    <row r="4553" spans="1:2">
      <c r="A4553" t="s">
        <v>3423</v>
      </c>
      <c r="B4553">
        <v>1</v>
      </c>
    </row>
    <row r="4554" spans="1:2">
      <c r="A4554" t="s">
        <v>3420</v>
      </c>
      <c r="B4554">
        <v>1</v>
      </c>
    </row>
    <row r="4555" spans="1:2">
      <c r="A4555" t="s">
        <v>3418</v>
      </c>
      <c r="B4555">
        <v>1</v>
      </c>
    </row>
    <row r="4556" spans="1:2">
      <c r="A4556" t="s">
        <v>3439</v>
      </c>
      <c r="B4556">
        <v>1</v>
      </c>
    </row>
    <row r="4557" spans="1:2">
      <c r="A4557" t="s">
        <v>3443</v>
      </c>
      <c r="B4557">
        <v>1</v>
      </c>
    </row>
    <row r="4558" spans="1:2">
      <c r="A4558" t="s">
        <v>3403</v>
      </c>
      <c r="B4558">
        <v>1</v>
      </c>
    </row>
    <row r="4559" spans="1:2">
      <c r="A4559" t="s">
        <v>3407</v>
      </c>
      <c r="B4559">
        <v>1</v>
      </c>
    </row>
    <row r="4560" spans="1:2">
      <c r="A4560" t="s">
        <v>3411</v>
      </c>
      <c r="B4560">
        <v>1</v>
      </c>
    </row>
    <row r="4561" spans="1:2">
      <c r="A4561" t="s">
        <v>3415</v>
      </c>
      <c r="B4561">
        <v>1</v>
      </c>
    </row>
    <row r="4562" spans="1:2">
      <c r="A4562" t="s">
        <v>3462</v>
      </c>
      <c r="B4562">
        <v>1</v>
      </c>
    </row>
    <row r="4563" spans="1:2">
      <c r="A4563" t="s">
        <v>3445</v>
      </c>
      <c r="B4563">
        <v>1</v>
      </c>
    </row>
    <row r="4564" spans="1:2">
      <c r="A4564" t="s">
        <v>3456</v>
      </c>
      <c r="B4564">
        <v>1</v>
      </c>
    </row>
    <row r="4565" spans="1:2">
      <c r="A4565" t="s">
        <v>3468</v>
      </c>
      <c r="B4565">
        <v>1</v>
      </c>
    </row>
    <row r="4566" spans="1:2">
      <c r="A4566" t="s">
        <v>3458</v>
      </c>
      <c r="B4566">
        <v>1</v>
      </c>
    </row>
    <row r="4567" spans="1:2">
      <c r="A4567" t="s">
        <v>3465</v>
      </c>
      <c r="B4567">
        <v>1</v>
      </c>
    </row>
    <row r="4568" spans="1:2">
      <c r="A4568" t="s">
        <v>3447</v>
      </c>
      <c r="B4568">
        <v>1</v>
      </c>
    </row>
    <row r="4569" spans="1:2">
      <c r="A4569" t="s">
        <v>3452</v>
      </c>
      <c r="B4569">
        <v>1</v>
      </c>
    </row>
    <row r="4570" spans="1:2">
      <c r="A4570" t="s">
        <v>4223</v>
      </c>
      <c r="B4570">
        <v>1</v>
      </c>
    </row>
    <row r="4571" spans="1:2">
      <c r="A4571" t="s">
        <v>4219</v>
      </c>
      <c r="B4571">
        <v>1</v>
      </c>
    </row>
    <row r="4572" spans="1:2">
      <c r="A4572" t="s">
        <v>4215</v>
      </c>
      <c r="B4572">
        <v>1</v>
      </c>
    </row>
    <row r="4573" spans="1:2">
      <c r="A4573" t="s">
        <v>4210</v>
      </c>
      <c r="B4573">
        <v>1</v>
      </c>
    </row>
    <row r="4574" spans="1:2">
      <c r="A4574" t="s">
        <v>4206</v>
      </c>
      <c r="B4574">
        <v>1</v>
      </c>
    </row>
    <row r="4575" spans="1:2">
      <c r="A4575" t="s">
        <v>4240</v>
      </c>
      <c r="B4575">
        <v>1</v>
      </c>
    </row>
    <row r="4576" spans="1:2">
      <c r="A4576" t="s">
        <v>4238</v>
      </c>
      <c r="B4576">
        <v>1</v>
      </c>
    </row>
    <row r="4577" spans="1:2">
      <c r="A4577" t="s">
        <v>4243</v>
      </c>
      <c r="B4577">
        <v>1</v>
      </c>
    </row>
    <row r="4578" spans="1:2">
      <c r="A4578" t="s">
        <v>4244</v>
      </c>
      <c r="B4578">
        <v>1</v>
      </c>
    </row>
    <row r="4579" spans="1:2">
      <c r="A4579" t="s">
        <v>4266</v>
      </c>
      <c r="B4579">
        <v>1</v>
      </c>
    </row>
    <row r="4580" spans="1:2">
      <c r="A4580" t="s">
        <v>4264</v>
      </c>
      <c r="B4580">
        <v>1</v>
      </c>
    </row>
    <row r="4581" spans="1:2">
      <c r="A4581" t="s">
        <v>4262</v>
      </c>
      <c r="B4581">
        <v>1</v>
      </c>
    </row>
    <row r="4582" spans="1:2">
      <c r="A4582" t="s">
        <v>4259</v>
      </c>
      <c r="B4582">
        <v>1</v>
      </c>
    </row>
    <row r="4583" spans="1:2">
      <c r="A4583" t="s">
        <v>4255</v>
      </c>
      <c r="B4583">
        <v>1</v>
      </c>
    </row>
    <row r="4584" spans="1:2">
      <c r="A4584" t="s">
        <v>4251</v>
      </c>
      <c r="B4584">
        <v>1</v>
      </c>
    </row>
    <row r="4585" spans="1:2">
      <c r="A4585" t="s">
        <v>4247</v>
      </c>
      <c r="B4585">
        <v>1</v>
      </c>
    </row>
    <row r="4586" spans="1:2">
      <c r="A4586" t="s">
        <v>4433</v>
      </c>
      <c r="B4586">
        <v>1</v>
      </c>
    </row>
    <row r="4587" spans="1:2">
      <c r="A4587" t="s">
        <v>4437</v>
      </c>
      <c r="B4587">
        <v>1</v>
      </c>
    </row>
    <row r="4588" spans="1:2">
      <c r="A4588" t="s">
        <v>4458</v>
      </c>
      <c r="B4588">
        <v>1</v>
      </c>
    </row>
    <row r="4589" spans="1:2">
      <c r="A4589" t="s">
        <v>4443</v>
      </c>
      <c r="B4589">
        <v>1</v>
      </c>
    </row>
    <row r="4590" spans="1:2">
      <c r="A4590" t="s">
        <v>4440</v>
      </c>
      <c r="B4590">
        <v>1</v>
      </c>
    </row>
    <row r="4591" spans="1:2">
      <c r="A4591" t="s">
        <v>4425</v>
      </c>
      <c r="B4591">
        <v>1</v>
      </c>
    </row>
    <row r="4592" spans="1:2">
      <c r="A4592" t="s">
        <v>4468</v>
      </c>
      <c r="B4592">
        <v>1</v>
      </c>
    </row>
    <row r="4593" spans="1:2">
      <c r="A4593" t="s">
        <v>4472</v>
      </c>
      <c r="B4593">
        <v>1</v>
      </c>
    </row>
    <row r="4594" spans="1:2">
      <c r="A4594" t="s">
        <v>4473</v>
      </c>
      <c r="B4594">
        <v>1</v>
      </c>
    </row>
    <row r="4595" spans="1:2">
      <c r="A4595" t="s">
        <v>4479</v>
      </c>
      <c r="B4595">
        <v>1</v>
      </c>
    </row>
    <row r="4596" spans="1:2">
      <c r="A4596" t="s">
        <v>4483</v>
      </c>
      <c r="B4596">
        <v>1</v>
      </c>
    </row>
    <row r="4597" spans="1:2">
      <c r="A4597" t="s">
        <v>4487</v>
      </c>
      <c r="B4597">
        <v>1</v>
      </c>
    </row>
    <row r="4598" spans="1:2">
      <c r="A4598" t="s">
        <v>4462</v>
      </c>
      <c r="B4598">
        <v>1</v>
      </c>
    </row>
    <row r="4599" spans="1:2">
      <c r="A4599" t="s">
        <v>4465</v>
      </c>
      <c r="B4599">
        <v>1</v>
      </c>
    </row>
    <row r="4600" spans="1:2">
      <c r="A4600" t="s">
        <v>4455</v>
      </c>
      <c r="B4600">
        <v>1</v>
      </c>
    </row>
    <row r="4601" spans="1:2">
      <c r="A4601" t="s">
        <v>4429</v>
      </c>
      <c r="B4601">
        <v>1</v>
      </c>
    </row>
    <row r="4602" spans="1:2">
      <c r="A4602" t="s">
        <v>4634</v>
      </c>
      <c r="B4602">
        <v>1</v>
      </c>
    </row>
    <row r="4603" spans="1:2">
      <c r="A4603" t="s">
        <v>4630</v>
      </c>
      <c r="B4603">
        <v>1</v>
      </c>
    </row>
    <row r="4604" spans="1:2">
      <c r="A4604" t="s">
        <v>4624</v>
      </c>
      <c r="B4604">
        <v>1</v>
      </c>
    </row>
    <row r="4605" spans="1:2">
      <c r="A4605" t="s">
        <v>4621</v>
      </c>
      <c r="B4605">
        <v>1</v>
      </c>
    </row>
    <row r="4606" spans="1:2">
      <c r="A4606" t="s">
        <v>4618</v>
      </c>
      <c r="B4606">
        <v>1</v>
      </c>
    </row>
    <row r="4607" spans="1:2">
      <c r="A4607" t="s">
        <v>4637</v>
      </c>
      <c r="B4607">
        <v>1</v>
      </c>
    </row>
    <row r="4608" spans="1:2">
      <c r="A4608" t="s">
        <v>4616</v>
      </c>
      <c r="B4608">
        <v>1</v>
      </c>
    </row>
    <row r="4609" spans="1:2">
      <c r="A4609" t="s">
        <v>4598</v>
      </c>
      <c r="B4609">
        <v>1</v>
      </c>
    </row>
    <row r="4610" spans="1:2">
      <c r="A4610" t="s">
        <v>4613</v>
      </c>
      <c r="B4610">
        <v>1</v>
      </c>
    </row>
    <row r="4611" spans="1:2">
      <c r="A4611" t="s">
        <v>4642</v>
      </c>
      <c r="B4611">
        <v>1</v>
      </c>
    </row>
    <row r="4612" spans="1:2">
      <c r="A4612" t="s">
        <v>4646</v>
      </c>
      <c r="B4612">
        <v>1</v>
      </c>
    </row>
    <row r="4613" spans="1:2">
      <c r="A4613" t="s">
        <v>4650</v>
      </c>
      <c r="B4613">
        <v>1</v>
      </c>
    </row>
    <row r="4614" spans="1:2">
      <c r="A4614" t="s">
        <v>4675</v>
      </c>
      <c r="B4614">
        <v>1</v>
      </c>
    </row>
    <row r="4615" spans="1:2">
      <c r="A4615" t="s">
        <v>4673</v>
      </c>
      <c r="B4615">
        <v>1</v>
      </c>
    </row>
    <row r="4616" spans="1:2">
      <c r="A4616" t="s">
        <v>4671</v>
      </c>
      <c r="B4616">
        <v>1</v>
      </c>
    </row>
    <row r="4617" spans="1:2">
      <c r="A4617" t="s">
        <v>4669</v>
      </c>
      <c r="B4617">
        <v>1</v>
      </c>
    </row>
    <row r="4618" spans="1:2">
      <c r="A4618" t="s">
        <v>4667</v>
      </c>
      <c r="B4618">
        <v>1</v>
      </c>
    </row>
    <row r="4619" spans="1:2">
      <c r="A4619" t="s">
        <v>4665</v>
      </c>
      <c r="B4619">
        <v>1</v>
      </c>
    </row>
    <row r="4620" spans="1:2">
      <c r="A4620" t="s">
        <v>4664</v>
      </c>
      <c r="B4620">
        <v>1</v>
      </c>
    </row>
    <row r="4621" spans="1:2">
      <c r="A4621" t="s">
        <v>4662</v>
      </c>
      <c r="B4621">
        <v>1</v>
      </c>
    </row>
    <row r="4622" spans="1:2">
      <c r="A4622" t="s">
        <v>4660</v>
      </c>
      <c r="B4622">
        <v>1</v>
      </c>
    </row>
    <row r="4623" spans="1:2">
      <c r="A4623" t="s">
        <v>4658</v>
      </c>
      <c r="B4623">
        <v>1</v>
      </c>
    </row>
    <row r="4624" spans="1:2">
      <c r="A4624" t="s">
        <v>4656</v>
      </c>
      <c r="B4624">
        <v>1</v>
      </c>
    </row>
    <row r="4625" spans="1:2">
      <c r="A4625" t="s">
        <v>4655</v>
      </c>
      <c r="B4625">
        <v>1</v>
      </c>
    </row>
    <row r="4626" spans="1:2">
      <c r="A4626" t="s">
        <v>4653</v>
      </c>
      <c r="B4626">
        <v>1</v>
      </c>
    </row>
    <row r="4627" spans="1:2">
      <c r="A4627" t="s">
        <v>4652</v>
      </c>
      <c r="B4627">
        <v>1</v>
      </c>
    </row>
    <row r="4628" spans="1:2">
      <c r="A4628" t="s">
        <v>4596</v>
      </c>
      <c r="B4628">
        <v>1</v>
      </c>
    </row>
    <row r="4629" spans="1:2">
      <c r="A4629" t="s">
        <v>4676</v>
      </c>
      <c r="B4629">
        <v>1</v>
      </c>
    </row>
    <row r="4630" spans="1:2">
      <c r="A4630" t="s">
        <v>4593</v>
      </c>
      <c r="B4630">
        <v>1</v>
      </c>
    </row>
    <row r="4631" spans="1:2">
      <c r="A4631" t="s">
        <v>4525</v>
      </c>
      <c r="B4631">
        <v>1</v>
      </c>
    </row>
    <row r="4632" spans="1:2">
      <c r="A4632" t="s">
        <v>4517</v>
      </c>
      <c r="B4632">
        <v>1</v>
      </c>
    </row>
    <row r="4633" spans="1:2">
      <c r="A4633" t="s">
        <v>4511</v>
      </c>
      <c r="B4633">
        <v>1</v>
      </c>
    </row>
    <row r="4634" spans="1:2">
      <c r="A4634" t="s">
        <v>4509</v>
      </c>
      <c r="B4634">
        <v>1</v>
      </c>
    </row>
    <row r="4635" spans="1:2">
      <c r="A4635" t="s">
        <v>4506</v>
      </c>
      <c r="B4635">
        <v>1</v>
      </c>
    </row>
    <row r="4636" spans="1:2">
      <c r="A4636" t="s">
        <v>4502</v>
      </c>
      <c r="B4636">
        <v>1</v>
      </c>
    </row>
    <row r="4637" spans="1:2">
      <c r="A4637" t="s">
        <v>4494</v>
      </c>
      <c r="B4637">
        <v>1</v>
      </c>
    </row>
    <row r="4638" spans="1:2">
      <c r="A4638" t="s">
        <v>4540</v>
      </c>
      <c r="B4638">
        <v>1</v>
      </c>
    </row>
    <row r="4639" spans="1:2">
      <c r="A4639" t="s">
        <v>4589</v>
      </c>
      <c r="B4639">
        <v>1</v>
      </c>
    </row>
    <row r="4640" spans="1:2">
      <c r="A4640" t="s">
        <v>4544</v>
      </c>
      <c r="B4640">
        <v>1</v>
      </c>
    </row>
    <row r="4641" spans="1:2">
      <c r="A4641" t="s">
        <v>4682</v>
      </c>
      <c r="B4641">
        <v>1</v>
      </c>
    </row>
    <row r="4642" spans="1:2">
      <c r="A4642" t="s">
        <v>4581</v>
      </c>
      <c r="B4642">
        <v>1</v>
      </c>
    </row>
    <row r="4643" spans="1:2">
      <c r="A4643" t="s">
        <v>4577</v>
      </c>
      <c r="B4643">
        <v>1</v>
      </c>
    </row>
    <row r="4644" spans="1:2">
      <c r="A4644" t="s">
        <v>4574</v>
      </c>
      <c r="B4644">
        <v>1</v>
      </c>
    </row>
    <row r="4645" spans="1:2">
      <c r="A4645" t="s">
        <v>4572</v>
      </c>
      <c r="B4645">
        <v>1</v>
      </c>
    </row>
    <row r="4646" spans="1:2">
      <c r="A4646" t="s">
        <v>4569</v>
      </c>
      <c r="B4646">
        <v>1</v>
      </c>
    </row>
    <row r="4647" spans="1:2">
      <c r="A4647" t="s">
        <v>4564</v>
      </c>
      <c r="B4647">
        <v>1</v>
      </c>
    </row>
    <row r="4648" spans="1:2">
      <c r="A4648" t="s">
        <v>4561</v>
      </c>
      <c r="B4648">
        <v>1</v>
      </c>
    </row>
    <row r="4649" spans="1:2">
      <c r="A4649" t="s">
        <v>4557</v>
      </c>
      <c r="B4649">
        <v>1</v>
      </c>
    </row>
    <row r="4650" spans="1:2">
      <c r="A4650" t="s">
        <v>4555</v>
      </c>
      <c r="B4650">
        <v>1</v>
      </c>
    </row>
    <row r="4651" spans="1:2">
      <c r="A4651" t="s">
        <v>4553</v>
      </c>
      <c r="B4651">
        <v>1</v>
      </c>
    </row>
    <row r="4652" spans="1:2">
      <c r="A4652" t="s">
        <v>4550</v>
      </c>
      <c r="B4652">
        <v>1</v>
      </c>
    </row>
    <row r="4653" spans="1:2">
      <c r="A4653" t="s">
        <v>4548</v>
      </c>
      <c r="B4653">
        <v>1</v>
      </c>
    </row>
    <row r="4654" spans="1:2">
      <c r="A4654" t="s">
        <v>4536</v>
      </c>
      <c r="B4654">
        <v>1</v>
      </c>
    </row>
    <row r="4655" spans="1:2">
      <c r="A4655" t="s">
        <v>4490</v>
      </c>
      <c r="B4655">
        <v>1</v>
      </c>
    </row>
    <row r="4656" spans="1:2">
      <c r="A4656" t="s">
        <v>4670</v>
      </c>
      <c r="B4656">
        <v>1</v>
      </c>
    </row>
    <row r="4657" spans="1:2">
      <c r="A4657" t="s">
        <v>4678</v>
      </c>
      <c r="B4657">
        <v>1</v>
      </c>
    </row>
    <row r="4658" spans="1:2">
      <c r="A4658" t="s">
        <v>6793</v>
      </c>
      <c r="B4658">
        <v>1</v>
      </c>
    </row>
    <row r="4659" spans="1:2">
      <c r="A4659" t="s">
        <v>6799</v>
      </c>
      <c r="B4659">
        <v>1</v>
      </c>
    </row>
    <row r="4660" spans="1:2">
      <c r="A4660" t="s">
        <v>6797</v>
      </c>
      <c r="B4660">
        <v>1</v>
      </c>
    </row>
    <row r="4661" spans="1:2">
      <c r="A4661" t="s">
        <v>6806</v>
      </c>
      <c r="B4661">
        <v>1</v>
      </c>
    </row>
    <row r="4662" spans="1:2">
      <c r="A4662" t="s">
        <v>6811</v>
      </c>
      <c r="B4662">
        <v>1</v>
      </c>
    </row>
    <row r="4663" spans="1:2">
      <c r="A4663" t="s">
        <v>6815</v>
      </c>
      <c r="B4663">
        <v>1</v>
      </c>
    </row>
    <row r="4664" spans="1:2">
      <c r="A4664" t="s">
        <v>6820</v>
      </c>
      <c r="B4664">
        <v>1</v>
      </c>
    </row>
    <row r="4665" spans="1:2">
      <c r="A4665" t="s">
        <v>6824</v>
      </c>
      <c r="B4665">
        <v>1</v>
      </c>
    </row>
    <row r="4666" spans="1:2">
      <c r="A4666" t="s">
        <v>7974</v>
      </c>
      <c r="B4666">
        <v>1</v>
      </c>
    </row>
    <row r="4667" spans="1:2">
      <c r="A4667" t="s">
        <v>7977</v>
      </c>
      <c r="B4667">
        <v>1</v>
      </c>
    </row>
    <row r="4668" spans="1:2">
      <c r="A4668" t="s">
        <v>7979</v>
      </c>
      <c r="B4668">
        <v>1</v>
      </c>
    </row>
    <row r="4669" spans="1:2">
      <c r="A4669" t="s">
        <v>7981</v>
      </c>
      <c r="B4669">
        <v>1</v>
      </c>
    </row>
    <row r="4670" spans="1:2">
      <c r="A4670" t="s">
        <v>7989</v>
      </c>
      <c r="B4670">
        <v>1</v>
      </c>
    </row>
    <row r="4671" spans="1:2">
      <c r="A4671" t="s">
        <v>7992</v>
      </c>
      <c r="B4671">
        <v>1</v>
      </c>
    </row>
    <row r="4672" spans="1:2">
      <c r="A4672" t="s">
        <v>7995</v>
      </c>
      <c r="B4672">
        <v>1</v>
      </c>
    </row>
    <row r="4673" spans="1:2">
      <c r="A4673" t="s">
        <v>7999</v>
      </c>
      <c r="B4673">
        <v>1</v>
      </c>
    </row>
    <row r="4674" spans="1:2">
      <c r="A4674" t="s">
        <v>8003</v>
      </c>
      <c r="B4674">
        <v>1</v>
      </c>
    </row>
    <row r="4675" spans="1:2">
      <c r="A4675" t="s">
        <v>8006</v>
      </c>
      <c r="B4675">
        <v>1</v>
      </c>
    </row>
    <row r="4676" spans="1:2">
      <c r="A4676" t="s">
        <v>8009</v>
      </c>
      <c r="B4676">
        <v>1</v>
      </c>
    </row>
    <row r="4677" spans="1:2">
      <c r="A4677" t="s">
        <v>8012</v>
      </c>
      <c r="B4677">
        <v>1</v>
      </c>
    </row>
    <row r="4678" spans="1:2">
      <c r="A4678" t="s">
        <v>8015</v>
      </c>
      <c r="B4678">
        <v>1</v>
      </c>
    </row>
    <row r="4679" spans="1:2">
      <c r="A4679" t="s">
        <v>8018</v>
      </c>
      <c r="B4679">
        <v>1</v>
      </c>
    </row>
    <row r="4680" spans="1:2">
      <c r="A4680" t="s">
        <v>8032</v>
      </c>
      <c r="B4680">
        <v>1</v>
      </c>
    </row>
    <row r="4681" spans="1:2">
      <c r="A4681" t="s">
        <v>8022</v>
      </c>
      <c r="B4681">
        <v>1</v>
      </c>
    </row>
    <row r="4682" spans="1:2">
      <c r="A4682" t="s">
        <v>8056</v>
      </c>
      <c r="B4682">
        <v>1</v>
      </c>
    </row>
    <row r="4683" spans="1:2">
      <c r="A4683" t="s">
        <v>8059</v>
      </c>
      <c r="B4683">
        <v>1</v>
      </c>
    </row>
    <row r="4684" spans="1:2">
      <c r="A4684" t="s">
        <v>8063</v>
      </c>
      <c r="B4684">
        <v>1</v>
      </c>
    </row>
    <row r="4685" spans="1:2">
      <c r="A4685" t="s">
        <v>8068</v>
      </c>
      <c r="B4685">
        <v>1</v>
      </c>
    </row>
    <row r="4686" spans="1:2">
      <c r="A4686" t="s">
        <v>8053</v>
      </c>
      <c r="B4686">
        <v>1</v>
      </c>
    </row>
    <row r="4687" spans="1:2">
      <c r="A4687" t="s">
        <v>8049</v>
      </c>
      <c r="B4687">
        <v>1</v>
      </c>
    </row>
    <row r="4688" spans="1:2">
      <c r="A4688" t="s">
        <v>8041</v>
      </c>
      <c r="B4688">
        <v>1</v>
      </c>
    </row>
    <row r="4689" spans="1:2">
      <c r="A4689" t="s">
        <v>8039</v>
      </c>
      <c r="B4689">
        <v>1</v>
      </c>
    </row>
    <row r="4690" spans="1:2">
      <c r="A4690" t="s">
        <v>8035</v>
      </c>
      <c r="B4690">
        <v>1</v>
      </c>
    </row>
    <row r="4691" spans="1:2">
      <c r="A4691" t="s">
        <v>8045</v>
      </c>
      <c r="B4691">
        <v>1</v>
      </c>
    </row>
    <row r="4692" spans="1:2">
      <c r="A4692" t="s">
        <v>8028</v>
      </c>
      <c r="B4692">
        <v>1</v>
      </c>
    </row>
    <row r="4693" spans="1:2">
      <c r="A4693" t="s">
        <v>8026</v>
      </c>
      <c r="B4693">
        <v>1</v>
      </c>
    </row>
    <row r="4694" spans="1:2">
      <c r="A4694" t="s">
        <v>7970</v>
      </c>
      <c r="B4694">
        <v>1</v>
      </c>
    </row>
    <row r="4695" spans="1:2">
      <c r="A4695" t="s">
        <v>7985</v>
      </c>
      <c r="B4695">
        <v>1</v>
      </c>
    </row>
    <row r="4696" spans="1:2">
      <c r="A4696" t="s">
        <v>7964</v>
      </c>
      <c r="B4696">
        <v>1</v>
      </c>
    </row>
    <row r="4697" spans="1:2">
      <c r="A4697" t="s">
        <v>7896</v>
      </c>
      <c r="B4697">
        <v>1</v>
      </c>
    </row>
    <row r="4698" spans="1:2">
      <c r="A4698" t="s">
        <v>7890</v>
      </c>
      <c r="B4698">
        <v>1</v>
      </c>
    </row>
    <row r="4699" spans="1:2">
      <c r="A4699" t="s">
        <v>7886</v>
      </c>
      <c r="B4699">
        <v>1</v>
      </c>
    </row>
    <row r="4700" spans="1:2">
      <c r="A4700" t="s">
        <v>7879</v>
      </c>
      <c r="B4700">
        <v>1</v>
      </c>
    </row>
    <row r="4701" spans="1:2">
      <c r="A4701" t="s">
        <v>7967</v>
      </c>
      <c r="B4701">
        <v>1</v>
      </c>
    </row>
    <row r="4702" spans="1:2">
      <c r="A4702" t="s">
        <v>7873</v>
      </c>
      <c r="B4702">
        <v>1</v>
      </c>
    </row>
    <row r="4703" spans="1:2">
      <c r="A4703" t="s">
        <v>7869</v>
      </c>
      <c r="B4703">
        <v>1</v>
      </c>
    </row>
    <row r="4704" spans="1:2">
      <c r="A4704" t="s">
        <v>7867</v>
      </c>
      <c r="B4704">
        <v>1</v>
      </c>
    </row>
    <row r="4705" spans="1:2">
      <c r="A4705" t="s">
        <v>7851</v>
      </c>
      <c r="B4705">
        <v>1</v>
      </c>
    </row>
    <row r="4706" spans="1:2">
      <c r="A4706" t="s">
        <v>7847</v>
      </c>
      <c r="B4706">
        <v>1</v>
      </c>
    </row>
    <row r="4707" spans="1:2">
      <c r="A4707" t="s">
        <v>7844</v>
      </c>
      <c r="B4707">
        <v>1</v>
      </c>
    </row>
    <row r="4708" spans="1:2">
      <c r="A4708" t="s">
        <v>7840</v>
      </c>
      <c r="B4708">
        <v>1</v>
      </c>
    </row>
    <row r="4709" spans="1:2">
      <c r="A4709" t="s">
        <v>7836</v>
      </c>
      <c r="B4709">
        <v>1</v>
      </c>
    </row>
    <row r="4710" spans="1:2">
      <c r="A4710" t="s">
        <v>7823</v>
      </c>
      <c r="B4710">
        <v>1</v>
      </c>
    </row>
    <row r="4711" spans="1:2">
      <c r="A4711" t="s">
        <v>7900</v>
      </c>
      <c r="B4711">
        <v>1</v>
      </c>
    </row>
    <row r="4712" spans="1:2">
      <c r="A4712" t="s">
        <v>7960</v>
      </c>
      <c r="B4712">
        <v>1</v>
      </c>
    </row>
    <row r="4713" spans="1:2">
      <c r="A4713" t="s">
        <v>7903</v>
      </c>
      <c r="B4713">
        <v>1</v>
      </c>
    </row>
    <row r="4714" spans="1:2">
      <c r="A4714" t="s">
        <v>7958</v>
      </c>
      <c r="B4714">
        <v>1</v>
      </c>
    </row>
    <row r="4715" spans="1:2">
      <c r="A4715" t="s">
        <v>7955</v>
      </c>
      <c r="B4715">
        <v>1</v>
      </c>
    </row>
    <row r="4716" spans="1:2">
      <c r="A4716" t="s">
        <v>7952</v>
      </c>
      <c r="B4716">
        <v>1</v>
      </c>
    </row>
    <row r="4717" spans="1:2">
      <c r="A4717" t="s">
        <v>7946</v>
      </c>
      <c r="B4717">
        <v>1</v>
      </c>
    </row>
    <row r="4718" spans="1:2">
      <c r="A4718" t="s">
        <v>7944</v>
      </c>
      <c r="B4718">
        <v>1</v>
      </c>
    </row>
    <row r="4719" spans="1:2">
      <c r="A4719" t="s">
        <v>7941</v>
      </c>
      <c r="B4719">
        <v>1</v>
      </c>
    </row>
    <row r="4720" spans="1:2">
      <c r="A4720" t="s">
        <v>7938</v>
      </c>
      <c r="B4720">
        <v>1</v>
      </c>
    </row>
    <row r="4721" spans="1:2">
      <c r="A4721" t="s">
        <v>7935</v>
      </c>
      <c r="B4721">
        <v>1</v>
      </c>
    </row>
    <row r="4722" spans="1:2">
      <c r="A4722" t="s">
        <v>7932</v>
      </c>
      <c r="B4722">
        <v>1</v>
      </c>
    </row>
    <row r="4723" spans="1:2">
      <c r="A4723" t="s">
        <v>7928</v>
      </c>
      <c r="B4723">
        <v>1</v>
      </c>
    </row>
    <row r="4724" spans="1:2">
      <c r="A4724" t="s">
        <v>7924</v>
      </c>
      <c r="B4724">
        <v>1</v>
      </c>
    </row>
    <row r="4725" spans="1:2">
      <c r="A4725" t="s">
        <v>7921</v>
      </c>
      <c r="B4725">
        <v>1</v>
      </c>
    </row>
    <row r="4726" spans="1:2">
      <c r="A4726" t="s">
        <v>7918</v>
      </c>
      <c r="B4726">
        <v>1</v>
      </c>
    </row>
    <row r="4727" spans="1:2">
      <c r="A4727" t="s">
        <v>7820</v>
      </c>
      <c r="B4727">
        <v>1</v>
      </c>
    </row>
    <row r="4728" spans="1:2">
      <c r="A4728" t="s">
        <v>7917</v>
      </c>
      <c r="B4728">
        <v>1</v>
      </c>
    </row>
    <row r="4729" spans="1:2">
      <c r="A4729" t="s">
        <v>7915</v>
      </c>
      <c r="B4729">
        <v>1</v>
      </c>
    </row>
    <row r="4730" spans="1:2">
      <c r="A4730" t="s">
        <v>7909</v>
      </c>
      <c r="B4730">
        <v>1</v>
      </c>
    </row>
    <row r="4731" spans="1:2">
      <c r="A4731" t="s">
        <v>7908</v>
      </c>
      <c r="B4731">
        <v>1</v>
      </c>
    </row>
    <row r="4732" spans="1:2">
      <c r="A4732" t="s">
        <v>7877</v>
      </c>
      <c r="B4732">
        <v>1</v>
      </c>
    </row>
    <row r="4733" spans="1:2">
      <c r="A4733" t="s">
        <v>8019</v>
      </c>
      <c r="B4733">
        <v>1</v>
      </c>
    </row>
    <row r="4734" spans="1:2">
      <c r="A4734" t="s">
        <v>7758</v>
      </c>
      <c r="B4734">
        <v>1</v>
      </c>
    </row>
    <row r="4735" spans="1:2">
      <c r="A4735" t="s">
        <v>7760</v>
      </c>
      <c r="B4735">
        <v>1</v>
      </c>
    </row>
    <row r="4736" spans="1:2">
      <c r="A4736" t="s">
        <v>7762</v>
      </c>
      <c r="B4736">
        <v>1</v>
      </c>
    </row>
    <row r="4737" spans="1:2">
      <c r="A4737" t="s">
        <v>7765</v>
      </c>
      <c r="B4737">
        <v>1</v>
      </c>
    </row>
    <row r="4738" spans="1:2">
      <c r="A4738" t="s">
        <v>7766</v>
      </c>
      <c r="B4738">
        <v>1</v>
      </c>
    </row>
    <row r="4739" spans="1:2">
      <c r="A4739" t="s">
        <v>7768</v>
      </c>
      <c r="B4739">
        <v>1</v>
      </c>
    </row>
    <row r="4740" spans="1:2">
      <c r="A4740" t="s">
        <v>7772</v>
      </c>
      <c r="B4740">
        <v>1</v>
      </c>
    </row>
    <row r="4741" spans="1:2">
      <c r="A4741" t="s">
        <v>7773</v>
      </c>
      <c r="B4741">
        <v>1</v>
      </c>
    </row>
    <row r="4742" spans="1:2">
      <c r="A4742" t="s">
        <v>7780</v>
      </c>
      <c r="B4742">
        <v>1</v>
      </c>
    </row>
    <row r="4743" spans="1:2">
      <c r="A4743" t="s">
        <v>7781</v>
      </c>
      <c r="B4743">
        <v>1</v>
      </c>
    </row>
    <row r="4744" spans="1:2">
      <c r="A4744" t="s">
        <v>7783</v>
      </c>
      <c r="B4744">
        <v>1</v>
      </c>
    </row>
    <row r="4745" spans="1:2">
      <c r="A4745" t="s">
        <v>7784</v>
      </c>
      <c r="B4745">
        <v>1</v>
      </c>
    </row>
    <row r="4746" spans="1:2">
      <c r="A4746" t="s">
        <v>7786</v>
      </c>
      <c r="B4746">
        <v>1</v>
      </c>
    </row>
    <row r="4747" spans="1:2">
      <c r="A4747" t="s">
        <v>7791</v>
      </c>
      <c r="B4747">
        <v>1</v>
      </c>
    </row>
    <row r="4748" spans="1:2">
      <c r="A4748" t="s">
        <v>7793</v>
      </c>
      <c r="B4748">
        <v>1</v>
      </c>
    </row>
    <row r="4749" spans="1:2">
      <c r="A4749" t="s">
        <v>7818</v>
      </c>
      <c r="B4749">
        <v>1</v>
      </c>
    </row>
    <row r="4750" spans="1:2">
      <c r="A4750" t="s">
        <v>7794</v>
      </c>
      <c r="B4750">
        <v>1</v>
      </c>
    </row>
    <row r="4751" spans="1:2">
      <c r="A4751" t="s">
        <v>7819</v>
      </c>
      <c r="B4751">
        <v>1</v>
      </c>
    </row>
    <row r="4752" spans="1:2">
      <c r="A4752" t="s">
        <v>7796</v>
      </c>
      <c r="B4752">
        <v>1</v>
      </c>
    </row>
    <row r="4753" spans="1:2">
      <c r="A4753" t="s">
        <v>7799</v>
      </c>
      <c r="B4753">
        <v>1</v>
      </c>
    </row>
    <row r="4754" spans="1:2">
      <c r="A4754" t="s">
        <v>7802</v>
      </c>
      <c r="B4754">
        <v>1</v>
      </c>
    </row>
    <row r="4755" spans="1:2">
      <c r="A4755" t="s">
        <v>7804</v>
      </c>
      <c r="B4755">
        <v>1</v>
      </c>
    </row>
    <row r="4756" spans="1:2">
      <c r="A4756" t="s">
        <v>7805</v>
      </c>
      <c r="B4756">
        <v>1</v>
      </c>
    </row>
    <row r="4757" spans="1:2">
      <c r="A4757" t="s">
        <v>7810</v>
      </c>
      <c r="B4757">
        <v>1</v>
      </c>
    </row>
    <row r="4758" spans="1:2">
      <c r="A4758" t="s">
        <v>7753</v>
      </c>
      <c r="B4758">
        <v>1</v>
      </c>
    </row>
    <row r="4759" spans="1:2">
      <c r="A4759" t="s">
        <v>7811</v>
      </c>
      <c r="B4759">
        <v>1</v>
      </c>
    </row>
    <row r="4760" spans="1:2">
      <c r="A4760" t="s">
        <v>7812</v>
      </c>
      <c r="B4760">
        <v>1</v>
      </c>
    </row>
    <row r="4761" spans="1:2">
      <c r="A4761" t="s">
        <v>7814</v>
      </c>
      <c r="B4761">
        <v>1</v>
      </c>
    </row>
    <row r="4762" spans="1:2">
      <c r="A4762" t="s">
        <v>7755</v>
      </c>
      <c r="B4762">
        <v>1</v>
      </c>
    </row>
    <row r="4763" spans="1:2">
      <c r="A4763" t="s">
        <v>7788</v>
      </c>
      <c r="B4763">
        <v>1</v>
      </c>
    </row>
    <row r="4764" spans="1:2">
      <c r="A4764" t="s">
        <v>7751</v>
      </c>
      <c r="B4764">
        <v>1</v>
      </c>
    </row>
    <row r="4765" spans="1:2">
      <c r="A4765" t="s">
        <v>7730</v>
      </c>
      <c r="B4765">
        <v>1</v>
      </c>
    </row>
    <row r="4766" spans="1:2">
      <c r="A4766" t="s">
        <v>7693</v>
      </c>
      <c r="B4766">
        <v>1</v>
      </c>
    </row>
    <row r="4767" spans="1:2">
      <c r="A4767" t="s">
        <v>7695</v>
      </c>
      <c r="B4767">
        <v>1</v>
      </c>
    </row>
    <row r="4768" spans="1:2">
      <c r="A4768" t="s">
        <v>7712</v>
      </c>
      <c r="B4768">
        <v>1</v>
      </c>
    </row>
    <row r="4769" spans="1:2">
      <c r="A4769" t="s">
        <v>7697</v>
      </c>
      <c r="B4769">
        <v>1</v>
      </c>
    </row>
    <row r="4770" spans="1:2">
      <c r="A4770" t="s">
        <v>7699</v>
      </c>
      <c r="B4770">
        <v>1</v>
      </c>
    </row>
    <row r="4771" spans="1:2">
      <c r="A4771" t="s">
        <v>7702</v>
      </c>
      <c r="B4771">
        <v>1</v>
      </c>
    </row>
    <row r="4772" spans="1:2">
      <c r="A4772" t="s">
        <v>7707</v>
      </c>
      <c r="B4772">
        <v>1</v>
      </c>
    </row>
    <row r="4773" spans="1:2">
      <c r="A4773" t="s">
        <v>7709</v>
      </c>
      <c r="B4773">
        <v>1</v>
      </c>
    </row>
    <row r="4774" spans="1:2">
      <c r="A4774" t="s">
        <v>7710</v>
      </c>
      <c r="B4774">
        <v>1</v>
      </c>
    </row>
    <row r="4775" spans="1:2">
      <c r="A4775" t="s">
        <v>7689</v>
      </c>
      <c r="B4775">
        <v>1</v>
      </c>
    </row>
    <row r="4776" spans="1:2">
      <c r="A4776" t="s">
        <v>7718</v>
      </c>
      <c r="B4776">
        <v>1</v>
      </c>
    </row>
    <row r="4777" spans="1:2">
      <c r="A4777" t="s">
        <v>7722</v>
      </c>
      <c r="B4777">
        <v>1</v>
      </c>
    </row>
    <row r="4778" spans="1:2">
      <c r="A4778" t="s">
        <v>7725</v>
      </c>
      <c r="B4778">
        <v>1</v>
      </c>
    </row>
    <row r="4779" spans="1:2">
      <c r="A4779" t="s">
        <v>7726</v>
      </c>
      <c r="B4779">
        <v>1</v>
      </c>
    </row>
    <row r="4780" spans="1:2">
      <c r="A4780" t="s">
        <v>7713</v>
      </c>
      <c r="B4780">
        <v>1</v>
      </c>
    </row>
    <row r="4781" spans="1:2">
      <c r="A4781" t="s">
        <v>7732</v>
      </c>
      <c r="B4781">
        <v>1</v>
      </c>
    </row>
    <row r="4782" spans="1:2">
      <c r="A4782" t="s">
        <v>7735</v>
      </c>
      <c r="B4782">
        <v>1</v>
      </c>
    </row>
    <row r="4783" spans="1:2">
      <c r="A4783" t="s">
        <v>7738</v>
      </c>
      <c r="B4783">
        <v>1</v>
      </c>
    </row>
    <row r="4784" spans="1:2">
      <c r="A4784" t="s">
        <v>7742</v>
      </c>
      <c r="B4784">
        <v>1</v>
      </c>
    </row>
    <row r="4785" spans="1:2">
      <c r="A4785" t="s">
        <v>7746</v>
      </c>
      <c r="B4785">
        <v>1</v>
      </c>
    </row>
    <row r="4786" spans="1:2">
      <c r="A4786" t="s">
        <v>7749</v>
      </c>
      <c r="B4786">
        <v>1</v>
      </c>
    </row>
    <row r="4787" spans="1:2">
      <c r="A4787" t="s">
        <v>8908</v>
      </c>
      <c r="B4787">
        <v>1</v>
      </c>
    </row>
    <row r="4788" spans="1:2">
      <c r="A4788" t="s">
        <v>8904</v>
      </c>
      <c r="B4788">
        <v>1</v>
      </c>
    </row>
    <row r="4789" spans="1:2">
      <c r="A4789" t="s">
        <v>8974</v>
      </c>
      <c r="B4789">
        <v>1</v>
      </c>
    </row>
    <row r="4790" spans="1:2">
      <c r="A4790" t="s">
        <v>8955</v>
      </c>
      <c r="B4790">
        <v>1</v>
      </c>
    </row>
    <row r="4791" spans="1:2">
      <c r="A4791" t="s">
        <v>8948</v>
      </c>
      <c r="B4791">
        <v>1</v>
      </c>
    </row>
    <row r="4792" spans="1:2">
      <c r="A4792" t="s">
        <v>8945</v>
      </c>
      <c r="B4792">
        <v>1</v>
      </c>
    </row>
    <row r="4793" spans="1:2">
      <c r="A4793" t="s">
        <v>8941</v>
      </c>
      <c r="B4793">
        <v>1</v>
      </c>
    </row>
    <row r="4794" spans="1:2">
      <c r="A4794" t="s">
        <v>8930</v>
      </c>
      <c r="B4794">
        <v>1</v>
      </c>
    </row>
    <row r="4795" spans="1:2">
      <c r="A4795" t="s">
        <v>8932</v>
      </c>
      <c r="B4795">
        <v>1</v>
      </c>
    </row>
    <row r="4796" spans="1:2">
      <c r="A4796" t="s">
        <v>8968</v>
      </c>
      <c r="B4796">
        <v>1</v>
      </c>
    </row>
    <row r="4797" spans="1:2">
      <c r="A4797" t="s">
        <v>8924</v>
      </c>
      <c r="B4797">
        <v>1</v>
      </c>
    </row>
    <row r="4798" spans="1:2">
      <c r="A4798" t="s">
        <v>8921</v>
      </c>
      <c r="B4798">
        <v>1</v>
      </c>
    </row>
    <row r="4799" spans="1:2">
      <c r="A4799" t="s">
        <v>8914</v>
      </c>
      <c r="B4799">
        <v>1</v>
      </c>
    </row>
    <row r="4800" spans="1:2">
      <c r="A4800" t="s">
        <v>8969</v>
      </c>
      <c r="B4800">
        <v>1</v>
      </c>
    </row>
    <row r="4801" spans="1:2">
      <c r="A4801" t="s">
        <v>8933</v>
      </c>
      <c r="B4801">
        <v>1</v>
      </c>
    </row>
    <row r="4802" spans="1:2">
      <c r="A4802" t="s">
        <v>8965</v>
      </c>
      <c r="B4802">
        <v>1</v>
      </c>
    </row>
    <row r="4803" spans="1:2">
      <c r="A4803" t="s">
        <v>8962</v>
      </c>
      <c r="B4803">
        <v>1</v>
      </c>
    </row>
    <row r="4804" spans="1:2">
      <c r="A4804" t="s">
        <v>8959</v>
      </c>
      <c r="B4804">
        <v>1</v>
      </c>
    </row>
    <row r="4805" spans="1:2">
      <c r="A4805" t="s">
        <v>9581</v>
      </c>
      <c r="B4805">
        <v>1</v>
      </c>
    </row>
    <row r="4806" spans="1:2">
      <c r="A4806" t="s">
        <v>9577</v>
      </c>
      <c r="B4806">
        <v>1</v>
      </c>
    </row>
    <row r="4807" spans="1:2">
      <c r="A4807" t="s">
        <v>9585</v>
      </c>
      <c r="B4807">
        <v>1</v>
      </c>
    </row>
    <row r="4808" spans="1:2">
      <c r="A4808" t="s">
        <v>9595</v>
      </c>
      <c r="B4808">
        <v>1</v>
      </c>
    </row>
    <row r="4809" spans="1:2">
      <c r="A4809" t="s">
        <v>9592</v>
      </c>
      <c r="B4809">
        <v>1</v>
      </c>
    </row>
    <row r="4810" spans="1:2">
      <c r="A4810" t="s">
        <v>9569</v>
      </c>
      <c r="B4810">
        <v>1</v>
      </c>
    </row>
    <row r="4811" spans="1:2">
      <c r="A4811" t="s">
        <v>9572</v>
      </c>
      <c r="B4811">
        <v>1</v>
      </c>
    </row>
    <row r="4812" spans="1:2">
      <c r="A4812" t="s">
        <v>9588</v>
      </c>
      <c r="B4812">
        <v>1</v>
      </c>
    </row>
    <row r="4813" spans="1:2">
      <c r="A4813" t="s">
        <v>9567</v>
      </c>
      <c r="B4813">
        <v>1</v>
      </c>
    </row>
    <row r="4814" spans="1:2">
      <c r="A4814" t="s">
        <v>9563</v>
      </c>
      <c r="B4814">
        <v>1</v>
      </c>
    </row>
    <row r="4815" spans="1:2">
      <c r="A4815" t="s">
        <v>9559</v>
      </c>
      <c r="B4815">
        <v>1</v>
      </c>
    </row>
    <row r="4816" spans="1:2">
      <c r="A4816" t="s">
        <v>9558</v>
      </c>
      <c r="B4816">
        <v>1</v>
      </c>
    </row>
    <row r="4817" spans="1:2">
      <c r="A4817" t="s">
        <v>9555</v>
      </c>
      <c r="B4817">
        <v>1</v>
      </c>
    </row>
    <row r="4818" spans="1:2">
      <c r="A4818" t="s">
        <v>9675</v>
      </c>
      <c r="B4818">
        <v>1</v>
      </c>
    </row>
    <row r="4819" spans="1:2">
      <c r="A4819" t="s">
        <v>9679</v>
      </c>
      <c r="B4819">
        <v>1</v>
      </c>
    </row>
    <row r="4820" spans="1:2">
      <c r="A4820" t="s">
        <v>9690</v>
      </c>
      <c r="B4820">
        <v>1</v>
      </c>
    </row>
    <row r="4821" spans="1:2">
      <c r="A4821" t="s">
        <v>9683</v>
      </c>
      <c r="B4821">
        <v>1</v>
      </c>
    </row>
    <row r="4822" spans="1:2">
      <c r="A4822" t="s">
        <v>9668</v>
      </c>
      <c r="B4822">
        <v>1</v>
      </c>
    </row>
    <row r="4823" spans="1:2">
      <c r="A4823" t="s">
        <v>9667</v>
      </c>
      <c r="B4823">
        <v>1</v>
      </c>
    </row>
    <row r="4824" spans="1:2">
      <c r="A4824" t="s">
        <v>9664</v>
      </c>
      <c r="B4824">
        <v>1</v>
      </c>
    </row>
    <row r="4825" spans="1:2">
      <c r="A4825" t="s">
        <v>9660</v>
      </c>
      <c r="B4825">
        <v>1</v>
      </c>
    </row>
    <row r="4826" spans="1:2">
      <c r="A4826" t="s">
        <v>9656</v>
      </c>
      <c r="B4826">
        <v>1</v>
      </c>
    </row>
    <row r="4827" spans="1:2">
      <c r="A4827" t="s">
        <v>9651</v>
      </c>
      <c r="B4827">
        <v>1</v>
      </c>
    </row>
    <row r="4828" spans="1:2">
      <c r="A4828" t="s">
        <v>9685</v>
      </c>
      <c r="B4828">
        <v>1</v>
      </c>
    </row>
    <row r="4829" spans="1:2">
      <c r="A4829" t="s">
        <v>9645</v>
      </c>
      <c r="B4829">
        <v>1</v>
      </c>
    </row>
    <row r="4830" spans="1:2">
      <c r="A4830" t="s">
        <v>9633</v>
      </c>
      <c r="B4830">
        <v>1</v>
      </c>
    </row>
    <row r="4831" spans="1:2">
      <c r="A4831" t="s">
        <v>9629</v>
      </c>
      <c r="B4831">
        <v>1</v>
      </c>
    </row>
    <row r="4832" spans="1:2">
      <c r="A4832" t="s">
        <v>9670</v>
      </c>
      <c r="B4832">
        <v>1</v>
      </c>
    </row>
    <row r="4833" spans="1:2">
      <c r="A4833" t="s">
        <v>9650</v>
      </c>
      <c r="B4833">
        <v>1</v>
      </c>
    </row>
    <row r="4834" spans="1:2">
      <c r="A4834" t="s">
        <v>9625</v>
      </c>
      <c r="B4834">
        <v>1</v>
      </c>
    </row>
    <row r="4835" spans="1:2">
      <c r="A4835" t="s">
        <v>9614</v>
      </c>
      <c r="B4835">
        <v>1</v>
      </c>
    </row>
    <row r="4836" spans="1:2">
      <c r="A4836" t="s">
        <v>9618</v>
      </c>
      <c r="B4836">
        <v>1</v>
      </c>
    </row>
    <row r="4837" spans="1:2">
      <c r="A4837" t="s">
        <v>9622</v>
      </c>
      <c r="B4837">
        <v>1</v>
      </c>
    </row>
    <row r="4838" spans="1:2">
      <c r="A4838" t="s">
        <v>10188</v>
      </c>
      <c r="B4838">
        <v>1</v>
      </c>
    </row>
    <row r="4839" spans="1:2">
      <c r="A4839" t="s">
        <v>10181</v>
      </c>
      <c r="B4839">
        <v>1</v>
      </c>
    </row>
    <row r="4840" spans="1:2">
      <c r="A4840" t="s">
        <v>10180</v>
      </c>
      <c r="B4840">
        <v>1</v>
      </c>
    </row>
    <row r="4841" spans="1:2">
      <c r="A4841" t="s">
        <v>10178</v>
      </c>
      <c r="B4841">
        <v>1</v>
      </c>
    </row>
    <row r="4842" spans="1:2">
      <c r="A4842" t="s">
        <v>10174</v>
      </c>
      <c r="B4842">
        <v>1</v>
      </c>
    </row>
    <row r="4843" spans="1:2">
      <c r="A4843" t="s">
        <v>10171</v>
      </c>
      <c r="B4843">
        <v>1</v>
      </c>
    </row>
    <row r="4844" spans="1:2">
      <c r="A4844" t="s">
        <v>10184</v>
      </c>
      <c r="B4844">
        <v>1</v>
      </c>
    </row>
    <row r="4845" spans="1:2">
      <c r="A4845" t="s">
        <v>10167</v>
      </c>
      <c r="B4845">
        <v>1</v>
      </c>
    </row>
    <row r="4846" spans="1:2">
      <c r="A4846" t="s">
        <v>10164</v>
      </c>
      <c r="B4846">
        <v>1</v>
      </c>
    </row>
    <row r="4847" spans="1:2">
      <c r="A4847" t="s">
        <v>10158</v>
      </c>
      <c r="B4847">
        <v>1</v>
      </c>
    </row>
    <row r="4848" spans="1:2">
      <c r="A4848" t="s">
        <v>10170</v>
      </c>
      <c r="B4848">
        <v>1</v>
      </c>
    </row>
    <row r="4849" spans="1:2">
      <c r="A4849" t="s">
        <v>10273</v>
      </c>
      <c r="B4849">
        <v>1</v>
      </c>
    </row>
    <row r="4850" spans="1:2">
      <c r="A4850" t="s">
        <v>10343</v>
      </c>
      <c r="B4850">
        <v>1</v>
      </c>
    </row>
    <row r="4851" spans="1:2">
      <c r="A4851" t="s">
        <v>10282</v>
      </c>
      <c r="B4851">
        <v>1</v>
      </c>
    </row>
    <row r="4852" spans="1:2">
      <c r="A4852" t="s">
        <v>10339</v>
      </c>
      <c r="B4852">
        <v>1</v>
      </c>
    </row>
    <row r="4853" spans="1:2">
      <c r="A4853" t="s">
        <v>10278</v>
      </c>
      <c r="B4853">
        <v>1</v>
      </c>
    </row>
    <row r="4854" spans="1:2">
      <c r="A4854" t="s">
        <v>10335</v>
      </c>
      <c r="B4854">
        <v>1</v>
      </c>
    </row>
    <row r="4855" spans="1:2">
      <c r="A4855" t="s">
        <v>10331</v>
      </c>
      <c r="B4855">
        <v>1</v>
      </c>
    </row>
    <row r="4856" spans="1:2">
      <c r="A4856" t="s">
        <v>10347</v>
      </c>
      <c r="B4856">
        <v>1</v>
      </c>
    </row>
    <row r="4857" spans="1:2">
      <c r="A4857" t="s">
        <v>10327</v>
      </c>
      <c r="B4857">
        <v>1</v>
      </c>
    </row>
    <row r="4858" spans="1:2">
      <c r="A4858" t="s">
        <v>10323</v>
      </c>
      <c r="B4858">
        <v>1</v>
      </c>
    </row>
    <row r="4859" spans="1:2">
      <c r="A4859" t="s">
        <v>10319</v>
      </c>
      <c r="B4859">
        <v>1</v>
      </c>
    </row>
    <row r="4860" spans="1:2">
      <c r="A4860" t="s">
        <v>10315</v>
      </c>
      <c r="B4860">
        <v>1</v>
      </c>
    </row>
    <row r="4861" spans="1:2">
      <c r="A4861" t="s">
        <v>10311</v>
      </c>
      <c r="B4861">
        <v>1</v>
      </c>
    </row>
    <row r="4862" spans="1:2">
      <c r="A4862" t="s">
        <v>10305</v>
      </c>
      <c r="B4862">
        <v>1</v>
      </c>
    </row>
    <row r="4863" spans="1:2">
      <c r="A4863" t="s">
        <v>10302</v>
      </c>
      <c r="B4863">
        <v>1</v>
      </c>
    </row>
    <row r="4864" spans="1:2">
      <c r="A4864" t="s">
        <v>10299</v>
      </c>
      <c r="B4864">
        <v>1</v>
      </c>
    </row>
    <row r="4865" spans="1:2">
      <c r="A4865" t="s">
        <v>10295</v>
      </c>
      <c r="B4865">
        <v>1</v>
      </c>
    </row>
    <row r="4866" spans="1:2">
      <c r="A4866" t="s">
        <v>10291</v>
      </c>
      <c r="B4866">
        <v>1</v>
      </c>
    </row>
    <row r="4867" spans="1:2">
      <c r="A4867" t="s">
        <v>10290</v>
      </c>
      <c r="B4867">
        <v>1</v>
      </c>
    </row>
    <row r="4868" spans="1:2">
      <c r="A4868" t="s">
        <v>10286</v>
      </c>
      <c r="B4868">
        <v>1</v>
      </c>
    </row>
    <row r="4869" spans="1:2">
      <c r="A4869" t="s">
        <v>10437</v>
      </c>
      <c r="B4869">
        <v>1</v>
      </c>
    </row>
    <row r="4870" spans="1:2">
      <c r="A4870" t="s">
        <v>10442</v>
      </c>
      <c r="B4870">
        <v>1</v>
      </c>
    </row>
    <row r="4871" spans="1:2">
      <c r="A4871" t="s">
        <v>10440</v>
      </c>
      <c r="B4871">
        <v>1</v>
      </c>
    </row>
    <row r="4872" spans="1:2">
      <c r="A4872" t="s">
        <v>10433</v>
      </c>
      <c r="B4872">
        <v>1</v>
      </c>
    </row>
    <row r="4873" spans="1:2">
      <c r="A4873" t="s">
        <v>10417</v>
      </c>
      <c r="B4873">
        <v>1</v>
      </c>
    </row>
    <row r="4874" spans="1:2">
      <c r="A4874" t="s">
        <v>10431</v>
      </c>
      <c r="B4874">
        <v>1</v>
      </c>
    </row>
    <row r="4875" spans="1:2">
      <c r="A4875" t="s">
        <v>10427</v>
      </c>
      <c r="B4875">
        <v>1</v>
      </c>
    </row>
    <row r="4876" spans="1:2">
      <c r="A4876" t="s">
        <v>10816</v>
      </c>
      <c r="B4876">
        <v>1</v>
      </c>
    </row>
    <row r="4877" spans="1:2">
      <c r="A4877" t="s">
        <v>10814</v>
      </c>
      <c r="B4877">
        <v>1</v>
      </c>
    </row>
    <row r="4878" spans="1:2">
      <c r="A4878" t="s">
        <v>10812</v>
      </c>
      <c r="B4878">
        <v>1</v>
      </c>
    </row>
    <row r="4879" spans="1:2">
      <c r="A4879" t="s">
        <v>10811</v>
      </c>
      <c r="B4879">
        <v>1</v>
      </c>
    </row>
    <row r="4880" spans="1:2">
      <c r="A4880" t="s">
        <v>10807</v>
      </c>
      <c r="B4880">
        <v>1</v>
      </c>
    </row>
    <row r="4881" spans="1:2">
      <c r="A4881" t="s">
        <v>10797</v>
      </c>
      <c r="B4881">
        <v>1</v>
      </c>
    </row>
    <row r="4882" spans="1:2">
      <c r="A4882" t="s">
        <v>10804</v>
      </c>
      <c r="B4882">
        <v>1</v>
      </c>
    </row>
    <row r="4883" spans="1:2">
      <c r="A4883" t="s">
        <v>10800</v>
      </c>
      <c r="B4883">
        <v>1</v>
      </c>
    </row>
    <row r="4884" spans="1:2">
      <c r="A4884" t="s">
        <v>10822</v>
      </c>
      <c r="B4884">
        <v>1</v>
      </c>
    </row>
    <row r="4885" spans="1:2">
      <c r="A4885" t="s">
        <v>10793</v>
      </c>
      <c r="B4885">
        <v>1</v>
      </c>
    </row>
    <row r="4886" spans="1:2">
      <c r="A4886" t="s">
        <v>10788</v>
      </c>
      <c r="B4886">
        <v>1</v>
      </c>
    </row>
    <row r="4887" spans="1:2">
      <c r="A4887" t="s">
        <v>10781</v>
      </c>
      <c r="B4887">
        <v>1</v>
      </c>
    </row>
    <row r="4888" spans="1:2">
      <c r="A4888" t="s">
        <v>10777</v>
      </c>
      <c r="B4888">
        <v>1</v>
      </c>
    </row>
    <row r="4889" spans="1:2">
      <c r="A4889" t="s">
        <v>10773</v>
      </c>
      <c r="B4889">
        <v>1</v>
      </c>
    </row>
    <row r="4890" spans="1:2">
      <c r="A4890" t="s">
        <v>10770</v>
      </c>
      <c r="B4890">
        <v>1</v>
      </c>
    </row>
    <row r="4891" spans="1:2">
      <c r="A4891" t="s">
        <v>10766</v>
      </c>
      <c r="B4891">
        <v>1</v>
      </c>
    </row>
    <row r="4892" spans="1:2">
      <c r="A4892" t="s">
        <v>10818</v>
      </c>
      <c r="B4892">
        <v>1</v>
      </c>
    </row>
    <row r="4893" spans="1:2">
      <c r="A4893" t="s">
        <v>10826</v>
      </c>
      <c r="B4893">
        <v>1</v>
      </c>
    </row>
    <row r="4894" spans="1:2">
      <c r="A4894" t="s">
        <v>10847</v>
      </c>
      <c r="B4894">
        <v>1</v>
      </c>
    </row>
    <row r="4895" spans="1:2">
      <c r="A4895" t="s">
        <v>10831</v>
      </c>
      <c r="B4895">
        <v>1</v>
      </c>
    </row>
    <row r="4896" spans="1:2">
      <c r="A4896" t="s">
        <v>10832</v>
      </c>
      <c r="B4896">
        <v>1</v>
      </c>
    </row>
    <row r="4897" spans="1:2">
      <c r="A4897" t="s">
        <v>10833</v>
      </c>
      <c r="B4897">
        <v>1</v>
      </c>
    </row>
    <row r="4898" spans="1:2">
      <c r="A4898" t="s">
        <v>10835</v>
      </c>
      <c r="B4898">
        <v>1</v>
      </c>
    </row>
    <row r="4899" spans="1:2">
      <c r="A4899" t="s">
        <v>10836</v>
      </c>
      <c r="B4899">
        <v>1</v>
      </c>
    </row>
    <row r="4900" spans="1:2">
      <c r="A4900" t="s">
        <v>10839</v>
      </c>
      <c r="B4900">
        <v>1</v>
      </c>
    </row>
    <row r="4901" spans="1:2">
      <c r="A4901" t="s">
        <v>10843</v>
      </c>
      <c r="B4901">
        <v>1</v>
      </c>
    </row>
    <row r="4902" spans="1:2">
      <c r="A4902" t="s">
        <v>10827</v>
      </c>
      <c r="B4902">
        <v>1</v>
      </c>
    </row>
    <row r="4903" spans="1:2">
      <c r="A4903" t="s">
        <v>10884</v>
      </c>
      <c r="B4903">
        <v>1</v>
      </c>
    </row>
    <row r="4904" spans="1:2">
      <c r="A4904" t="s">
        <v>10880</v>
      </c>
      <c r="B4904">
        <v>1</v>
      </c>
    </row>
    <row r="4905" spans="1:2">
      <c r="A4905" t="s">
        <v>10876</v>
      </c>
      <c r="B4905">
        <v>1</v>
      </c>
    </row>
    <row r="4906" spans="1:2">
      <c r="A4906" t="s">
        <v>10874</v>
      </c>
      <c r="B4906">
        <v>1</v>
      </c>
    </row>
    <row r="4907" spans="1:2">
      <c r="A4907" t="s">
        <v>10870</v>
      </c>
      <c r="B4907">
        <v>1</v>
      </c>
    </row>
    <row r="4908" spans="1:2">
      <c r="A4908" t="s">
        <v>10887</v>
      </c>
      <c r="B4908">
        <v>1</v>
      </c>
    </row>
    <row r="4909" spans="1:2">
      <c r="A4909" t="s">
        <v>10864</v>
      </c>
      <c r="B4909">
        <v>1</v>
      </c>
    </row>
    <row r="4910" spans="1:2">
      <c r="A4910" t="s">
        <v>10861</v>
      </c>
      <c r="B4910">
        <v>1</v>
      </c>
    </row>
    <row r="4911" spans="1:2">
      <c r="A4911" t="s">
        <v>10857</v>
      </c>
      <c r="B4911">
        <v>1</v>
      </c>
    </row>
    <row r="4912" spans="1:2">
      <c r="A4912" t="s">
        <v>10853</v>
      </c>
      <c r="B4912">
        <v>1</v>
      </c>
    </row>
    <row r="4913" spans="1:2">
      <c r="A4913" t="s">
        <v>10849</v>
      </c>
      <c r="B4913">
        <v>1</v>
      </c>
    </row>
    <row r="4914" spans="1:2">
      <c r="A4914" t="s">
        <v>11712</v>
      </c>
      <c r="B4914">
        <v>1</v>
      </c>
    </row>
    <row r="4915" spans="1:2">
      <c r="A4915" t="s">
        <v>11717</v>
      </c>
      <c r="B4915">
        <v>1</v>
      </c>
    </row>
    <row r="4916" spans="1:2">
      <c r="A4916" t="s">
        <v>11720</v>
      </c>
      <c r="B4916">
        <v>1</v>
      </c>
    </row>
    <row r="4917" spans="1:2">
      <c r="A4917" t="s">
        <v>11724</v>
      </c>
      <c r="B4917">
        <v>1</v>
      </c>
    </row>
    <row r="4918" spans="1:2">
      <c r="A4918" t="s">
        <v>11726</v>
      </c>
      <c r="B4918">
        <v>1</v>
      </c>
    </row>
    <row r="4919" spans="1:2">
      <c r="A4919" t="s">
        <v>11700</v>
      </c>
      <c r="B4919">
        <v>1</v>
      </c>
    </row>
    <row r="4920" spans="1:2">
      <c r="A4920" t="s">
        <v>11634</v>
      </c>
      <c r="B4920">
        <v>1</v>
      </c>
    </row>
    <row r="4921" spans="1:2">
      <c r="A4921" t="s">
        <v>11638</v>
      </c>
      <c r="B4921">
        <v>1</v>
      </c>
    </row>
    <row r="4922" spans="1:2">
      <c r="A4922" t="s">
        <v>11646</v>
      </c>
      <c r="B4922">
        <v>1</v>
      </c>
    </row>
    <row r="4923" spans="1:2">
      <c r="A4923" t="s">
        <v>11649</v>
      </c>
      <c r="B4923">
        <v>1</v>
      </c>
    </row>
    <row r="4924" spans="1:2">
      <c r="A4924" t="s">
        <v>11652</v>
      </c>
      <c r="B4924">
        <v>1</v>
      </c>
    </row>
    <row r="4925" spans="1:2">
      <c r="A4925" t="s">
        <v>11656</v>
      </c>
      <c r="B4925">
        <v>1</v>
      </c>
    </row>
    <row r="4926" spans="1:2">
      <c r="A4926" t="s">
        <v>11659</v>
      </c>
      <c r="B4926">
        <v>1</v>
      </c>
    </row>
    <row r="4927" spans="1:2">
      <c r="A4927" t="s">
        <v>11662</v>
      </c>
      <c r="B4927">
        <v>1</v>
      </c>
    </row>
    <row r="4928" spans="1:2">
      <c r="A4928" t="s">
        <v>11768</v>
      </c>
      <c r="B4928">
        <v>1</v>
      </c>
    </row>
    <row r="4929" spans="1:2">
      <c r="A4929" t="s">
        <v>11703</v>
      </c>
      <c r="B4929">
        <v>1</v>
      </c>
    </row>
    <row r="4930" spans="1:2">
      <c r="A4930" t="s">
        <v>11693</v>
      </c>
      <c r="B4930">
        <v>1</v>
      </c>
    </row>
    <row r="4931" spans="1:2">
      <c r="A4931" t="s">
        <v>11689</v>
      </c>
      <c r="B4931">
        <v>1</v>
      </c>
    </row>
    <row r="4932" spans="1:2">
      <c r="A4932" t="s">
        <v>11686</v>
      </c>
      <c r="B4932">
        <v>1</v>
      </c>
    </row>
    <row r="4933" spans="1:2">
      <c r="A4933" t="s">
        <v>11674</v>
      </c>
      <c r="B4933">
        <v>1</v>
      </c>
    </row>
    <row r="4934" spans="1:2">
      <c r="A4934" t="s">
        <v>11707</v>
      </c>
      <c r="B4934">
        <v>1</v>
      </c>
    </row>
    <row r="4935" spans="1:2">
      <c r="A4935" t="s">
        <v>11633</v>
      </c>
      <c r="B4935">
        <v>1</v>
      </c>
    </row>
    <row r="4936" spans="1:2">
      <c r="A4936" t="s">
        <v>11763</v>
      </c>
      <c r="B4936">
        <v>1</v>
      </c>
    </row>
    <row r="4937" spans="1:2">
      <c r="A4937" t="s">
        <v>11709</v>
      </c>
      <c r="B4937">
        <v>1</v>
      </c>
    </row>
    <row r="4938" spans="1:2">
      <c r="A4938" t="s">
        <v>11760</v>
      </c>
      <c r="B4938">
        <v>1</v>
      </c>
    </row>
    <row r="4939" spans="1:2">
      <c r="A4939" t="s">
        <v>11757</v>
      </c>
      <c r="B4939">
        <v>1</v>
      </c>
    </row>
    <row r="4940" spans="1:2">
      <c r="A4940" t="s">
        <v>11754</v>
      </c>
      <c r="B4940">
        <v>1</v>
      </c>
    </row>
    <row r="4941" spans="1:2">
      <c r="A4941" t="s">
        <v>11748</v>
      </c>
      <c r="B4941">
        <v>1</v>
      </c>
    </row>
    <row r="4942" spans="1:2">
      <c r="A4942" t="s">
        <v>11745</v>
      </c>
      <c r="B4942">
        <v>1</v>
      </c>
    </row>
    <row r="4943" spans="1:2">
      <c r="A4943" t="s">
        <v>11743</v>
      </c>
      <c r="B4943">
        <v>1</v>
      </c>
    </row>
    <row r="4944" spans="1:2">
      <c r="A4944" t="s">
        <v>11741</v>
      </c>
      <c r="B4944">
        <v>1</v>
      </c>
    </row>
    <row r="4945" spans="1:2">
      <c r="A4945" t="s">
        <v>11739</v>
      </c>
      <c r="B4945">
        <v>1</v>
      </c>
    </row>
    <row r="4946" spans="1:2">
      <c r="A4946" t="s">
        <v>11737</v>
      </c>
      <c r="B4946">
        <v>1</v>
      </c>
    </row>
    <row r="4947" spans="1:2">
      <c r="A4947" t="s">
        <v>11734</v>
      </c>
      <c r="B4947">
        <v>1</v>
      </c>
    </row>
    <row r="4948" spans="1:2">
      <c r="A4948" t="s">
        <v>11731</v>
      </c>
      <c r="B4948">
        <v>1</v>
      </c>
    </row>
    <row r="4949" spans="1:2">
      <c r="A4949" t="s">
        <v>11730</v>
      </c>
      <c r="B4949">
        <v>1</v>
      </c>
    </row>
    <row r="4950" spans="1:2">
      <c r="A4950" t="s">
        <v>14445</v>
      </c>
      <c r="B4950">
        <v>1</v>
      </c>
    </row>
    <row r="4951" spans="1:2">
      <c r="A4951" t="s">
        <v>14450</v>
      </c>
      <c r="B4951">
        <v>1</v>
      </c>
    </row>
    <row r="4952" spans="1:2">
      <c r="A4952" t="s">
        <v>14525</v>
      </c>
      <c r="B4952">
        <v>1</v>
      </c>
    </row>
    <row r="4953" spans="1:2">
      <c r="A4953" t="s">
        <v>14459</v>
      </c>
      <c r="B4953">
        <v>1</v>
      </c>
    </row>
    <row r="4954" spans="1:2">
      <c r="A4954" t="s">
        <v>14463</v>
      </c>
      <c r="B4954">
        <v>1</v>
      </c>
    </row>
    <row r="4955" spans="1:2">
      <c r="A4955" t="s">
        <v>14466</v>
      </c>
      <c r="B4955">
        <v>1</v>
      </c>
    </row>
    <row r="4956" spans="1:2">
      <c r="A4956" t="s">
        <v>14470</v>
      </c>
      <c r="B4956">
        <v>1</v>
      </c>
    </row>
    <row r="4957" spans="1:2">
      <c r="A4957" t="s">
        <v>14484</v>
      </c>
      <c r="B4957">
        <v>1</v>
      </c>
    </row>
    <row r="4958" spans="1:2">
      <c r="A4958" t="s">
        <v>14478</v>
      </c>
      <c r="B4958">
        <v>1</v>
      </c>
    </row>
    <row r="4959" spans="1:2">
      <c r="A4959" t="s">
        <v>14482</v>
      </c>
      <c r="B4959">
        <v>1</v>
      </c>
    </row>
    <row r="4960" spans="1:2">
      <c r="A4960" t="s">
        <v>14488</v>
      </c>
      <c r="B4960">
        <v>1</v>
      </c>
    </row>
    <row r="4961" spans="1:2">
      <c r="A4961" t="s">
        <v>14491</v>
      </c>
      <c r="B4961">
        <v>1</v>
      </c>
    </row>
    <row r="4962" spans="1:2">
      <c r="A4962" t="s">
        <v>14496</v>
      </c>
      <c r="B4962">
        <v>1</v>
      </c>
    </row>
    <row r="4963" spans="1:2">
      <c r="A4963" t="s">
        <v>14502</v>
      </c>
      <c r="B4963">
        <v>1</v>
      </c>
    </row>
    <row r="4964" spans="1:2">
      <c r="A4964" t="s">
        <v>14506</v>
      </c>
      <c r="B4964">
        <v>1</v>
      </c>
    </row>
    <row r="4965" spans="1:2">
      <c r="A4965" t="s">
        <v>14509</v>
      </c>
      <c r="B4965">
        <v>1</v>
      </c>
    </row>
    <row r="4966" spans="1:2">
      <c r="A4966" t="s">
        <v>14513</v>
      </c>
      <c r="B4966">
        <v>1</v>
      </c>
    </row>
    <row r="4967" spans="1:2">
      <c r="A4967" t="s">
        <v>14516</v>
      </c>
      <c r="B4967">
        <v>1</v>
      </c>
    </row>
    <row r="4968" spans="1:2">
      <c r="A4968" t="s">
        <v>14521</v>
      </c>
      <c r="B4968">
        <v>1</v>
      </c>
    </row>
    <row r="4969" spans="1:2">
      <c r="A4969" t="s">
        <v>14437</v>
      </c>
      <c r="B4969">
        <v>1</v>
      </c>
    </row>
    <row r="4970" spans="1:2">
      <c r="A4970" t="s">
        <v>14441</v>
      </c>
      <c r="B4970">
        <v>1</v>
      </c>
    </row>
    <row r="4971" spans="1:2">
      <c r="A4971" t="s">
        <v>14474</v>
      </c>
      <c r="B4971">
        <v>1</v>
      </c>
    </row>
    <row r="4972" spans="1:2">
      <c r="A4972" t="s">
        <v>14433</v>
      </c>
      <c r="B4972">
        <v>1</v>
      </c>
    </row>
    <row r="4973" spans="1:2">
      <c r="A4973" t="s">
        <v>14399</v>
      </c>
      <c r="B4973">
        <v>1</v>
      </c>
    </row>
    <row r="4974" spans="1:2">
      <c r="A4974" t="s">
        <v>14401</v>
      </c>
      <c r="B4974">
        <v>1</v>
      </c>
    </row>
    <row r="4975" spans="1:2">
      <c r="A4975" t="s">
        <v>14405</v>
      </c>
      <c r="B4975">
        <v>1</v>
      </c>
    </row>
    <row r="4976" spans="1:2">
      <c r="A4976" t="s">
        <v>14429</v>
      </c>
      <c r="B4976">
        <v>1</v>
      </c>
    </row>
    <row r="4977" spans="1:2">
      <c r="A4977" t="s">
        <v>14414</v>
      </c>
      <c r="B4977">
        <v>1</v>
      </c>
    </row>
    <row r="4978" spans="1:2">
      <c r="A4978" t="s">
        <v>14419</v>
      </c>
      <c r="B4978">
        <v>1</v>
      </c>
    </row>
    <row r="4979" spans="1:2">
      <c r="A4979" t="s">
        <v>14423</v>
      </c>
      <c r="B4979">
        <v>1</v>
      </c>
    </row>
    <row r="4980" spans="1:2">
      <c r="A4980" t="s">
        <v>14410</v>
      </c>
      <c r="B4980">
        <v>1</v>
      </c>
    </row>
    <row r="4981" spans="1:2">
      <c r="A4981" t="s">
        <v>14427</v>
      </c>
      <c r="B4981">
        <v>1</v>
      </c>
    </row>
    <row r="4982" spans="1:2">
      <c r="A4982" t="s">
        <v>14538</v>
      </c>
      <c r="B4982">
        <v>1</v>
      </c>
    </row>
    <row r="4983" spans="1:2">
      <c r="A4983" t="s">
        <v>14589</v>
      </c>
      <c r="B4983">
        <v>1</v>
      </c>
    </row>
    <row r="4984" spans="1:2">
      <c r="A4984" t="s">
        <v>14542</v>
      </c>
      <c r="B4984">
        <v>1</v>
      </c>
    </row>
    <row r="4985" spans="1:2">
      <c r="A4985" t="s">
        <v>14544</v>
      </c>
      <c r="B4985">
        <v>1</v>
      </c>
    </row>
    <row r="4986" spans="1:2">
      <c r="A4986" t="s">
        <v>14585</v>
      </c>
      <c r="B4986">
        <v>1</v>
      </c>
    </row>
    <row r="4987" spans="1:2">
      <c r="A4987" t="s">
        <v>14548</v>
      </c>
      <c r="B4987">
        <v>1</v>
      </c>
    </row>
    <row r="4988" spans="1:2">
      <c r="A4988" t="s">
        <v>14556</v>
      </c>
      <c r="B4988">
        <v>1</v>
      </c>
    </row>
    <row r="4989" spans="1:2">
      <c r="A4989" t="s">
        <v>14558</v>
      </c>
      <c r="B4989">
        <v>1</v>
      </c>
    </row>
    <row r="4990" spans="1:2">
      <c r="A4990" t="s">
        <v>14562</v>
      </c>
      <c r="B4990">
        <v>1</v>
      </c>
    </row>
    <row r="4991" spans="1:2">
      <c r="A4991" t="s">
        <v>14567</v>
      </c>
      <c r="B4991">
        <v>1</v>
      </c>
    </row>
    <row r="4992" spans="1:2">
      <c r="A4992" t="s">
        <v>14569</v>
      </c>
      <c r="B4992">
        <v>1</v>
      </c>
    </row>
    <row r="4993" spans="1:2">
      <c r="A4993" t="s">
        <v>14572</v>
      </c>
      <c r="B4993">
        <v>1</v>
      </c>
    </row>
    <row r="4994" spans="1:2">
      <c r="A4994" t="s">
        <v>14576</v>
      </c>
      <c r="B4994">
        <v>1</v>
      </c>
    </row>
    <row r="4995" spans="1:2">
      <c r="A4995" t="s">
        <v>14579</v>
      </c>
      <c r="B4995">
        <v>1</v>
      </c>
    </row>
    <row r="4996" spans="1:2">
      <c r="A4996" t="s">
        <v>14580</v>
      </c>
      <c r="B4996">
        <v>1</v>
      </c>
    </row>
    <row r="4997" spans="1:2">
      <c r="A4997" t="s">
        <v>14583</v>
      </c>
      <c r="B4997">
        <v>1</v>
      </c>
    </row>
    <row r="4998" spans="1:2">
      <c r="A4998" t="s">
        <v>14633</v>
      </c>
      <c r="B4998">
        <v>1</v>
      </c>
    </row>
    <row r="4999" spans="1:2">
      <c r="A4999" t="s">
        <v>14637</v>
      </c>
      <c r="B4999">
        <v>1</v>
      </c>
    </row>
    <row r="5000" spans="1:2">
      <c r="A5000" t="s">
        <v>14640</v>
      </c>
      <c r="B5000">
        <v>1</v>
      </c>
    </row>
    <row r="5001" spans="1:2">
      <c r="A5001" t="s">
        <v>14644</v>
      </c>
      <c r="B5001">
        <v>1</v>
      </c>
    </row>
    <row r="5002" spans="1:2">
      <c r="A5002" t="s">
        <v>14627</v>
      </c>
      <c r="B5002">
        <v>1</v>
      </c>
    </row>
    <row r="5003" spans="1:2">
      <c r="A5003" t="s">
        <v>15379</v>
      </c>
      <c r="B5003">
        <v>1</v>
      </c>
    </row>
    <row r="5004" spans="1:2">
      <c r="A5004" t="s">
        <v>15377</v>
      </c>
      <c r="B5004">
        <v>1</v>
      </c>
    </row>
    <row r="5005" spans="1:2">
      <c r="A5005" t="s">
        <v>15375</v>
      </c>
      <c r="B5005">
        <v>1</v>
      </c>
    </row>
    <row r="5006" spans="1:2">
      <c r="A5006" t="s">
        <v>15420</v>
      </c>
      <c r="B5006">
        <v>1</v>
      </c>
    </row>
    <row r="5007" spans="1:2">
      <c r="A5007" t="s">
        <v>15530</v>
      </c>
      <c r="B5007">
        <v>1</v>
      </c>
    </row>
    <row r="5008" spans="1:2">
      <c r="A5008" t="s">
        <v>15327</v>
      </c>
      <c r="B5008">
        <v>1</v>
      </c>
    </row>
    <row r="5009" spans="1:2">
      <c r="A5009" t="s">
        <v>15527</v>
      </c>
      <c r="B5009">
        <v>1</v>
      </c>
    </row>
    <row r="5010" spans="1:2">
      <c r="A5010" t="s">
        <v>15505</v>
      </c>
      <c r="B5010">
        <v>1</v>
      </c>
    </row>
    <row r="5011" spans="1:2">
      <c r="A5011" t="s">
        <v>15311</v>
      </c>
      <c r="B5011">
        <v>1</v>
      </c>
    </row>
    <row r="5012" spans="1:2">
      <c r="A5012" t="s">
        <v>15508</v>
      </c>
      <c r="B5012">
        <v>1</v>
      </c>
    </row>
    <row r="5013" spans="1:2">
      <c r="A5013" t="s">
        <v>15512</v>
      </c>
      <c r="B5013">
        <v>1</v>
      </c>
    </row>
    <row r="5014" spans="1:2">
      <c r="A5014" t="s">
        <v>15516</v>
      </c>
      <c r="B5014">
        <v>1</v>
      </c>
    </row>
    <row r="5015" spans="1:2">
      <c r="A5015" t="s">
        <v>15520</v>
      </c>
      <c r="B5015">
        <v>1</v>
      </c>
    </row>
    <row r="5016" spans="1:2">
      <c r="A5016" t="s">
        <v>15479</v>
      </c>
      <c r="B5016">
        <v>1</v>
      </c>
    </row>
    <row r="5017" spans="1:2">
      <c r="A5017" t="s">
        <v>15498</v>
      </c>
      <c r="B5017">
        <v>1</v>
      </c>
    </row>
    <row r="5018" spans="1:2">
      <c r="A5018" t="s">
        <v>15477</v>
      </c>
      <c r="B5018">
        <v>1</v>
      </c>
    </row>
    <row r="5019" spans="1:2">
      <c r="A5019" t="s">
        <v>15472</v>
      </c>
      <c r="B5019">
        <v>1</v>
      </c>
    </row>
    <row r="5020" spans="1:2">
      <c r="A5020" t="s">
        <v>15470</v>
      </c>
      <c r="B5020">
        <v>1</v>
      </c>
    </row>
    <row r="5021" spans="1:2">
      <c r="A5021" t="s">
        <v>15467</v>
      </c>
      <c r="B5021">
        <v>1</v>
      </c>
    </row>
    <row r="5022" spans="1:2">
      <c r="A5022" t="s">
        <v>15463</v>
      </c>
      <c r="B5022">
        <v>1</v>
      </c>
    </row>
    <row r="5023" spans="1:2">
      <c r="A5023" t="s">
        <v>15460</v>
      </c>
      <c r="B5023">
        <v>1</v>
      </c>
    </row>
    <row r="5024" spans="1:2">
      <c r="A5024" t="s">
        <v>15456</v>
      </c>
      <c r="B5024">
        <v>1</v>
      </c>
    </row>
    <row r="5025" spans="1:2">
      <c r="A5025" t="s">
        <v>15452</v>
      </c>
      <c r="B5025">
        <v>1</v>
      </c>
    </row>
    <row r="5026" spans="1:2">
      <c r="A5026" t="s">
        <v>15449</v>
      </c>
      <c r="B5026">
        <v>1</v>
      </c>
    </row>
    <row r="5027" spans="1:2">
      <c r="A5027" t="s">
        <v>15446</v>
      </c>
      <c r="B5027">
        <v>1</v>
      </c>
    </row>
    <row r="5028" spans="1:2">
      <c r="A5028" t="s">
        <v>15441</v>
      </c>
      <c r="B5028">
        <v>1</v>
      </c>
    </row>
    <row r="5029" spans="1:2">
      <c r="A5029" t="s">
        <v>15438</v>
      </c>
      <c r="B5029">
        <v>1</v>
      </c>
    </row>
    <row r="5030" spans="1:2">
      <c r="A5030" t="s">
        <v>15435</v>
      </c>
      <c r="B5030">
        <v>1</v>
      </c>
    </row>
    <row r="5031" spans="1:2">
      <c r="A5031" t="s">
        <v>15431</v>
      </c>
      <c r="B5031">
        <v>1</v>
      </c>
    </row>
    <row r="5032" spans="1:2">
      <c r="A5032" t="s">
        <v>14908</v>
      </c>
      <c r="B5032">
        <v>1</v>
      </c>
    </row>
    <row r="5033" spans="1:2">
      <c r="A5033" t="s">
        <v>14904</v>
      </c>
      <c r="B5033">
        <v>1</v>
      </c>
    </row>
    <row r="5034" spans="1:2">
      <c r="A5034" t="s">
        <v>14899</v>
      </c>
      <c r="B5034">
        <v>1</v>
      </c>
    </row>
    <row r="5035" spans="1:2">
      <c r="A5035" t="s">
        <v>14895</v>
      </c>
      <c r="B5035">
        <v>1</v>
      </c>
    </row>
    <row r="5036" spans="1:2">
      <c r="A5036" t="s">
        <v>14892</v>
      </c>
      <c r="B5036">
        <v>1</v>
      </c>
    </row>
    <row r="5037" spans="1:2">
      <c r="A5037" t="s">
        <v>14888</v>
      </c>
      <c r="B5037">
        <v>1</v>
      </c>
    </row>
    <row r="5038" spans="1:2">
      <c r="A5038" t="s">
        <v>14883</v>
      </c>
      <c r="B5038">
        <v>1</v>
      </c>
    </row>
    <row r="5039" spans="1:2">
      <c r="A5039" t="s">
        <v>15179</v>
      </c>
      <c r="B5039">
        <v>1</v>
      </c>
    </row>
    <row r="5040" spans="1:2">
      <c r="A5040" t="s">
        <v>15277</v>
      </c>
      <c r="B5040">
        <v>1</v>
      </c>
    </row>
    <row r="5041" spans="1:2">
      <c r="A5041" t="s">
        <v>15270</v>
      </c>
      <c r="B5041">
        <v>1</v>
      </c>
    </row>
    <row r="5042" spans="1:2">
      <c r="A5042" t="s">
        <v>15266</v>
      </c>
      <c r="B5042">
        <v>1</v>
      </c>
    </row>
    <row r="5043" spans="1:2">
      <c r="A5043" t="s">
        <v>15262</v>
      </c>
      <c r="B5043">
        <v>1</v>
      </c>
    </row>
    <row r="5044" spans="1:2">
      <c r="A5044" t="s">
        <v>15258</v>
      </c>
      <c r="B5044">
        <v>1</v>
      </c>
    </row>
    <row r="5045" spans="1:2">
      <c r="A5045" t="s">
        <v>15254</v>
      </c>
      <c r="B5045">
        <v>1</v>
      </c>
    </row>
    <row r="5046" spans="1:2">
      <c r="A5046" t="s">
        <v>15250</v>
      </c>
      <c r="B5046">
        <v>1</v>
      </c>
    </row>
    <row r="5047" spans="1:2">
      <c r="A5047" t="s">
        <v>15247</v>
      </c>
      <c r="B5047">
        <v>1</v>
      </c>
    </row>
    <row r="5048" spans="1:2">
      <c r="A5048" t="s">
        <v>15244</v>
      </c>
      <c r="B5048">
        <v>1</v>
      </c>
    </row>
    <row r="5049" spans="1:2">
      <c r="A5049" t="s">
        <v>15243</v>
      </c>
      <c r="B5049">
        <v>1</v>
      </c>
    </row>
    <row r="5050" spans="1:2">
      <c r="A5050" t="s">
        <v>15240</v>
      </c>
      <c r="B5050">
        <v>1</v>
      </c>
    </row>
    <row r="5051" spans="1:2">
      <c r="A5051" t="s">
        <v>15236</v>
      </c>
      <c r="B5051">
        <v>1</v>
      </c>
    </row>
    <row r="5052" spans="1:2">
      <c r="A5052" t="s">
        <v>15165</v>
      </c>
      <c r="B5052">
        <v>1</v>
      </c>
    </row>
    <row r="5053" spans="1:2">
      <c r="A5053" t="s">
        <v>15227</v>
      </c>
      <c r="B5053">
        <v>1</v>
      </c>
    </row>
    <row r="5054" spans="1:2">
      <c r="A5054" t="s">
        <v>15162</v>
      </c>
      <c r="B5054">
        <v>1</v>
      </c>
    </row>
    <row r="5055" spans="1:2">
      <c r="A5055" t="s">
        <v>15065</v>
      </c>
      <c r="B5055">
        <v>1</v>
      </c>
    </row>
    <row r="5056" spans="1:2">
      <c r="A5056" t="s">
        <v>15057</v>
      </c>
      <c r="B5056">
        <v>1</v>
      </c>
    </row>
    <row r="5057" spans="1:2">
      <c r="A5057" t="s">
        <v>15053</v>
      </c>
      <c r="B5057">
        <v>1</v>
      </c>
    </row>
    <row r="5058" spans="1:2">
      <c r="A5058" t="s">
        <v>15049</v>
      </c>
      <c r="B5058">
        <v>1</v>
      </c>
    </row>
    <row r="5059" spans="1:2">
      <c r="A5059" t="s">
        <v>15160</v>
      </c>
      <c r="B5059">
        <v>1</v>
      </c>
    </row>
    <row r="5060" spans="1:2">
      <c r="A5060" t="s">
        <v>14675</v>
      </c>
      <c r="B5060">
        <v>1</v>
      </c>
    </row>
    <row r="5061" spans="1:2">
      <c r="A5061" t="s">
        <v>15076</v>
      </c>
      <c r="B5061">
        <v>1</v>
      </c>
    </row>
    <row r="5062" spans="1:2">
      <c r="A5062" t="s">
        <v>15080</v>
      </c>
      <c r="B5062">
        <v>1</v>
      </c>
    </row>
    <row r="5063" spans="1:2">
      <c r="A5063" t="s">
        <v>15084</v>
      </c>
      <c r="B5063">
        <v>1</v>
      </c>
    </row>
    <row r="5064" spans="1:2">
      <c r="A5064" t="s">
        <v>15088</v>
      </c>
      <c r="B5064">
        <v>1</v>
      </c>
    </row>
    <row r="5065" spans="1:2">
      <c r="A5065" t="s">
        <v>15093</v>
      </c>
      <c r="B5065">
        <v>1</v>
      </c>
    </row>
    <row r="5066" spans="1:2">
      <c r="A5066" t="s">
        <v>15096</v>
      </c>
      <c r="B5066">
        <v>1</v>
      </c>
    </row>
    <row r="5067" spans="1:2">
      <c r="A5067" t="s">
        <v>15098</v>
      </c>
      <c r="B5067">
        <v>1</v>
      </c>
    </row>
    <row r="5068" spans="1:2">
      <c r="A5068" t="s">
        <v>15102</v>
      </c>
      <c r="B5068">
        <v>1</v>
      </c>
    </row>
    <row r="5069" spans="1:2">
      <c r="A5069" t="s">
        <v>15105</v>
      </c>
      <c r="B5069">
        <v>1</v>
      </c>
    </row>
    <row r="5070" spans="1:2">
      <c r="A5070" t="s">
        <v>15109</v>
      </c>
      <c r="B5070">
        <v>1</v>
      </c>
    </row>
    <row r="5071" spans="1:2">
      <c r="A5071" t="s">
        <v>15113</v>
      </c>
      <c r="B5071">
        <v>1</v>
      </c>
    </row>
    <row r="5072" spans="1:2">
      <c r="A5072" t="s">
        <v>15116</v>
      </c>
      <c r="B5072">
        <v>1</v>
      </c>
    </row>
    <row r="5073" spans="1:2">
      <c r="A5073" t="s">
        <v>15118</v>
      </c>
      <c r="B5073">
        <v>1</v>
      </c>
    </row>
    <row r="5074" spans="1:2">
      <c r="A5074" t="s">
        <v>15122</v>
      </c>
      <c r="B5074">
        <v>1</v>
      </c>
    </row>
    <row r="5075" spans="1:2">
      <c r="A5075" t="s">
        <v>15125</v>
      </c>
      <c r="B5075">
        <v>1</v>
      </c>
    </row>
    <row r="5076" spans="1:2">
      <c r="A5076" t="s">
        <v>15129</v>
      </c>
      <c r="B5076">
        <v>1</v>
      </c>
    </row>
    <row r="5077" spans="1:2">
      <c r="A5077" t="s">
        <v>15133</v>
      </c>
      <c r="B5077">
        <v>1</v>
      </c>
    </row>
    <row r="5078" spans="1:2">
      <c r="A5078" t="s">
        <v>15136</v>
      </c>
      <c r="B5078">
        <v>1</v>
      </c>
    </row>
    <row r="5079" spans="1:2">
      <c r="A5079" t="s">
        <v>15140</v>
      </c>
      <c r="B5079">
        <v>1</v>
      </c>
    </row>
    <row r="5080" spans="1:2">
      <c r="A5080" t="s">
        <v>15145</v>
      </c>
      <c r="B5080">
        <v>1</v>
      </c>
    </row>
    <row r="5081" spans="1:2">
      <c r="A5081" t="s">
        <v>15149</v>
      </c>
      <c r="B5081">
        <v>1</v>
      </c>
    </row>
    <row r="5082" spans="1:2">
      <c r="A5082" t="s">
        <v>15152</v>
      </c>
      <c r="B5082">
        <v>1</v>
      </c>
    </row>
    <row r="5083" spans="1:2">
      <c r="A5083" t="s">
        <v>15154</v>
      </c>
      <c r="B5083">
        <v>1</v>
      </c>
    </row>
    <row r="5084" spans="1:2">
      <c r="A5084" t="s">
        <v>15072</v>
      </c>
      <c r="B5084">
        <v>1</v>
      </c>
    </row>
    <row r="5085" spans="1:2">
      <c r="A5085" t="s">
        <v>15157</v>
      </c>
      <c r="B5085">
        <v>1</v>
      </c>
    </row>
    <row r="5086" spans="1:2">
      <c r="A5086" t="s">
        <v>15068</v>
      </c>
      <c r="B5086">
        <v>1</v>
      </c>
    </row>
    <row r="5087" spans="1:2">
      <c r="A5087" t="s">
        <v>15061</v>
      </c>
      <c r="B5087">
        <v>1</v>
      </c>
    </row>
    <row r="5088" spans="1:2">
      <c r="A5088" t="s">
        <v>15011</v>
      </c>
      <c r="B5088">
        <v>1</v>
      </c>
    </row>
    <row r="5089" spans="1:2">
      <c r="A5089" t="s">
        <v>15013</v>
      </c>
      <c r="B5089">
        <v>1</v>
      </c>
    </row>
    <row r="5090" spans="1:2">
      <c r="A5090" t="s">
        <v>15018</v>
      </c>
      <c r="B5090">
        <v>1</v>
      </c>
    </row>
    <row r="5091" spans="1:2">
      <c r="A5091" t="s">
        <v>15020</v>
      </c>
      <c r="B5091">
        <v>1</v>
      </c>
    </row>
    <row r="5092" spans="1:2">
      <c r="A5092" t="s">
        <v>15023</v>
      </c>
      <c r="B5092">
        <v>1</v>
      </c>
    </row>
    <row r="5093" spans="1:2">
      <c r="A5093" t="s">
        <v>15025</v>
      </c>
      <c r="B5093">
        <v>1</v>
      </c>
    </row>
    <row r="5094" spans="1:2">
      <c r="A5094" t="s">
        <v>15027</v>
      </c>
      <c r="B5094">
        <v>1</v>
      </c>
    </row>
    <row r="5095" spans="1:2">
      <c r="A5095" t="s">
        <v>15029</v>
      </c>
      <c r="B5095">
        <v>1</v>
      </c>
    </row>
    <row r="5096" spans="1:2">
      <c r="A5096" t="s">
        <v>15031</v>
      </c>
      <c r="B5096">
        <v>1</v>
      </c>
    </row>
    <row r="5097" spans="1:2">
      <c r="A5097" t="s">
        <v>15033</v>
      </c>
      <c r="B5097">
        <v>1</v>
      </c>
    </row>
    <row r="5098" spans="1:2">
      <c r="A5098" t="s">
        <v>15035</v>
      </c>
      <c r="B5098">
        <v>1</v>
      </c>
    </row>
    <row r="5099" spans="1:2">
      <c r="A5099" t="s">
        <v>15038</v>
      </c>
      <c r="B5099">
        <v>1</v>
      </c>
    </row>
    <row r="5100" spans="1:2">
      <c r="A5100" t="s">
        <v>15040</v>
      </c>
      <c r="B5100">
        <v>1</v>
      </c>
    </row>
    <row r="5101" spans="1:2">
      <c r="A5101" t="s">
        <v>15043</v>
      </c>
      <c r="B5101">
        <v>1</v>
      </c>
    </row>
    <row r="5102" spans="1:2">
      <c r="A5102" t="s">
        <v>15047</v>
      </c>
      <c r="B5102">
        <v>1</v>
      </c>
    </row>
    <row r="5103" spans="1:2">
      <c r="A5103" t="s">
        <v>15281</v>
      </c>
      <c r="B5103">
        <v>1</v>
      </c>
    </row>
    <row r="5104" spans="1:2">
      <c r="A5104" t="s">
        <v>15283</v>
      </c>
      <c r="B5104">
        <v>1</v>
      </c>
    </row>
    <row r="5105" spans="1:2">
      <c r="A5105" t="s">
        <v>15284</v>
      </c>
      <c r="B5105">
        <v>1</v>
      </c>
    </row>
    <row r="5106" spans="1:2">
      <c r="A5106" t="s">
        <v>15287</v>
      </c>
      <c r="B5106">
        <v>1</v>
      </c>
    </row>
    <row r="5107" spans="1:2">
      <c r="A5107" t="s">
        <v>15288</v>
      </c>
      <c r="B5107">
        <v>1</v>
      </c>
    </row>
    <row r="5108" spans="1:2">
      <c r="A5108" t="s">
        <v>15290</v>
      </c>
      <c r="B5108">
        <v>1</v>
      </c>
    </row>
    <row r="5109" spans="1:2">
      <c r="A5109" t="s">
        <v>15294</v>
      </c>
      <c r="B5109">
        <v>1</v>
      </c>
    </row>
    <row r="5110" spans="1:2">
      <c r="A5110" t="s">
        <v>15296</v>
      </c>
      <c r="B5110">
        <v>1</v>
      </c>
    </row>
    <row r="5111" spans="1:2">
      <c r="A5111" t="s">
        <v>15298</v>
      </c>
      <c r="B5111">
        <v>1</v>
      </c>
    </row>
    <row r="5112" spans="1:2">
      <c r="A5112" t="s">
        <v>15299</v>
      </c>
      <c r="B5112">
        <v>1</v>
      </c>
    </row>
    <row r="5113" spans="1:2">
      <c r="A5113" t="s">
        <v>15300</v>
      </c>
      <c r="B5113">
        <v>1</v>
      </c>
    </row>
    <row r="5114" spans="1:2">
      <c r="A5114" t="s">
        <v>15301</v>
      </c>
      <c r="B5114">
        <v>1</v>
      </c>
    </row>
    <row r="5115" spans="1:2">
      <c r="A5115" t="s">
        <v>15232</v>
      </c>
      <c r="B5115">
        <v>1</v>
      </c>
    </row>
    <row r="5116" spans="1:2">
      <c r="A5116" t="s">
        <v>15303</v>
      </c>
      <c r="B5116">
        <v>1</v>
      </c>
    </row>
    <row r="5117" spans="1:2">
      <c r="A5117" t="s">
        <v>15226</v>
      </c>
      <c r="B5117">
        <v>1</v>
      </c>
    </row>
    <row r="5118" spans="1:2">
      <c r="A5118" t="s">
        <v>15168</v>
      </c>
      <c r="B5118">
        <v>1</v>
      </c>
    </row>
    <row r="5119" spans="1:2">
      <c r="A5119" t="s">
        <v>15171</v>
      </c>
      <c r="B5119">
        <v>1</v>
      </c>
    </row>
    <row r="5120" spans="1:2">
      <c r="A5120" t="s">
        <v>15173</v>
      </c>
      <c r="B5120">
        <v>1</v>
      </c>
    </row>
    <row r="5121" spans="1:2">
      <c r="A5121" t="s">
        <v>15174</v>
      </c>
      <c r="B5121">
        <v>1</v>
      </c>
    </row>
    <row r="5122" spans="1:2">
      <c r="A5122" t="s">
        <v>15175</v>
      </c>
      <c r="B5122">
        <v>1</v>
      </c>
    </row>
    <row r="5123" spans="1:2">
      <c r="A5123" t="s">
        <v>15306</v>
      </c>
      <c r="B5123">
        <v>1</v>
      </c>
    </row>
    <row r="5124" spans="1:2">
      <c r="A5124" t="s">
        <v>15183</v>
      </c>
      <c r="B5124">
        <v>1</v>
      </c>
    </row>
    <row r="5125" spans="1:2">
      <c r="A5125" t="s">
        <v>15185</v>
      </c>
      <c r="B5125">
        <v>1</v>
      </c>
    </row>
    <row r="5126" spans="1:2">
      <c r="A5126" t="s">
        <v>15187</v>
      </c>
      <c r="B5126">
        <v>1</v>
      </c>
    </row>
    <row r="5127" spans="1:2">
      <c r="A5127" t="s">
        <v>15189</v>
      </c>
      <c r="B5127">
        <v>1</v>
      </c>
    </row>
    <row r="5128" spans="1:2">
      <c r="A5128" t="s">
        <v>15191</v>
      </c>
      <c r="B5128">
        <v>1</v>
      </c>
    </row>
    <row r="5129" spans="1:2">
      <c r="A5129" t="s">
        <v>15193</v>
      </c>
      <c r="B5129">
        <v>1</v>
      </c>
    </row>
    <row r="5130" spans="1:2">
      <c r="A5130" t="s">
        <v>15195</v>
      </c>
      <c r="B5130">
        <v>1</v>
      </c>
    </row>
    <row r="5131" spans="1:2">
      <c r="A5131" t="s">
        <v>15199</v>
      </c>
      <c r="B5131">
        <v>1</v>
      </c>
    </row>
    <row r="5132" spans="1:2">
      <c r="A5132" t="s">
        <v>15200</v>
      </c>
      <c r="B5132">
        <v>1</v>
      </c>
    </row>
    <row r="5133" spans="1:2">
      <c r="A5133" t="s">
        <v>15204</v>
      </c>
      <c r="B5133">
        <v>1</v>
      </c>
    </row>
    <row r="5134" spans="1:2">
      <c r="A5134" t="s">
        <v>15205</v>
      </c>
      <c r="B5134">
        <v>1</v>
      </c>
    </row>
    <row r="5135" spans="1:2">
      <c r="A5135" t="s">
        <v>15209</v>
      </c>
      <c r="B5135">
        <v>1</v>
      </c>
    </row>
    <row r="5136" spans="1:2">
      <c r="A5136" t="s">
        <v>15213</v>
      </c>
      <c r="B5136">
        <v>1</v>
      </c>
    </row>
    <row r="5137" spans="1:2">
      <c r="A5137" t="s">
        <v>15215</v>
      </c>
      <c r="B5137">
        <v>1</v>
      </c>
    </row>
    <row r="5138" spans="1:2">
      <c r="A5138" t="s">
        <v>15217</v>
      </c>
      <c r="B5138">
        <v>1</v>
      </c>
    </row>
    <row r="5139" spans="1:2">
      <c r="A5139" t="s">
        <v>15220</v>
      </c>
      <c r="B5139">
        <v>1</v>
      </c>
    </row>
    <row r="5140" spans="1:2">
      <c r="A5140" t="s">
        <v>15222</v>
      </c>
      <c r="B5140">
        <v>1</v>
      </c>
    </row>
    <row r="5141" spans="1:2">
      <c r="A5141" t="s">
        <v>15224</v>
      </c>
      <c r="B5141">
        <v>1</v>
      </c>
    </row>
    <row r="5142" spans="1:2">
      <c r="A5142" t="s">
        <v>15009</v>
      </c>
      <c r="B5142">
        <v>1</v>
      </c>
    </row>
    <row r="5143" spans="1:2">
      <c r="A5143" t="s">
        <v>15007</v>
      </c>
      <c r="B5143">
        <v>1</v>
      </c>
    </row>
    <row r="5144" spans="1:2">
      <c r="A5144" t="s">
        <v>15003</v>
      </c>
      <c r="B5144">
        <v>1</v>
      </c>
    </row>
    <row r="5145" spans="1:2">
      <c r="A5145" t="s">
        <v>14914</v>
      </c>
      <c r="B5145">
        <v>1</v>
      </c>
    </row>
    <row r="5146" spans="1:2">
      <c r="A5146" t="s">
        <v>14739</v>
      </c>
      <c r="B5146">
        <v>1</v>
      </c>
    </row>
    <row r="5147" spans="1:2">
      <c r="A5147" t="s">
        <v>14741</v>
      </c>
      <c r="B5147">
        <v>1</v>
      </c>
    </row>
    <row r="5148" spans="1:2">
      <c r="A5148" t="s">
        <v>14743</v>
      </c>
      <c r="B5148">
        <v>1</v>
      </c>
    </row>
    <row r="5149" spans="1:2">
      <c r="A5149" t="s">
        <v>14745</v>
      </c>
      <c r="B5149">
        <v>1</v>
      </c>
    </row>
    <row r="5150" spans="1:2">
      <c r="A5150" t="s">
        <v>14747</v>
      </c>
      <c r="B5150">
        <v>1</v>
      </c>
    </row>
    <row r="5151" spans="1:2">
      <c r="A5151" t="s">
        <v>14750</v>
      </c>
      <c r="B5151">
        <v>1</v>
      </c>
    </row>
    <row r="5152" spans="1:2">
      <c r="A5152" t="s">
        <v>14758</v>
      </c>
      <c r="B5152">
        <v>1</v>
      </c>
    </row>
    <row r="5153" spans="1:2">
      <c r="A5153" t="s">
        <v>14762</v>
      </c>
      <c r="B5153">
        <v>1</v>
      </c>
    </row>
    <row r="5154" spans="1:2">
      <c r="A5154" t="s">
        <v>14764</v>
      </c>
      <c r="B5154">
        <v>1</v>
      </c>
    </row>
    <row r="5155" spans="1:2">
      <c r="A5155" t="s">
        <v>14771</v>
      </c>
      <c r="B5155">
        <v>1</v>
      </c>
    </row>
    <row r="5156" spans="1:2">
      <c r="A5156" t="s">
        <v>14775</v>
      </c>
      <c r="B5156">
        <v>1</v>
      </c>
    </row>
    <row r="5157" spans="1:2">
      <c r="A5157" t="s">
        <v>14779</v>
      </c>
      <c r="B5157">
        <v>1</v>
      </c>
    </row>
    <row r="5158" spans="1:2">
      <c r="A5158" t="s">
        <v>14783</v>
      </c>
      <c r="B5158">
        <v>1</v>
      </c>
    </row>
    <row r="5159" spans="1:2">
      <c r="A5159" t="s">
        <v>14790</v>
      </c>
      <c r="B5159">
        <v>1</v>
      </c>
    </row>
    <row r="5160" spans="1:2">
      <c r="A5160" t="s">
        <v>14794</v>
      </c>
      <c r="B5160">
        <v>1</v>
      </c>
    </row>
    <row r="5161" spans="1:2">
      <c r="A5161" t="s">
        <v>14798</v>
      </c>
      <c r="B5161">
        <v>1</v>
      </c>
    </row>
    <row r="5162" spans="1:2">
      <c r="A5162" t="s">
        <v>14801</v>
      </c>
      <c r="B5162">
        <v>1</v>
      </c>
    </row>
    <row r="5163" spans="1:2">
      <c r="A5163" t="s">
        <v>14805</v>
      </c>
      <c r="B5163">
        <v>1</v>
      </c>
    </row>
    <row r="5164" spans="1:2">
      <c r="A5164" t="s">
        <v>14806</v>
      </c>
      <c r="B5164">
        <v>1</v>
      </c>
    </row>
    <row r="5165" spans="1:2">
      <c r="A5165" t="s">
        <v>14809</v>
      </c>
      <c r="B5165">
        <v>1</v>
      </c>
    </row>
    <row r="5166" spans="1:2">
      <c r="A5166" t="s">
        <v>14811</v>
      </c>
      <c r="B5166">
        <v>1</v>
      </c>
    </row>
    <row r="5167" spans="1:2">
      <c r="A5167" t="s">
        <v>14738</v>
      </c>
      <c r="B5167">
        <v>1</v>
      </c>
    </row>
    <row r="5168" spans="1:2">
      <c r="A5168" t="s">
        <v>14737</v>
      </c>
      <c r="B5168">
        <v>1</v>
      </c>
    </row>
    <row r="5169" spans="1:2">
      <c r="A5169" t="s">
        <v>14735</v>
      </c>
      <c r="B5169">
        <v>1</v>
      </c>
    </row>
    <row r="5170" spans="1:2">
      <c r="A5170" t="s">
        <v>14707</v>
      </c>
      <c r="B5170">
        <v>1</v>
      </c>
    </row>
    <row r="5171" spans="1:2">
      <c r="A5171" t="s">
        <v>14679</v>
      </c>
      <c r="B5171">
        <v>1</v>
      </c>
    </row>
    <row r="5172" spans="1:2">
      <c r="A5172" t="s">
        <v>14683</v>
      </c>
      <c r="B5172">
        <v>1</v>
      </c>
    </row>
    <row r="5173" spans="1:2">
      <c r="A5173" t="s">
        <v>14685</v>
      </c>
      <c r="B5173">
        <v>1</v>
      </c>
    </row>
    <row r="5174" spans="1:2">
      <c r="A5174" t="s">
        <v>14688</v>
      </c>
      <c r="B5174">
        <v>1</v>
      </c>
    </row>
    <row r="5175" spans="1:2">
      <c r="A5175" t="s">
        <v>14689</v>
      </c>
      <c r="B5175">
        <v>1</v>
      </c>
    </row>
    <row r="5176" spans="1:2">
      <c r="A5176" t="s">
        <v>14690</v>
      </c>
      <c r="B5176">
        <v>1</v>
      </c>
    </row>
    <row r="5177" spans="1:2">
      <c r="A5177" t="s">
        <v>14694</v>
      </c>
      <c r="B5177">
        <v>1</v>
      </c>
    </row>
    <row r="5178" spans="1:2">
      <c r="A5178" t="s">
        <v>14696</v>
      </c>
      <c r="B5178">
        <v>1</v>
      </c>
    </row>
    <row r="5179" spans="1:2">
      <c r="A5179" t="s">
        <v>14701</v>
      </c>
      <c r="B5179">
        <v>1</v>
      </c>
    </row>
    <row r="5180" spans="1:2">
      <c r="A5180" t="s">
        <v>14703</v>
      </c>
      <c r="B5180">
        <v>1</v>
      </c>
    </row>
    <row r="5181" spans="1:2">
      <c r="A5181" t="s">
        <v>14705</v>
      </c>
      <c r="B5181">
        <v>1</v>
      </c>
    </row>
    <row r="5182" spans="1:2">
      <c r="A5182" t="s">
        <v>14709</v>
      </c>
      <c r="B5182">
        <v>1</v>
      </c>
    </row>
    <row r="5183" spans="1:2">
      <c r="A5183" t="s">
        <v>14734</v>
      </c>
      <c r="B5183">
        <v>1</v>
      </c>
    </row>
    <row r="5184" spans="1:2">
      <c r="A5184" t="s">
        <v>14712</v>
      </c>
      <c r="B5184">
        <v>1</v>
      </c>
    </row>
    <row r="5185" spans="1:2">
      <c r="A5185" t="s">
        <v>14713</v>
      </c>
      <c r="B5185">
        <v>1</v>
      </c>
    </row>
    <row r="5186" spans="1:2">
      <c r="A5186" t="s">
        <v>14717</v>
      </c>
      <c r="B5186">
        <v>1</v>
      </c>
    </row>
    <row r="5187" spans="1:2">
      <c r="A5187" t="s">
        <v>14718</v>
      </c>
      <c r="B5187">
        <v>1</v>
      </c>
    </row>
    <row r="5188" spans="1:2">
      <c r="A5188" t="s">
        <v>14720</v>
      </c>
      <c r="B5188">
        <v>1</v>
      </c>
    </row>
    <row r="5189" spans="1:2">
      <c r="A5189" t="s">
        <v>14724</v>
      </c>
      <c r="B5189">
        <v>1</v>
      </c>
    </row>
    <row r="5190" spans="1:2">
      <c r="A5190" t="s">
        <v>14730</v>
      </c>
      <c r="B5190">
        <v>1</v>
      </c>
    </row>
    <row r="5191" spans="1:2">
      <c r="A5191" t="s">
        <v>14732</v>
      </c>
      <c r="B5191">
        <v>1</v>
      </c>
    </row>
    <row r="5192" spans="1:2">
      <c r="A5192" t="s">
        <v>14813</v>
      </c>
      <c r="B5192">
        <v>1</v>
      </c>
    </row>
    <row r="5193" spans="1:2">
      <c r="A5193" t="s">
        <v>14815</v>
      </c>
      <c r="B5193">
        <v>1</v>
      </c>
    </row>
    <row r="5194" spans="1:2">
      <c r="A5194" t="s">
        <v>14818</v>
      </c>
      <c r="B5194">
        <v>1</v>
      </c>
    </row>
    <row r="5195" spans="1:2">
      <c r="A5195" t="s">
        <v>14923</v>
      </c>
      <c r="B5195">
        <v>1</v>
      </c>
    </row>
    <row r="5196" spans="1:2">
      <c r="A5196" t="s">
        <v>14927</v>
      </c>
      <c r="B5196">
        <v>1</v>
      </c>
    </row>
    <row r="5197" spans="1:2">
      <c r="A5197" t="s">
        <v>14930</v>
      </c>
      <c r="B5197">
        <v>1</v>
      </c>
    </row>
    <row r="5198" spans="1:2">
      <c r="A5198" t="s">
        <v>14935</v>
      </c>
      <c r="B5198">
        <v>1</v>
      </c>
    </row>
    <row r="5199" spans="1:2">
      <c r="A5199" t="s">
        <v>14939</v>
      </c>
      <c r="B5199">
        <v>1</v>
      </c>
    </row>
    <row r="5200" spans="1:2">
      <c r="A5200" t="s">
        <v>14942</v>
      </c>
      <c r="B5200">
        <v>1</v>
      </c>
    </row>
    <row r="5201" spans="1:2">
      <c r="A5201" t="s">
        <v>14944</v>
      </c>
      <c r="B5201">
        <v>1</v>
      </c>
    </row>
    <row r="5202" spans="1:2">
      <c r="A5202" t="s">
        <v>14947</v>
      </c>
      <c r="B5202">
        <v>1</v>
      </c>
    </row>
    <row r="5203" spans="1:2">
      <c r="A5203" t="s">
        <v>14951</v>
      </c>
      <c r="B5203">
        <v>1</v>
      </c>
    </row>
    <row r="5204" spans="1:2">
      <c r="A5204" t="s">
        <v>14954</v>
      </c>
      <c r="B5204">
        <v>1</v>
      </c>
    </row>
    <row r="5205" spans="1:2">
      <c r="A5205" t="s">
        <v>14958</v>
      </c>
      <c r="B5205">
        <v>1</v>
      </c>
    </row>
    <row r="5206" spans="1:2">
      <c r="A5206" t="s">
        <v>14962</v>
      </c>
      <c r="B5206">
        <v>1</v>
      </c>
    </row>
    <row r="5207" spans="1:2">
      <c r="A5207" t="s">
        <v>14965</v>
      </c>
      <c r="B5207">
        <v>1</v>
      </c>
    </row>
    <row r="5208" spans="1:2">
      <c r="A5208" t="s">
        <v>14969</v>
      </c>
      <c r="B5208">
        <v>1</v>
      </c>
    </row>
    <row r="5209" spans="1:2">
      <c r="A5209" t="s">
        <v>14975</v>
      </c>
      <c r="B5209">
        <v>1</v>
      </c>
    </row>
    <row r="5210" spans="1:2">
      <c r="A5210" t="s">
        <v>14977</v>
      </c>
      <c r="B5210">
        <v>1</v>
      </c>
    </row>
    <row r="5211" spans="1:2">
      <c r="A5211" t="s">
        <v>14979</v>
      </c>
      <c r="B5211">
        <v>1</v>
      </c>
    </row>
    <row r="5212" spans="1:2">
      <c r="A5212" t="s">
        <v>14980</v>
      </c>
      <c r="B5212">
        <v>1</v>
      </c>
    </row>
    <row r="5213" spans="1:2">
      <c r="A5213" t="s">
        <v>14984</v>
      </c>
      <c r="B5213">
        <v>1</v>
      </c>
    </row>
    <row r="5214" spans="1:2">
      <c r="A5214" t="s">
        <v>14992</v>
      </c>
      <c r="B5214">
        <v>1</v>
      </c>
    </row>
    <row r="5215" spans="1:2">
      <c r="A5215" t="s">
        <v>14996</v>
      </c>
      <c r="B5215">
        <v>1</v>
      </c>
    </row>
    <row r="5216" spans="1:2">
      <c r="A5216" t="s">
        <v>14916</v>
      </c>
      <c r="B5216">
        <v>1</v>
      </c>
    </row>
    <row r="5217" spans="1:2">
      <c r="A5217" t="s">
        <v>14910</v>
      </c>
      <c r="B5217">
        <v>1</v>
      </c>
    </row>
    <row r="5218" spans="1:2">
      <c r="A5218" t="s">
        <v>14825</v>
      </c>
      <c r="B5218">
        <v>1</v>
      </c>
    </row>
    <row r="5219" spans="1:2">
      <c r="A5219" t="s">
        <v>14829</v>
      </c>
      <c r="B5219">
        <v>1</v>
      </c>
    </row>
    <row r="5220" spans="1:2">
      <c r="A5220" t="s">
        <v>14836</v>
      </c>
      <c r="B5220">
        <v>1</v>
      </c>
    </row>
    <row r="5221" spans="1:2">
      <c r="A5221" t="s">
        <v>14840</v>
      </c>
      <c r="B5221">
        <v>1</v>
      </c>
    </row>
    <row r="5222" spans="1:2">
      <c r="A5222" t="s">
        <v>14844</v>
      </c>
      <c r="B5222">
        <v>1</v>
      </c>
    </row>
    <row r="5223" spans="1:2">
      <c r="A5223" t="s">
        <v>14848</v>
      </c>
      <c r="B5223">
        <v>1</v>
      </c>
    </row>
    <row r="5224" spans="1:2">
      <c r="A5224" t="s">
        <v>14852</v>
      </c>
      <c r="B5224">
        <v>1</v>
      </c>
    </row>
    <row r="5225" spans="1:2">
      <c r="A5225" t="s">
        <v>14859</v>
      </c>
      <c r="B5225">
        <v>1</v>
      </c>
    </row>
    <row r="5226" spans="1:2">
      <c r="A5226" t="s">
        <v>14865</v>
      </c>
      <c r="B5226">
        <v>1</v>
      </c>
    </row>
    <row r="5227" spans="1:2">
      <c r="A5227" t="s">
        <v>14872</v>
      </c>
      <c r="B5227">
        <v>1</v>
      </c>
    </row>
    <row r="5228" spans="1:2">
      <c r="A5228" t="s">
        <v>14875</v>
      </c>
      <c r="B5228">
        <v>1</v>
      </c>
    </row>
    <row r="5229" spans="1:2">
      <c r="A5229" t="s">
        <v>14879</v>
      </c>
      <c r="B5229">
        <v>1</v>
      </c>
    </row>
    <row r="5230" spans="1:2">
      <c r="A5230" t="s">
        <v>15383</v>
      </c>
      <c r="B5230">
        <v>1</v>
      </c>
    </row>
    <row r="5231" spans="1:2">
      <c r="A5231" t="s">
        <v>15387</v>
      </c>
      <c r="B5231">
        <v>1</v>
      </c>
    </row>
    <row r="5232" spans="1:2">
      <c r="A5232" t="s">
        <v>15389</v>
      </c>
      <c r="B5232">
        <v>1</v>
      </c>
    </row>
    <row r="5233" spans="1:2">
      <c r="A5233" t="s">
        <v>15393</v>
      </c>
      <c r="B5233">
        <v>1</v>
      </c>
    </row>
    <row r="5234" spans="1:2">
      <c r="A5234" t="s">
        <v>15416</v>
      </c>
      <c r="B5234">
        <v>1</v>
      </c>
    </row>
    <row r="5235" spans="1:2">
      <c r="A5235" t="s">
        <v>15397</v>
      </c>
      <c r="B5235">
        <v>1</v>
      </c>
    </row>
    <row r="5236" spans="1:2">
      <c r="A5236" t="s">
        <v>15307</v>
      </c>
      <c r="B5236">
        <v>1</v>
      </c>
    </row>
    <row r="5237" spans="1:2">
      <c r="A5237" t="s">
        <v>15401</v>
      </c>
      <c r="B5237">
        <v>1</v>
      </c>
    </row>
    <row r="5238" spans="1:2">
      <c r="A5238" t="s">
        <v>15403</v>
      </c>
      <c r="B5238">
        <v>1</v>
      </c>
    </row>
    <row r="5239" spans="1:2">
      <c r="A5239" t="s">
        <v>15405</v>
      </c>
      <c r="B5239">
        <v>1</v>
      </c>
    </row>
    <row r="5240" spans="1:2">
      <c r="A5240" t="s">
        <v>15409</v>
      </c>
      <c r="B5240">
        <v>1</v>
      </c>
    </row>
    <row r="5241" spans="1:2">
      <c r="A5241" t="s">
        <v>15412</v>
      </c>
      <c r="B5241">
        <v>1</v>
      </c>
    </row>
    <row r="5242" spans="1:2">
      <c r="A5242" t="s">
        <v>15391</v>
      </c>
      <c r="B5242">
        <v>1</v>
      </c>
    </row>
    <row r="5243" spans="1:2">
      <c r="A5243" t="s">
        <v>15334</v>
      </c>
      <c r="B5243">
        <v>1</v>
      </c>
    </row>
    <row r="5244" spans="1:2">
      <c r="A5244" t="s">
        <v>15314</v>
      </c>
      <c r="B5244">
        <v>1</v>
      </c>
    </row>
    <row r="5245" spans="1:2">
      <c r="A5245" t="s">
        <v>15316</v>
      </c>
      <c r="B5245">
        <v>1</v>
      </c>
    </row>
    <row r="5246" spans="1:2">
      <c r="A5246" t="s">
        <v>15330</v>
      </c>
      <c r="B5246">
        <v>1</v>
      </c>
    </row>
    <row r="5247" spans="1:2">
      <c r="A5247" t="s">
        <v>15337</v>
      </c>
      <c r="B5247">
        <v>1</v>
      </c>
    </row>
    <row r="5248" spans="1:2">
      <c r="A5248" t="s">
        <v>15364</v>
      </c>
      <c r="B5248">
        <v>1</v>
      </c>
    </row>
    <row r="5249" spans="1:2">
      <c r="A5249" t="s">
        <v>15341</v>
      </c>
      <c r="B5249">
        <v>1</v>
      </c>
    </row>
    <row r="5250" spans="1:2">
      <c r="A5250" t="s">
        <v>15345</v>
      </c>
      <c r="B5250">
        <v>1</v>
      </c>
    </row>
    <row r="5251" spans="1:2">
      <c r="A5251" t="s">
        <v>15349</v>
      </c>
      <c r="B5251">
        <v>1</v>
      </c>
    </row>
    <row r="5252" spans="1:2">
      <c r="A5252" t="s">
        <v>15353</v>
      </c>
      <c r="B5252">
        <v>1</v>
      </c>
    </row>
    <row r="5253" spans="1:2">
      <c r="A5253" t="s">
        <v>15357</v>
      </c>
      <c r="B5253">
        <v>1</v>
      </c>
    </row>
    <row r="5254" spans="1:2">
      <c r="A5254" t="s">
        <v>15360</v>
      </c>
      <c r="B5254">
        <v>1</v>
      </c>
    </row>
    <row r="5255" spans="1:2">
      <c r="A5255" t="s">
        <v>15424</v>
      </c>
      <c r="B5255">
        <v>1</v>
      </c>
    </row>
    <row r="5256" spans="1:2">
      <c r="A5256" t="s">
        <v>15475</v>
      </c>
      <c r="B5256">
        <v>1</v>
      </c>
    </row>
    <row r="5257" spans="1:2">
      <c r="A5257" t="s">
        <v>15428</v>
      </c>
      <c r="B5257">
        <v>1</v>
      </c>
    </row>
    <row r="5258" spans="1:2">
      <c r="A5258" t="s">
        <v>15482</v>
      </c>
      <c r="B5258">
        <v>1</v>
      </c>
    </row>
    <row r="5259" spans="1:2">
      <c r="A5259" t="s">
        <v>15486</v>
      </c>
      <c r="B5259">
        <v>1</v>
      </c>
    </row>
    <row r="5260" spans="1:2">
      <c r="A5260" t="s">
        <v>15490</v>
      </c>
      <c r="B5260">
        <v>1</v>
      </c>
    </row>
    <row r="5261" spans="1:2">
      <c r="A5261" t="s">
        <v>15492</v>
      </c>
      <c r="B5261">
        <v>1</v>
      </c>
    </row>
    <row r="5262" spans="1:2">
      <c r="A5262" t="s">
        <v>15494</v>
      </c>
      <c r="B5262">
        <v>1</v>
      </c>
    </row>
    <row r="5263" spans="1:2">
      <c r="A5263" t="s">
        <v>15495</v>
      </c>
      <c r="B5263">
        <v>1</v>
      </c>
    </row>
    <row r="5264" spans="1:2">
      <c r="A5264" t="s">
        <v>15501</v>
      </c>
      <c r="B5264">
        <v>1</v>
      </c>
    </row>
    <row r="5265" spans="1:2">
      <c r="A5265" t="s">
        <v>18196</v>
      </c>
      <c r="B5265">
        <v>1</v>
      </c>
    </row>
    <row r="5266" spans="1:2">
      <c r="A5266" t="s">
        <v>18216</v>
      </c>
      <c r="B5266">
        <v>1</v>
      </c>
    </row>
    <row r="5267" spans="1:2">
      <c r="A5267" t="s">
        <v>18218</v>
      </c>
      <c r="B5267">
        <v>1</v>
      </c>
    </row>
    <row r="5268" spans="1:2">
      <c r="A5268" t="s">
        <v>18195</v>
      </c>
      <c r="B5268">
        <v>1</v>
      </c>
    </row>
    <row r="5269" spans="1:2">
      <c r="A5269" t="s">
        <v>18193</v>
      </c>
      <c r="B5269">
        <v>1</v>
      </c>
    </row>
    <row r="5270" spans="1:2">
      <c r="A5270" t="s">
        <v>18201</v>
      </c>
      <c r="B5270">
        <v>1</v>
      </c>
    </row>
    <row r="5271" spans="1:2">
      <c r="A5271" t="s">
        <v>18205</v>
      </c>
      <c r="B5271">
        <v>1</v>
      </c>
    </row>
    <row r="5272" spans="1:2">
      <c r="A5272" t="s">
        <v>18209</v>
      </c>
      <c r="B5272">
        <v>1</v>
      </c>
    </row>
    <row r="5273" spans="1:2">
      <c r="A5273" t="s">
        <v>18213</v>
      </c>
      <c r="B5273">
        <v>1</v>
      </c>
    </row>
    <row r="5274" spans="1:2">
      <c r="A5274" t="s">
        <v>18221</v>
      </c>
      <c r="B5274">
        <v>1</v>
      </c>
    </row>
    <row r="5275" spans="1:2">
      <c r="A5275" t="s">
        <v>19432</v>
      </c>
      <c r="B5275">
        <v>1</v>
      </c>
    </row>
    <row r="5276" spans="1:2">
      <c r="A5276" t="s">
        <v>19438</v>
      </c>
      <c r="B5276">
        <v>1</v>
      </c>
    </row>
    <row r="5277" spans="1:2">
      <c r="A5277" t="s">
        <v>526</v>
      </c>
      <c r="B5277">
        <v>1</v>
      </c>
    </row>
    <row r="5278" spans="1:2">
      <c r="A5278" t="s">
        <v>518</v>
      </c>
      <c r="B5278">
        <v>1</v>
      </c>
    </row>
    <row r="5279" spans="1:2">
      <c r="A5279" t="s">
        <v>535</v>
      </c>
      <c r="B5279">
        <v>1</v>
      </c>
    </row>
    <row r="5280" spans="1:2">
      <c r="A5280" t="s">
        <v>547</v>
      </c>
      <c r="B5280">
        <v>1</v>
      </c>
    </row>
    <row r="5281" spans="1:2">
      <c r="A5281" t="s">
        <v>543</v>
      </c>
      <c r="B5281">
        <v>1</v>
      </c>
    </row>
    <row r="5282" spans="1:2">
      <c r="A5282" t="s">
        <v>557</v>
      </c>
      <c r="B5282">
        <v>1</v>
      </c>
    </row>
    <row r="5283" spans="1:2">
      <c r="A5283" t="s">
        <v>549</v>
      </c>
      <c r="B5283">
        <v>1</v>
      </c>
    </row>
    <row r="5284" spans="1:2">
      <c r="A5284" t="s">
        <v>552</v>
      </c>
      <c r="B5284">
        <v>1</v>
      </c>
    </row>
    <row r="5285" spans="1:2">
      <c r="A5285" t="s">
        <v>555</v>
      </c>
      <c r="B5285">
        <v>1</v>
      </c>
    </row>
    <row r="5286" spans="1:2">
      <c r="A5286" t="s">
        <v>556</v>
      </c>
      <c r="B5286">
        <v>1</v>
      </c>
    </row>
    <row r="5287" spans="1:2">
      <c r="A5287" t="s">
        <v>521</v>
      </c>
      <c r="B5287">
        <v>1</v>
      </c>
    </row>
    <row r="5288" spans="1:2">
      <c r="A5288" t="s">
        <v>581</v>
      </c>
      <c r="B5288">
        <v>1</v>
      </c>
    </row>
    <row r="5289" spans="1:2">
      <c r="A5289" t="s">
        <v>584</v>
      </c>
      <c r="B5289">
        <v>1</v>
      </c>
    </row>
    <row r="5290" spans="1:2">
      <c r="A5290" t="s">
        <v>588</v>
      </c>
      <c r="B5290">
        <v>1</v>
      </c>
    </row>
    <row r="5291" spans="1:2">
      <c r="A5291" t="s">
        <v>592</v>
      </c>
      <c r="B5291">
        <v>1</v>
      </c>
    </row>
    <row r="5292" spans="1:2">
      <c r="A5292" t="s">
        <v>595</v>
      </c>
      <c r="B5292">
        <v>1</v>
      </c>
    </row>
    <row r="5293" spans="1:2">
      <c r="A5293" t="s">
        <v>597</v>
      </c>
      <c r="B5293">
        <v>1</v>
      </c>
    </row>
    <row r="5294" spans="1:2">
      <c r="A5294" t="s">
        <v>601</v>
      </c>
      <c r="B5294">
        <v>1</v>
      </c>
    </row>
    <row r="5295" spans="1:2">
      <c r="A5295" t="s">
        <v>611</v>
      </c>
      <c r="B5295">
        <v>1</v>
      </c>
    </row>
    <row r="5296" spans="1:2">
      <c r="A5296" t="s">
        <v>643</v>
      </c>
      <c r="B5296">
        <v>1</v>
      </c>
    </row>
    <row r="5297" spans="1:2">
      <c r="A5297" t="s">
        <v>616</v>
      </c>
      <c r="B5297">
        <v>1</v>
      </c>
    </row>
    <row r="5298" spans="1:2">
      <c r="A5298" t="s">
        <v>620</v>
      </c>
      <c r="B5298">
        <v>1</v>
      </c>
    </row>
    <row r="5299" spans="1:2">
      <c r="A5299" t="s">
        <v>623</v>
      </c>
      <c r="B5299">
        <v>1</v>
      </c>
    </row>
    <row r="5300" spans="1:2">
      <c r="A5300" t="s">
        <v>574</v>
      </c>
      <c r="B5300">
        <v>1</v>
      </c>
    </row>
    <row r="5301" spans="1:2">
      <c r="A5301" t="s">
        <v>627</v>
      </c>
      <c r="B5301">
        <v>1</v>
      </c>
    </row>
    <row r="5302" spans="1:2">
      <c r="A5302" t="s">
        <v>633</v>
      </c>
      <c r="B5302">
        <v>1</v>
      </c>
    </row>
    <row r="5303" spans="1:2">
      <c r="A5303" t="s">
        <v>636</v>
      </c>
      <c r="B5303">
        <v>1</v>
      </c>
    </row>
    <row r="5304" spans="1:2">
      <c r="A5304" t="s">
        <v>639</v>
      </c>
      <c r="B5304">
        <v>1</v>
      </c>
    </row>
    <row r="5305" spans="1:2">
      <c r="A5305" t="s">
        <v>578</v>
      </c>
      <c r="B5305">
        <v>1</v>
      </c>
    </row>
    <row r="5306" spans="1:2">
      <c r="A5306" t="s">
        <v>604</v>
      </c>
      <c r="B5306">
        <v>1</v>
      </c>
    </row>
    <row r="5307" spans="1:2">
      <c r="A5307" t="s">
        <v>570</v>
      </c>
      <c r="B5307">
        <v>1</v>
      </c>
    </row>
    <row r="5308" spans="1:2">
      <c r="A5308" t="s">
        <v>561</v>
      </c>
      <c r="B5308">
        <v>1</v>
      </c>
    </row>
    <row r="5309" spans="1:2">
      <c r="A5309" t="s">
        <v>566</v>
      </c>
      <c r="B5309">
        <v>1</v>
      </c>
    </row>
    <row r="5310" spans="1:2">
      <c r="A5310" t="s">
        <v>563</v>
      </c>
      <c r="B5310">
        <v>1</v>
      </c>
    </row>
    <row r="5311" spans="1:2">
      <c r="A5311" t="s">
        <v>2319</v>
      </c>
      <c r="B5311">
        <v>1</v>
      </c>
    </row>
    <row r="5312" spans="1:2">
      <c r="A5312" t="s">
        <v>2309</v>
      </c>
      <c r="B5312">
        <v>1</v>
      </c>
    </row>
    <row r="5313" spans="1:2">
      <c r="A5313" t="s">
        <v>2312</v>
      </c>
      <c r="B5313">
        <v>1</v>
      </c>
    </row>
    <row r="5314" spans="1:2">
      <c r="A5314" t="s">
        <v>2314</v>
      </c>
      <c r="B5314">
        <v>1</v>
      </c>
    </row>
    <row r="5315" spans="1:2">
      <c r="A5315" t="s">
        <v>2316</v>
      </c>
      <c r="B5315">
        <v>1</v>
      </c>
    </row>
    <row r="5316" spans="1:2">
      <c r="A5316" t="s">
        <v>2902</v>
      </c>
      <c r="B5316">
        <v>1</v>
      </c>
    </row>
    <row r="5317" spans="1:2">
      <c r="A5317" t="s">
        <v>2898</v>
      </c>
      <c r="B5317">
        <v>1</v>
      </c>
    </row>
    <row r="5318" spans="1:2">
      <c r="A5318" t="s">
        <v>2937</v>
      </c>
      <c r="B5318">
        <v>1</v>
      </c>
    </row>
    <row r="5319" spans="1:2">
      <c r="A5319" t="s">
        <v>2940</v>
      </c>
      <c r="B5319">
        <v>1</v>
      </c>
    </row>
    <row r="5320" spans="1:2">
      <c r="A5320" t="s">
        <v>2944</v>
      </c>
      <c r="B5320">
        <v>1</v>
      </c>
    </row>
    <row r="5321" spans="1:2">
      <c r="A5321" t="s">
        <v>2962</v>
      </c>
      <c r="B5321">
        <v>1</v>
      </c>
    </row>
    <row r="5322" spans="1:2">
      <c r="A5322" t="s">
        <v>2950</v>
      </c>
      <c r="B5322">
        <v>1</v>
      </c>
    </row>
    <row r="5323" spans="1:2">
      <c r="A5323" t="s">
        <v>2954</v>
      </c>
      <c r="B5323">
        <v>1</v>
      </c>
    </row>
    <row r="5324" spans="1:2">
      <c r="A5324" t="s">
        <v>2958</v>
      </c>
      <c r="B5324">
        <v>1</v>
      </c>
    </row>
    <row r="5325" spans="1:2">
      <c r="A5325" t="s">
        <v>2933</v>
      </c>
      <c r="B5325">
        <v>1</v>
      </c>
    </row>
    <row r="5326" spans="1:2">
      <c r="A5326" t="s">
        <v>2926</v>
      </c>
      <c r="B5326">
        <v>1</v>
      </c>
    </row>
    <row r="5327" spans="1:2">
      <c r="A5327" t="s">
        <v>2922</v>
      </c>
      <c r="B5327">
        <v>1</v>
      </c>
    </row>
    <row r="5328" spans="1:2">
      <c r="A5328" t="s">
        <v>2930</v>
      </c>
      <c r="B5328">
        <v>1</v>
      </c>
    </row>
    <row r="5329" spans="1:2">
      <c r="A5329" t="s">
        <v>2918</v>
      </c>
      <c r="B5329">
        <v>1</v>
      </c>
    </row>
    <row r="5330" spans="1:2">
      <c r="A5330" t="s">
        <v>2914</v>
      </c>
      <c r="B5330">
        <v>1</v>
      </c>
    </row>
    <row r="5331" spans="1:2">
      <c r="A5331" t="s">
        <v>2905</v>
      </c>
      <c r="B5331">
        <v>1</v>
      </c>
    </row>
    <row r="5332" spans="1:2">
      <c r="A5332" t="s">
        <v>5227</v>
      </c>
      <c r="B5332">
        <v>1</v>
      </c>
    </row>
    <row r="5333" spans="1:2">
      <c r="A5333" t="s">
        <v>5225</v>
      </c>
      <c r="B5333">
        <v>1</v>
      </c>
    </row>
    <row r="5334" spans="1:2">
      <c r="A5334" t="s">
        <v>5231</v>
      </c>
      <c r="B5334">
        <v>1</v>
      </c>
    </row>
    <row r="5335" spans="1:2">
      <c r="A5335" t="s">
        <v>5211</v>
      </c>
      <c r="B5335">
        <v>1</v>
      </c>
    </row>
    <row r="5336" spans="1:2">
      <c r="A5336" t="s">
        <v>5215</v>
      </c>
      <c r="B5336">
        <v>1</v>
      </c>
    </row>
    <row r="5337" spans="1:2">
      <c r="A5337" t="s">
        <v>5217</v>
      </c>
      <c r="B5337">
        <v>1</v>
      </c>
    </row>
    <row r="5338" spans="1:2">
      <c r="A5338" t="s">
        <v>5221</v>
      </c>
      <c r="B5338">
        <v>1</v>
      </c>
    </row>
    <row r="5339" spans="1:2">
      <c r="A5339" t="s">
        <v>6595</v>
      </c>
      <c r="B5339">
        <v>1</v>
      </c>
    </row>
    <row r="5340" spans="1:2">
      <c r="A5340" t="s">
        <v>6592</v>
      </c>
      <c r="B5340">
        <v>1</v>
      </c>
    </row>
    <row r="5341" spans="1:2">
      <c r="A5341" t="s">
        <v>6589</v>
      </c>
      <c r="B5341">
        <v>1</v>
      </c>
    </row>
    <row r="5342" spans="1:2">
      <c r="A5342" t="s">
        <v>6586</v>
      </c>
      <c r="B5342">
        <v>1</v>
      </c>
    </row>
    <row r="5343" spans="1:2">
      <c r="A5343" t="s">
        <v>6582</v>
      </c>
      <c r="B5343">
        <v>1</v>
      </c>
    </row>
    <row r="5344" spans="1:2">
      <c r="A5344" t="s">
        <v>6510</v>
      </c>
      <c r="B5344">
        <v>1</v>
      </c>
    </row>
    <row r="5345" spans="1:2">
      <c r="A5345" t="s">
        <v>6579</v>
      </c>
      <c r="B5345">
        <v>1</v>
      </c>
    </row>
    <row r="5346" spans="1:2">
      <c r="A5346" t="s">
        <v>6576</v>
      </c>
      <c r="B5346">
        <v>1</v>
      </c>
    </row>
    <row r="5347" spans="1:2">
      <c r="A5347" t="s">
        <v>6573</v>
      </c>
      <c r="B5347">
        <v>1</v>
      </c>
    </row>
    <row r="5348" spans="1:2">
      <c r="A5348" t="s">
        <v>6570</v>
      </c>
      <c r="B5348">
        <v>1</v>
      </c>
    </row>
    <row r="5349" spans="1:2">
      <c r="A5349" t="s">
        <v>6567</v>
      </c>
      <c r="B5349">
        <v>1</v>
      </c>
    </row>
    <row r="5350" spans="1:2">
      <c r="A5350" t="s">
        <v>6564</v>
      </c>
      <c r="B5350">
        <v>1</v>
      </c>
    </row>
    <row r="5351" spans="1:2">
      <c r="A5351" t="s">
        <v>6561</v>
      </c>
      <c r="B5351">
        <v>1</v>
      </c>
    </row>
    <row r="5352" spans="1:2">
      <c r="A5352" t="s">
        <v>6555</v>
      </c>
      <c r="B5352">
        <v>1</v>
      </c>
    </row>
    <row r="5353" spans="1:2">
      <c r="A5353" t="s">
        <v>6552</v>
      </c>
      <c r="B5353">
        <v>1</v>
      </c>
    </row>
    <row r="5354" spans="1:2">
      <c r="A5354" t="s">
        <v>6548</v>
      </c>
      <c r="B5354">
        <v>1</v>
      </c>
    </row>
    <row r="5355" spans="1:2">
      <c r="A5355" t="s">
        <v>6546</v>
      </c>
      <c r="B5355">
        <v>1</v>
      </c>
    </row>
    <row r="5356" spans="1:2">
      <c r="A5356" t="s">
        <v>6545</v>
      </c>
      <c r="B5356">
        <v>1</v>
      </c>
    </row>
    <row r="5357" spans="1:2">
      <c r="A5357" t="s">
        <v>6542</v>
      </c>
      <c r="B5357">
        <v>1</v>
      </c>
    </row>
    <row r="5358" spans="1:2">
      <c r="A5358" t="s">
        <v>6537</v>
      </c>
      <c r="B5358">
        <v>1</v>
      </c>
    </row>
    <row r="5359" spans="1:2">
      <c r="A5359" t="s">
        <v>6534</v>
      </c>
      <c r="B5359">
        <v>1</v>
      </c>
    </row>
    <row r="5360" spans="1:2">
      <c r="A5360" t="s">
        <v>6514</v>
      </c>
      <c r="B5360">
        <v>1</v>
      </c>
    </row>
    <row r="5361" spans="1:2">
      <c r="A5361" t="s">
        <v>6526</v>
      </c>
      <c r="B5361">
        <v>1</v>
      </c>
    </row>
    <row r="5362" spans="1:2">
      <c r="A5362" t="s">
        <v>6523</v>
      </c>
      <c r="B5362">
        <v>1</v>
      </c>
    </row>
    <row r="5363" spans="1:2">
      <c r="A5363" t="s">
        <v>6519</v>
      </c>
      <c r="B5363">
        <v>1</v>
      </c>
    </row>
    <row r="5364" spans="1:2">
      <c r="A5364" t="s">
        <v>6517</v>
      </c>
      <c r="B5364">
        <v>1</v>
      </c>
    </row>
    <row r="5365" spans="1:2">
      <c r="A5365" t="s">
        <v>6604</v>
      </c>
      <c r="B5365">
        <v>1</v>
      </c>
    </row>
    <row r="5366" spans="1:2">
      <c r="A5366" t="s">
        <v>6612</v>
      </c>
      <c r="B5366">
        <v>1</v>
      </c>
    </row>
    <row r="5367" spans="1:2">
      <c r="A5367" t="s">
        <v>6636</v>
      </c>
      <c r="B5367">
        <v>1</v>
      </c>
    </row>
    <row r="5368" spans="1:2">
      <c r="A5368" t="s">
        <v>6639</v>
      </c>
      <c r="B5368">
        <v>1</v>
      </c>
    </row>
    <row r="5369" spans="1:2">
      <c r="A5369" t="s">
        <v>6656</v>
      </c>
      <c r="B5369">
        <v>1</v>
      </c>
    </row>
    <row r="5370" spans="1:2">
      <c r="A5370" t="s">
        <v>6644</v>
      </c>
      <c r="B5370">
        <v>1</v>
      </c>
    </row>
    <row r="5371" spans="1:2">
      <c r="A5371" t="s">
        <v>6648</v>
      </c>
      <c r="B5371">
        <v>1</v>
      </c>
    </row>
    <row r="5372" spans="1:2">
      <c r="A5372" t="s">
        <v>6652</v>
      </c>
      <c r="B5372">
        <v>1</v>
      </c>
    </row>
    <row r="5373" spans="1:2">
      <c r="A5373" t="s">
        <v>6678</v>
      </c>
      <c r="B5373">
        <v>1</v>
      </c>
    </row>
    <row r="5374" spans="1:2">
      <c r="A5374" t="s">
        <v>6661</v>
      </c>
      <c r="B5374">
        <v>1</v>
      </c>
    </row>
    <row r="5375" spans="1:2">
      <c r="A5375" t="s">
        <v>6663</v>
      </c>
      <c r="B5375">
        <v>1</v>
      </c>
    </row>
    <row r="5376" spans="1:2">
      <c r="A5376" t="s">
        <v>6667</v>
      </c>
      <c r="B5376">
        <v>1</v>
      </c>
    </row>
    <row r="5377" spans="1:2">
      <c r="A5377" t="s">
        <v>6670</v>
      </c>
      <c r="B5377">
        <v>1</v>
      </c>
    </row>
    <row r="5378" spans="1:2">
      <c r="A5378" t="s">
        <v>6674</v>
      </c>
      <c r="B5378">
        <v>1</v>
      </c>
    </row>
    <row r="5379" spans="1:2">
      <c r="A5379" t="s">
        <v>6635</v>
      </c>
      <c r="B5379">
        <v>1</v>
      </c>
    </row>
    <row r="5380" spans="1:2">
      <c r="A5380" t="s">
        <v>6643</v>
      </c>
      <c r="B5380">
        <v>1</v>
      </c>
    </row>
    <row r="5381" spans="1:2">
      <c r="A5381" t="s">
        <v>6633</v>
      </c>
      <c r="B5381">
        <v>1</v>
      </c>
    </row>
    <row r="5382" spans="1:2">
      <c r="A5382" t="s">
        <v>6632</v>
      </c>
      <c r="B5382">
        <v>1</v>
      </c>
    </row>
    <row r="5383" spans="1:2">
      <c r="A5383" t="s">
        <v>6634</v>
      </c>
      <c r="B5383">
        <v>1</v>
      </c>
    </row>
    <row r="5384" spans="1:2">
      <c r="A5384" t="s">
        <v>6628</v>
      </c>
      <c r="B5384">
        <v>1</v>
      </c>
    </row>
    <row r="5385" spans="1:2">
      <c r="A5385" t="s">
        <v>6627</v>
      </c>
      <c r="B5385">
        <v>1</v>
      </c>
    </row>
    <row r="5386" spans="1:2">
      <c r="A5386" t="s">
        <v>6626</v>
      </c>
      <c r="B5386">
        <v>1</v>
      </c>
    </row>
    <row r="5387" spans="1:2">
      <c r="A5387" t="s">
        <v>6625</v>
      </c>
      <c r="B5387">
        <v>1</v>
      </c>
    </row>
    <row r="5388" spans="1:2">
      <c r="A5388" t="s">
        <v>6624</v>
      </c>
      <c r="B5388">
        <v>1</v>
      </c>
    </row>
    <row r="5389" spans="1:2">
      <c r="A5389" t="s">
        <v>6623</v>
      </c>
      <c r="B5389">
        <v>1</v>
      </c>
    </row>
    <row r="5390" spans="1:2">
      <c r="A5390" t="s">
        <v>6622</v>
      </c>
      <c r="B5390">
        <v>1</v>
      </c>
    </row>
    <row r="5391" spans="1:2">
      <c r="A5391" t="s">
        <v>6621</v>
      </c>
      <c r="B5391">
        <v>1</v>
      </c>
    </row>
    <row r="5392" spans="1:2">
      <c r="A5392" t="s">
        <v>6619</v>
      </c>
      <c r="B5392">
        <v>1</v>
      </c>
    </row>
    <row r="5393" spans="1:2">
      <c r="A5393" t="s">
        <v>6618</v>
      </c>
      <c r="B5393">
        <v>1</v>
      </c>
    </row>
    <row r="5394" spans="1:2">
      <c r="A5394" t="s">
        <v>6530</v>
      </c>
      <c r="B5394">
        <v>1</v>
      </c>
    </row>
    <row r="5395" spans="1:2">
      <c r="A5395" t="s">
        <v>6506</v>
      </c>
      <c r="B5395">
        <v>1</v>
      </c>
    </row>
    <row r="5396" spans="1:2">
      <c r="A5396" t="s">
        <v>6376</v>
      </c>
      <c r="B5396">
        <v>1</v>
      </c>
    </row>
    <row r="5397" spans="1:2">
      <c r="A5397" t="s">
        <v>6324</v>
      </c>
      <c r="B5397">
        <v>1</v>
      </c>
    </row>
    <row r="5398" spans="1:2">
      <c r="A5398" t="s">
        <v>6328</v>
      </c>
      <c r="B5398">
        <v>1</v>
      </c>
    </row>
    <row r="5399" spans="1:2">
      <c r="A5399" t="s">
        <v>6332</v>
      </c>
      <c r="B5399">
        <v>1</v>
      </c>
    </row>
    <row r="5400" spans="1:2">
      <c r="A5400" t="s">
        <v>6336</v>
      </c>
      <c r="B5400">
        <v>1</v>
      </c>
    </row>
    <row r="5401" spans="1:2">
      <c r="A5401" t="s">
        <v>6339</v>
      </c>
      <c r="B5401">
        <v>1</v>
      </c>
    </row>
    <row r="5402" spans="1:2">
      <c r="A5402" t="s">
        <v>6346</v>
      </c>
      <c r="B5402">
        <v>1</v>
      </c>
    </row>
    <row r="5403" spans="1:2">
      <c r="A5403" t="s">
        <v>6350</v>
      </c>
      <c r="B5403">
        <v>1</v>
      </c>
    </row>
    <row r="5404" spans="1:2">
      <c r="A5404" t="s">
        <v>6354</v>
      </c>
      <c r="B5404">
        <v>1</v>
      </c>
    </row>
    <row r="5405" spans="1:2">
      <c r="A5405" t="s">
        <v>6358</v>
      </c>
      <c r="B5405">
        <v>1</v>
      </c>
    </row>
    <row r="5406" spans="1:2">
      <c r="A5406" t="s">
        <v>6361</v>
      </c>
      <c r="B5406">
        <v>1</v>
      </c>
    </row>
    <row r="5407" spans="1:2">
      <c r="A5407" t="s">
        <v>6364</v>
      </c>
      <c r="B5407">
        <v>1</v>
      </c>
    </row>
    <row r="5408" spans="1:2">
      <c r="A5408" t="s">
        <v>6366</v>
      </c>
      <c r="B5408">
        <v>1</v>
      </c>
    </row>
    <row r="5409" spans="1:2">
      <c r="A5409" t="s">
        <v>6370</v>
      </c>
      <c r="B5409">
        <v>1</v>
      </c>
    </row>
    <row r="5410" spans="1:2">
      <c r="A5410" t="s">
        <v>6371</v>
      </c>
      <c r="B5410">
        <v>1</v>
      </c>
    </row>
    <row r="5411" spans="1:2">
      <c r="A5411" t="s">
        <v>6321</v>
      </c>
      <c r="B5411">
        <v>1</v>
      </c>
    </row>
    <row r="5412" spans="1:2">
      <c r="A5412" t="s">
        <v>6374</v>
      </c>
      <c r="B5412">
        <v>1</v>
      </c>
    </row>
    <row r="5413" spans="1:2">
      <c r="A5413" t="s">
        <v>6317</v>
      </c>
      <c r="B5413">
        <v>1</v>
      </c>
    </row>
    <row r="5414" spans="1:2">
      <c r="A5414" t="s">
        <v>6262</v>
      </c>
      <c r="B5414">
        <v>1</v>
      </c>
    </row>
    <row r="5415" spans="1:2">
      <c r="A5415" t="s">
        <v>6273</v>
      </c>
      <c r="B5415">
        <v>1</v>
      </c>
    </row>
    <row r="5416" spans="1:2">
      <c r="A5416" t="s">
        <v>6275</v>
      </c>
      <c r="B5416">
        <v>1</v>
      </c>
    </row>
    <row r="5417" spans="1:2">
      <c r="A5417" t="s">
        <v>6279</v>
      </c>
      <c r="B5417">
        <v>1</v>
      </c>
    </row>
    <row r="5418" spans="1:2">
      <c r="A5418" t="s">
        <v>6283</v>
      </c>
      <c r="B5418">
        <v>1</v>
      </c>
    </row>
    <row r="5419" spans="1:2">
      <c r="A5419" t="s">
        <v>6287</v>
      </c>
      <c r="B5419">
        <v>1</v>
      </c>
    </row>
    <row r="5420" spans="1:2">
      <c r="A5420" t="s">
        <v>6288</v>
      </c>
      <c r="B5420">
        <v>1</v>
      </c>
    </row>
    <row r="5421" spans="1:2">
      <c r="A5421" t="s">
        <v>6291</v>
      </c>
      <c r="B5421">
        <v>1</v>
      </c>
    </row>
    <row r="5422" spans="1:2">
      <c r="A5422" t="s">
        <v>6295</v>
      </c>
      <c r="B5422">
        <v>1</v>
      </c>
    </row>
    <row r="5423" spans="1:2">
      <c r="A5423" t="s">
        <v>6303</v>
      </c>
      <c r="B5423">
        <v>1</v>
      </c>
    </row>
    <row r="5424" spans="1:2">
      <c r="A5424" t="s">
        <v>6312</v>
      </c>
      <c r="B5424">
        <v>1</v>
      </c>
    </row>
    <row r="5425" spans="1:2">
      <c r="A5425" t="s">
        <v>6380</v>
      </c>
      <c r="B5425">
        <v>1</v>
      </c>
    </row>
    <row r="5426" spans="1:2">
      <c r="A5426" t="s">
        <v>6448</v>
      </c>
      <c r="B5426">
        <v>1</v>
      </c>
    </row>
    <row r="5427" spans="1:2">
      <c r="A5427" t="s">
        <v>6385</v>
      </c>
      <c r="B5427">
        <v>1</v>
      </c>
    </row>
    <row r="5428" spans="1:2">
      <c r="A5428" t="s">
        <v>6456</v>
      </c>
      <c r="B5428">
        <v>1</v>
      </c>
    </row>
    <row r="5429" spans="1:2">
      <c r="A5429" t="s">
        <v>6460</v>
      </c>
      <c r="B5429">
        <v>1</v>
      </c>
    </row>
    <row r="5430" spans="1:2">
      <c r="A5430" t="s">
        <v>6463</v>
      </c>
      <c r="B5430">
        <v>1</v>
      </c>
    </row>
    <row r="5431" spans="1:2">
      <c r="A5431" t="s">
        <v>6466</v>
      </c>
      <c r="B5431">
        <v>1</v>
      </c>
    </row>
    <row r="5432" spans="1:2">
      <c r="A5432" t="s">
        <v>6468</v>
      </c>
      <c r="B5432">
        <v>1</v>
      </c>
    </row>
    <row r="5433" spans="1:2">
      <c r="A5433" t="s">
        <v>6472</v>
      </c>
      <c r="B5433">
        <v>1</v>
      </c>
    </row>
    <row r="5434" spans="1:2">
      <c r="A5434" t="s">
        <v>6476</v>
      </c>
      <c r="B5434">
        <v>1</v>
      </c>
    </row>
    <row r="5435" spans="1:2">
      <c r="A5435" t="s">
        <v>6480</v>
      </c>
      <c r="B5435">
        <v>1</v>
      </c>
    </row>
    <row r="5436" spans="1:2">
      <c r="A5436" t="s">
        <v>6484</v>
      </c>
      <c r="B5436">
        <v>1</v>
      </c>
    </row>
    <row r="5437" spans="1:2">
      <c r="A5437" t="s">
        <v>6487</v>
      </c>
      <c r="B5437">
        <v>1</v>
      </c>
    </row>
    <row r="5438" spans="1:2">
      <c r="A5438" t="s">
        <v>6491</v>
      </c>
      <c r="B5438">
        <v>1</v>
      </c>
    </row>
    <row r="5439" spans="1:2">
      <c r="A5439" t="s">
        <v>6493</v>
      </c>
      <c r="B5439">
        <v>1</v>
      </c>
    </row>
    <row r="5440" spans="1:2">
      <c r="A5440" t="s">
        <v>6495</v>
      </c>
      <c r="B5440">
        <v>1</v>
      </c>
    </row>
    <row r="5441" spans="1:2">
      <c r="A5441" t="s">
        <v>6498</v>
      </c>
      <c r="B5441">
        <v>1</v>
      </c>
    </row>
    <row r="5442" spans="1:2">
      <c r="A5442" t="s">
        <v>6502</v>
      </c>
      <c r="B5442">
        <v>1</v>
      </c>
    </row>
    <row r="5443" spans="1:2">
      <c r="A5443" t="s">
        <v>6453</v>
      </c>
      <c r="B5443">
        <v>1</v>
      </c>
    </row>
    <row r="5444" spans="1:2">
      <c r="A5444" t="s">
        <v>6505</v>
      </c>
      <c r="B5444">
        <v>1</v>
      </c>
    </row>
    <row r="5445" spans="1:2">
      <c r="A5445" t="s">
        <v>6451</v>
      </c>
      <c r="B5445">
        <v>1</v>
      </c>
    </row>
    <row r="5446" spans="1:2">
      <c r="A5446" t="s">
        <v>6443</v>
      </c>
      <c r="B5446">
        <v>1</v>
      </c>
    </row>
    <row r="5447" spans="1:2">
      <c r="A5447" t="s">
        <v>6391</v>
      </c>
      <c r="B5447">
        <v>1</v>
      </c>
    </row>
    <row r="5448" spans="1:2">
      <c r="A5448" t="s">
        <v>6394</v>
      </c>
      <c r="B5448">
        <v>1</v>
      </c>
    </row>
    <row r="5449" spans="1:2">
      <c r="A5449" t="s">
        <v>6400</v>
      </c>
      <c r="B5449">
        <v>1</v>
      </c>
    </row>
    <row r="5450" spans="1:2">
      <c r="A5450" t="s">
        <v>6405</v>
      </c>
      <c r="B5450">
        <v>1</v>
      </c>
    </row>
    <row r="5451" spans="1:2">
      <c r="A5451" t="s">
        <v>6407</v>
      </c>
      <c r="B5451">
        <v>1</v>
      </c>
    </row>
    <row r="5452" spans="1:2">
      <c r="A5452" t="s">
        <v>6412</v>
      </c>
      <c r="B5452">
        <v>1</v>
      </c>
    </row>
    <row r="5453" spans="1:2">
      <c r="A5453" t="s">
        <v>6417</v>
      </c>
      <c r="B5453">
        <v>1</v>
      </c>
    </row>
    <row r="5454" spans="1:2">
      <c r="A5454" t="s">
        <v>6421</v>
      </c>
      <c r="B5454">
        <v>1</v>
      </c>
    </row>
    <row r="5455" spans="1:2">
      <c r="A5455" t="s">
        <v>6425</v>
      </c>
      <c r="B5455">
        <v>1</v>
      </c>
    </row>
    <row r="5456" spans="1:2">
      <c r="A5456" t="s">
        <v>6429</v>
      </c>
      <c r="B5456">
        <v>1</v>
      </c>
    </row>
    <row r="5457" spans="1:2">
      <c r="A5457" t="s">
        <v>6433</v>
      </c>
      <c r="B5457">
        <v>1</v>
      </c>
    </row>
    <row r="5458" spans="1:2">
      <c r="A5458" t="s">
        <v>6436</v>
      </c>
      <c r="B5458">
        <v>1</v>
      </c>
    </row>
    <row r="5459" spans="1:2">
      <c r="A5459" t="s">
        <v>6440</v>
      </c>
      <c r="B5459">
        <v>1</v>
      </c>
    </row>
    <row r="5460" spans="1:2">
      <c r="A5460" t="s">
        <v>6252</v>
      </c>
      <c r="B5460">
        <v>1</v>
      </c>
    </row>
    <row r="5461" spans="1:2">
      <c r="A5461" t="s">
        <v>6599</v>
      </c>
      <c r="B5461">
        <v>1</v>
      </c>
    </row>
    <row r="5462" spans="1:2">
      <c r="A5462" t="s">
        <v>6900</v>
      </c>
      <c r="B5462">
        <v>1</v>
      </c>
    </row>
    <row r="5463" spans="1:2">
      <c r="A5463" t="s">
        <v>6904</v>
      </c>
      <c r="B5463">
        <v>1</v>
      </c>
    </row>
    <row r="5464" spans="1:2">
      <c r="A5464" t="s">
        <v>8084</v>
      </c>
      <c r="B5464">
        <v>1</v>
      </c>
    </row>
    <row r="5465" spans="1:2">
      <c r="A5465" t="s">
        <v>8080</v>
      </c>
      <c r="B5465">
        <v>1</v>
      </c>
    </row>
    <row r="5466" spans="1:2">
      <c r="A5466" t="s">
        <v>8076</v>
      </c>
      <c r="B5466">
        <v>1</v>
      </c>
    </row>
    <row r="5467" spans="1:2">
      <c r="A5467" t="s">
        <v>8072</v>
      </c>
      <c r="B5467">
        <v>1</v>
      </c>
    </row>
    <row r="5468" spans="1:2">
      <c r="A5468" t="s">
        <v>8334</v>
      </c>
      <c r="B5468">
        <v>1</v>
      </c>
    </row>
    <row r="5469" spans="1:2">
      <c r="A5469" t="s">
        <v>8339</v>
      </c>
      <c r="B5469">
        <v>1</v>
      </c>
    </row>
    <row r="5470" spans="1:2">
      <c r="A5470" t="s">
        <v>8343</v>
      </c>
      <c r="B5470">
        <v>1</v>
      </c>
    </row>
    <row r="5471" spans="1:2">
      <c r="A5471" t="s">
        <v>8347</v>
      </c>
      <c r="B5471">
        <v>1</v>
      </c>
    </row>
    <row r="5472" spans="1:2">
      <c r="A5472" t="s">
        <v>8351</v>
      </c>
      <c r="B5472">
        <v>1</v>
      </c>
    </row>
    <row r="5473" spans="1:2">
      <c r="A5473" t="s">
        <v>8393</v>
      </c>
      <c r="B5473">
        <v>1</v>
      </c>
    </row>
    <row r="5474" spans="1:2">
      <c r="A5474" t="s">
        <v>8355</v>
      </c>
      <c r="B5474">
        <v>1</v>
      </c>
    </row>
    <row r="5475" spans="1:2">
      <c r="A5475" t="s">
        <v>8357</v>
      </c>
      <c r="B5475">
        <v>1</v>
      </c>
    </row>
    <row r="5476" spans="1:2">
      <c r="A5476" t="s">
        <v>8359</v>
      </c>
      <c r="B5476">
        <v>1</v>
      </c>
    </row>
    <row r="5477" spans="1:2">
      <c r="A5477" t="s">
        <v>8363</v>
      </c>
      <c r="B5477">
        <v>1</v>
      </c>
    </row>
    <row r="5478" spans="1:2">
      <c r="A5478" t="s">
        <v>8367</v>
      </c>
      <c r="B5478">
        <v>1</v>
      </c>
    </row>
    <row r="5479" spans="1:2">
      <c r="A5479" t="s">
        <v>8369</v>
      </c>
      <c r="B5479">
        <v>1</v>
      </c>
    </row>
    <row r="5480" spans="1:2">
      <c r="A5480" t="s">
        <v>8397</v>
      </c>
      <c r="B5480">
        <v>1</v>
      </c>
    </row>
    <row r="5481" spans="1:2">
      <c r="A5481" t="s">
        <v>8372</v>
      </c>
      <c r="B5481">
        <v>1</v>
      </c>
    </row>
    <row r="5482" spans="1:2">
      <c r="A5482" t="s">
        <v>8375</v>
      </c>
      <c r="B5482">
        <v>1</v>
      </c>
    </row>
    <row r="5483" spans="1:2">
      <c r="A5483" t="s">
        <v>8379</v>
      </c>
      <c r="B5483">
        <v>1</v>
      </c>
    </row>
    <row r="5484" spans="1:2">
      <c r="A5484" t="s">
        <v>8382</v>
      </c>
      <c r="B5484">
        <v>1</v>
      </c>
    </row>
    <row r="5485" spans="1:2">
      <c r="A5485" t="s">
        <v>8386</v>
      </c>
      <c r="B5485">
        <v>1</v>
      </c>
    </row>
    <row r="5486" spans="1:2">
      <c r="A5486" t="s">
        <v>8389</v>
      </c>
      <c r="B5486">
        <v>1</v>
      </c>
    </row>
    <row r="5487" spans="1:2">
      <c r="A5487" t="s">
        <v>8330</v>
      </c>
      <c r="B5487">
        <v>1</v>
      </c>
    </row>
    <row r="5488" spans="1:2">
      <c r="A5488" t="s">
        <v>8400</v>
      </c>
      <c r="B5488">
        <v>1</v>
      </c>
    </row>
    <row r="5489" spans="1:2">
      <c r="A5489" t="s">
        <v>8856</v>
      </c>
      <c r="B5489">
        <v>1</v>
      </c>
    </row>
    <row r="5490" spans="1:2">
      <c r="A5490" t="s">
        <v>8863</v>
      </c>
      <c r="B5490">
        <v>1</v>
      </c>
    </row>
    <row r="5491" spans="1:2">
      <c r="A5491" t="s">
        <v>8859</v>
      </c>
      <c r="B5491">
        <v>1</v>
      </c>
    </row>
    <row r="5492" spans="1:2">
      <c r="A5492" t="s">
        <v>8911</v>
      </c>
      <c r="B5492">
        <v>1</v>
      </c>
    </row>
    <row r="5493" spans="1:2">
      <c r="A5493" t="s">
        <v>9552</v>
      </c>
      <c r="B5493">
        <v>1</v>
      </c>
    </row>
    <row r="5494" spans="1:2">
      <c r="A5494" t="s">
        <v>9545</v>
      </c>
      <c r="B5494">
        <v>1</v>
      </c>
    </row>
    <row r="5495" spans="1:2">
      <c r="A5495" t="s">
        <v>9700</v>
      </c>
      <c r="B5495">
        <v>1</v>
      </c>
    </row>
    <row r="5496" spans="1:2">
      <c r="A5496" t="s">
        <v>9696</v>
      </c>
      <c r="B5496">
        <v>1</v>
      </c>
    </row>
    <row r="5497" spans="1:2">
      <c r="A5497" t="s">
        <v>2307</v>
      </c>
      <c r="B5497">
        <v>1</v>
      </c>
    </row>
    <row r="5498" spans="1:2">
      <c r="A5498" t="s">
        <v>10195</v>
      </c>
      <c r="B5498">
        <v>1</v>
      </c>
    </row>
    <row r="5499" spans="1:2">
      <c r="A5499" t="s">
        <v>10206</v>
      </c>
      <c r="B5499">
        <v>1</v>
      </c>
    </row>
    <row r="5500" spans="1:2">
      <c r="A5500" t="s">
        <v>10199</v>
      </c>
      <c r="B5500">
        <v>1</v>
      </c>
    </row>
    <row r="5501" spans="1:2">
      <c r="A5501" t="s">
        <v>10200</v>
      </c>
      <c r="B5501">
        <v>1</v>
      </c>
    </row>
    <row r="5502" spans="1:2">
      <c r="A5502" t="s">
        <v>10203</v>
      </c>
      <c r="B5502">
        <v>1</v>
      </c>
    </row>
    <row r="5503" spans="1:2">
      <c r="A5503" t="s">
        <v>10192</v>
      </c>
      <c r="B5503">
        <v>1</v>
      </c>
    </row>
    <row r="5504" spans="1:2">
      <c r="A5504" t="s">
        <v>10209</v>
      </c>
      <c r="B5504">
        <v>1</v>
      </c>
    </row>
    <row r="5505" spans="1:2">
      <c r="A5505" t="s">
        <v>10211</v>
      </c>
      <c r="B5505">
        <v>1</v>
      </c>
    </row>
    <row r="5506" spans="1:2">
      <c r="A5506" t="s">
        <v>10414</v>
      </c>
      <c r="B5506">
        <v>1</v>
      </c>
    </row>
    <row r="5507" spans="1:2">
      <c r="A5507" t="s">
        <v>10358</v>
      </c>
      <c r="B5507">
        <v>1</v>
      </c>
    </row>
    <row r="5508" spans="1:2">
      <c r="A5508" t="s">
        <v>10361</v>
      </c>
      <c r="B5508">
        <v>1</v>
      </c>
    </row>
    <row r="5509" spans="1:2">
      <c r="A5509" t="s">
        <v>10365</v>
      </c>
      <c r="B5509">
        <v>1</v>
      </c>
    </row>
    <row r="5510" spans="1:2">
      <c r="A5510" t="s">
        <v>10369</v>
      </c>
      <c r="B5510">
        <v>1</v>
      </c>
    </row>
    <row r="5511" spans="1:2">
      <c r="A5511" t="s">
        <v>10374</v>
      </c>
      <c r="B5511">
        <v>1</v>
      </c>
    </row>
    <row r="5512" spans="1:2">
      <c r="A5512" t="s">
        <v>10355</v>
      </c>
      <c r="B5512">
        <v>1</v>
      </c>
    </row>
    <row r="5513" spans="1:2">
      <c r="A5513" t="s">
        <v>10377</v>
      </c>
      <c r="B5513">
        <v>1</v>
      </c>
    </row>
    <row r="5514" spans="1:2">
      <c r="A5514" t="s">
        <v>10381</v>
      </c>
      <c r="B5514">
        <v>1</v>
      </c>
    </row>
    <row r="5515" spans="1:2">
      <c r="A5515" t="s">
        <v>10386</v>
      </c>
      <c r="B5515">
        <v>1</v>
      </c>
    </row>
    <row r="5516" spans="1:2">
      <c r="A5516" t="s">
        <v>10411</v>
      </c>
      <c r="B5516">
        <v>1</v>
      </c>
    </row>
    <row r="5517" spans="1:2">
      <c r="A5517" t="s">
        <v>10390</v>
      </c>
      <c r="B5517">
        <v>1</v>
      </c>
    </row>
    <row r="5518" spans="1:2">
      <c r="A5518" t="s">
        <v>10396</v>
      </c>
      <c r="B5518">
        <v>1</v>
      </c>
    </row>
    <row r="5519" spans="1:2">
      <c r="A5519" t="s">
        <v>10400</v>
      </c>
      <c r="B5519">
        <v>1</v>
      </c>
    </row>
    <row r="5520" spans="1:2">
      <c r="A5520" t="s">
        <v>10402</v>
      </c>
      <c r="B5520">
        <v>1</v>
      </c>
    </row>
    <row r="5521" spans="1:2">
      <c r="A5521" t="s">
        <v>10406</v>
      </c>
      <c r="B5521">
        <v>1</v>
      </c>
    </row>
    <row r="5522" spans="1:2">
      <c r="A5522" t="s">
        <v>10408</v>
      </c>
      <c r="B5522">
        <v>1</v>
      </c>
    </row>
    <row r="5523" spans="1:2">
      <c r="A5523" t="s">
        <v>10384</v>
      </c>
      <c r="B5523">
        <v>1</v>
      </c>
    </row>
    <row r="5524" spans="1:2">
      <c r="A5524" t="s">
        <v>10351</v>
      </c>
      <c r="B5524">
        <v>1</v>
      </c>
    </row>
    <row r="5525" spans="1:2">
      <c r="A5525" t="s">
        <v>9729</v>
      </c>
      <c r="B5525">
        <v>1</v>
      </c>
    </row>
    <row r="5526" spans="1:2">
      <c r="A5526" t="s">
        <v>9726</v>
      </c>
      <c r="B5526">
        <v>1</v>
      </c>
    </row>
    <row r="5527" spans="1:2">
      <c r="A5527" t="s">
        <v>9746</v>
      </c>
      <c r="B5527">
        <v>1</v>
      </c>
    </row>
    <row r="5528" spans="1:2">
      <c r="A5528" t="s">
        <v>9720</v>
      </c>
      <c r="B5528">
        <v>1</v>
      </c>
    </row>
    <row r="5529" spans="1:2">
      <c r="A5529" t="s">
        <v>9745</v>
      </c>
      <c r="B5529">
        <v>1</v>
      </c>
    </row>
    <row r="5530" spans="1:2">
      <c r="A5530" t="s">
        <v>9722</v>
      </c>
      <c r="B5530">
        <v>1</v>
      </c>
    </row>
    <row r="5531" spans="1:2">
      <c r="A5531" t="s">
        <v>9735</v>
      </c>
      <c r="B5531">
        <v>1</v>
      </c>
    </row>
    <row r="5532" spans="1:2">
      <c r="A5532" t="s">
        <v>9739</v>
      </c>
      <c r="B5532">
        <v>1</v>
      </c>
    </row>
    <row r="5533" spans="1:2">
      <c r="A5533" t="s">
        <v>9742</v>
      </c>
      <c r="B5533">
        <v>1</v>
      </c>
    </row>
    <row r="5534" spans="1:2">
      <c r="A5534" t="s">
        <v>10447</v>
      </c>
      <c r="B5534">
        <v>1</v>
      </c>
    </row>
    <row r="5535" spans="1:2">
      <c r="A5535" t="s">
        <v>10451</v>
      </c>
      <c r="B5535">
        <v>1</v>
      </c>
    </row>
    <row r="5536" spans="1:2">
      <c r="A5536" t="s">
        <v>10456</v>
      </c>
      <c r="B5536">
        <v>1</v>
      </c>
    </row>
    <row r="5537" spans="1:2">
      <c r="A5537" t="s">
        <v>10460</v>
      </c>
      <c r="B5537">
        <v>1</v>
      </c>
    </row>
    <row r="5538" spans="1:2">
      <c r="A5538" t="s">
        <v>10464</v>
      </c>
      <c r="B5538">
        <v>1</v>
      </c>
    </row>
    <row r="5539" spans="1:2">
      <c r="A5539" t="s">
        <v>10469</v>
      </c>
      <c r="B5539">
        <v>1</v>
      </c>
    </row>
    <row r="5540" spans="1:2">
      <c r="A5540" t="s">
        <v>10472</v>
      </c>
      <c r="B5540">
        <v>1</v>
      </c>
    </row>
    <row r="5541" spans="1:2">
      <c r="A5541" t="s">
        <v>10476</v>
      </c>
      <c r="B5541">
        <v>1</v>
      </c>
    </row>
    <row r="5542" spans="1:2">
      <c r="A5542" t="s">
        <v>10492</v>
      </c>
      <c r="B5542">
        <v>1</v>
      </c>
    </row>
    <row r="5543" spans="1:2">
      <c r="A5543" t="s">
        <v>10496</v>
      </c>
      <c r="B5543">
        <v>1</v>
      </c>
    </row>
    <row r="5544" spans="1:2">
      <c r="A5544" t="s">
        <v>10499</v>
      </c>
      <c r="B5544">
        <v>1</v>
      </c>
    </row>
    <row r="5545" spans="1:2">
      <c r="A5545" t="s">
        <v>10503</v>
      </c>
      <c r="B5545">
        <v>1</v>
      </c>
    </row>
    <row r="5546" spans="1:2">
      <c r="A5546" t="s">
        <v>10507</v>
      </c>
      <c r="B5546">
        <v>1</v>
      </c>
    </row>
    <row r="5547" spans="1:2">
      <c r="A5547" t="s">
        <v>10483</v>
      </c>
      <c r="B5547">
        <v>1</v>
      </c>
    </row>
    <row r="5548" spans="1:2">
      <c r="A5548" t="s">
        <v>10488</v>
      </c>
      <c r="B5548">
        <v>1</v>
      </c>
    </row>
    <row r="5549" spans="1:2">
      <c r="A5549" t="s">
        <v>10480</v>
      </c>
      <c r="B5549">
        <v>1</v>
      </c>
    </row>
    <row r="5550" spans="1:2">
      <c r="A5550" t="s">
        <v>10516</v>
      </c>
      <c r="B5550">
        <v>1</v>
      </c>
    </row>
    <row r="5551" spans="1:2">
      <c r="A5551" t="s">
        <v>10513</v>
      </c>
      <c r="B5551">
        <v>1</v>
      </c>
    </row>
    <row r="5552" spans="1:2">
      <c r="A5552" t="s">
        <v>10510</v>
      </c>
      <c r="B5552">
        <v>1</v>
      </c>
    </row>
    <row r="5553" spans="1:2">
      <c r="A5553" t="s">
        <v>10543</v>
      </c>
      <c r="B5553">
        <v>1</v>
      </c>
    </row>
    <row r="5554" spans="1:2">
      <c r="A5554" t="s">
        <v>10539</v>
      </c>
      <c r="B5554">
        <v>1</v>
      </c>
    </row>
    <row r="5555" spans="1:2">
      <c r="A5555" t="s">
        <v>10591</v>
      </c>
      <c r="B5555">
        <v>1</v>
      </c>
    </row>
    <row r="5556" spans="1:2">
      <c r="A5556" t="s">
        <v>10547</v>
      </c>
      <c r="B5556">
        <v>1</v>
      </c>
    </row>
    <row r="5557" spans="1:2">
      <c r="A5557" t="s">
        <v>10587</v>
      </c>
      <c r="B5557">
        <v>1</v>
      </c>
    </row>
    <row r="5558" spans="1:2">
      <c r="A5558" t="s">
        <v>10584</v>
      </c>
      <c r="B5558">
        <v>1</v>
      </c>
    </row>
    <row r="5559" spans="1:2">
      <c r="A5559" t="s">
        <v>10580</v>
      </c>
      <c r="B5559">
        <v>1</v>
      </c>
    </row>
    <row r="5560" spans="1:2">
      <c r="A5560" t="s">
        <v>10577</v>
      </c>
      <c r="B5560">
        <v>1</v>
      </c>
    </row>
    <row r="5561" spans="1:2">
      <c r="A5561" t="s">
        <v>10573</v>
      </c>
      <c r="B5561">
        <v>1</v>
      </c>
    </row>
    <row r="5562" spans="1:2">
      <c r="A5562" t="s">
        <v>10570</v>
      </c>
      <c r="B5562">
        <v>1</v>
      </c>
    </row>
    <row r="5563" spans="1:2">
      <c r="A5563" t="s">
        <v>10597</v>
      </c>
      <c r="B5563">
        <v>1</v>
      </c>
    </row>
    <row r="5564" spans="1:2">
      <c r="A5564" t="s">
        <v>10568</v>
      </c>
      <c r="B5564">
        <v>1</v>
      </c>
    </row>
    <row r="5565" spans="1:2">
      <c r="A5565" t="s">
        <v>10565</v>
      </c>
      <c r="B5565">
        <v>1</v>
      </c>
    </row>
    <row r="5566" spans="1:2">
      <c r="A5566" t="s">
        <v>10560</v>
      </c>
      <c r="B5566">
        <v>1</v>
      </c>
    </row>
    <row r="5567" spans="1:2">
      <c r="A5567" t="s">
        <v>10558</v>
      </c>
      <c r="B5567">
        <v>1</v>
      </c>
    </row>
    <row r="5568" spans="1:2">
      <c r="A5568" t="s">
        <v>10554</v>
      </c>
      <c r="B5568">
        <v>1</v>
      </c>
    </row>
    <row r="5569" spans="1:2">
      <c r="A5569" t="s">
        <v>10550</v>
      </c>
      <c r="B5569">
        <v>1</v>
      </c>
    </row>
    <row r="5570" spans="1:2">
      <c r="A5570" t="s">
        <v>10593</v>
      </c>
      <c r="B5570">
        <v>1</v>
      </c>
    </row>
    <row r="5571" spans="1:2">
      <c r="A5571" t="s">
        <v>9811</v>
      </c>
      <c r="B5571">
        <v>1</v>
      </c>
    </row>
    <row r="5572" spans="1:2">
      <c r="A5572" t="s">
        <v>9813</v>
      </c>
      <c r="B5572">
        <v>1</v>
      </c>
    </row>
    <row r="5573" spans="1:2">
      <c r="A5573" t="s">
        <v>9819</v>
      </c>
      <c r="B5573">
        <v>1</v>
      </c>
    </row>
    <row r="5574" spans="1:2">
      <c r="A5574" t="s">
        <v>9816</v>
      </c>
      <c r="B5574">
        <v>1</v>
      </c>
    </row>
    <row r="5575" spans="1:2">
      <c r="A5575" t="s">
        <v>9831</v>
      </c>
      <c r="B5575">
        <v>1</v>
      </c>
    </row>
    <row r="5576" spans="1:2">
      <c r="A5576" t="s">
        <v>9827</v>
      </c>
      <c r="B5576">
        <v>1</v>
      </c>
    </row>
    <row r="5577" spans="1:2">
      <c r="A5577" t="s">
        <v>9823</v>
      </c>
      <c r="B5577">
        <v>1</v>
      </c>
    </row>
    <row r="5578" spans="1:2">
      <c r="A5578" t="s">
        <v>10923</v>
      </c>
      <c r="B5578">
        <v>1</v>
      </c>
    </row>
    <row r="5579" spans="1:2">
      <c r="A5579" t="s">
        <v>10911</v>
      </c>
      <c r="B5579">
        <v>1</v>
      </c>
    </row>
    <row r="5580" spans="1:2">
      <c r="A5580" t="s">
        <v>10916</v>
      </c>
      <c r="B5580">
        <v>1</v>
      </c>
    </row>
    <row r="5581" spans="1:2">
      <c r="A5581" t="s">
        <v>10920</v>
      </c>
      <c r="B5581">
        <v>1</v>
      </c>
    </row>
    <row r="5582" spans="1:2">
      <c r="A5582" t="s">
        <v>10932</v>
      </c>
      <c r="B5582">
        <v>1</v>
      </c>
    </row>
    <row r="5583" spans="1:2">
      <c r="A5583" t="s">
        <v>10930</v>
      </c>
      <c r="B5583">
        <v>1</v>
      </c>
    </row>
    <row r="5584" spans="1:2">
      <c r="A5584" t="s">
        <v>10905</v>
      </c>
      <c r="B5584">
        <v>1</v>
      </c>
    </row>
    <row r="5585" spans="1:2">
      <c r="A5585" t="s">
        <v>10901</v>
      </c>
      <c r="B5585">
        <v>1</v>
      </c>
    </row>
    <row r="5586" spans="1:2">
      <c r="A5586" t="s">
        <v>10897</v>
      </c>
      <c r="B5586">
        <v>1</v>
      </c>
    </row>
    <row r="5587" spans="1:2">
      <c r="A5587" t="s">
        <v>10894</v>
      </c>
      <c r="B5587">
        <v>1</v>
      </c>
    </row>
    <row r="5588" spans="1:2">
      <c r="A5588" t="s">
        <v>10927</v>
      </c>
      <c r="B5588">
        <v>1</v>
      </c>
    </row>
    <row r="5589" spans="1:2">
      <c r="A5589" t="s">
        <v>9891</v>
      </c>
      <c r="B5589">
        <v>1</v>
      </c>
    </row>
    <row r="5590" spans="1:2">
      <c r="A5590" t="s">
        <v>9893</v>
      </c>
      <c r="B5590">
        <v>1</v>
      </c>
    </row>
    <row r="5591" spans="1:2">
      <c r="A5591" t="s">
        <v>9885</v>
      </c>
      <c r="B5591">
        <v>1</v>
      </c>
    </row>
    <row r="5592" spans="1:2">
      <c r="A5592" t="s">
        <v>9887</v>
      </c>
      <c r="B5592">
        <v>1</v>
      </c>
    </row>
    <row r="5593" spans="1:2">
      <c r="A5593" t="s">
        <v>9924</v>
      </c>
      <c r="B5593">
        <v>1</v>
      </c>
    </row>
    <row r="5594" spans="1:2">
      <c r="A5594" t="s">
        <v>9935</v>
      </c>
      <c r="B5594">
        <v>1</v>
      </c>
    </row>
    <row r="5595" spans="1:2">
      <c r="A5595" t="s">
        <v>9939</v>
      </c>
      <c r="B5595">
        <v>1</v>
      </c>
    </row>
    <row r="5596" spans="1:2">
      <c r="A5596" t="s">
        <v>9931</v>
      </c>
      <c r="B5596">
        <v>1</v>
      </c>
    </row>
    <row r="5597" spans="1:2">
      <c r="A5597" t="s">
        <v>9928</v>
      </c>
      <c r="B5597">
        <v>1</v>
      </c>
    </row>
    <row r="5598" spans="1:2">
      <c r="A5598" t="s">
        <v>9943</v>
      </c>
      <c r="B5598">
        <v>1</v>
      </c>
    </row>
    <row r="5599" spans="1:2">
      <c r="A5599" t="s">
        <v>9949</v>
      </c>
      <c r="B5599">
        <v>1</v>
      </c>
    </row>
    <row r="5600" spans="1:2">
      <c r="A5600" t="s">
        <v>9953</v>
      </c>
      <c r="B5600">
        <v>1</v>
      </c>
    </row>
    <row r="5601" spans="1:2">
      <c r="A5601" t="s">
        <v>10950</v>
      </c>
      <c r="B5601">
        <v>1</v>
      </c>
    </row>
    <row r="5602" spans="1:2">
      <c r="A5602" t="s">
        <v>10952</v>
      </c>
      <c r="B5602">
        <v>1</v>
      </c>
    </row>
    <row r="5603" spans="1:2">
      <c r="A5603" t="s">
        <v>10934</v>
      </c>
      <c r="B5603">
        <v>1</v>
      </c>
    </row>
    <row r="5604" spans="1:2">
      <c r="A5604" t="s">
        <v>10937</v>
      </c>
      <c r="B5604">
        <v>1</v>
      </c>
    </row>
    <row r="5605" spans="1:2">
      <c r="A5605" t="s">
        <v>10940</v>
      </c>
      <c r="B5605">
        <v>1</v>
      </c>
    </row>
    <row r="5606" spans="1:2">
      <c r="A5606" t="s">
        <v>10943</v>
      </c>
      <c r="B5606">
        <v>1</v>
      </c>
    </row>
    <row r="5607" spans="1:2">
      <c r="A5607" t="s">
        <v>10947</v>
      </c>
      <c r="B5607">
        <v>1</v>
      </c>
    </row>
    <row r="5608" spans="1:2">
      <c r="A5608" t="s">
        <v>10954</v>
      </c>
      <c r="B5608">
        <v>1</v>
      </c>
    </row>
    <row r="5609" spans="1:2">
      <c r="A5609" t="s">
        <v>10958</v>
      </c>
      <c r="B5609">
        <v>1</v>
      </c>
    </row>
    <row r="5610" spans="1:2">
      <c r="A5610" t="s">
        <v>11821</v>
      </c>
      <c r="B5610">
        <v>1</v>
      </c>
    </row>
    <row r="5611" spans="1:2">
      <c r="A5611" t="s">
        <v>11817</v>
      </c>
      <c r="B5611">
        <v>1</v>
      </c>
    </row>
    <row r="5612" spans="1:2">
      <c r="A5612" t="s">
        <v>11813</v>
      </c>
      <c r="B5612">
        <v>1</v>
      </c>
    </row>
    <row r="5613" spans="1:2">
      <c r="A5613" t="s">
        <v>11810</v>
      </c>
      <c r="B5613">
        <v>1</v>
      </c>
    </row>
    <row r="5614" spans="1:2">
      <c r="A5614" t="s">
        <v>11806</v>
      </c>
      <c r="B5614">
        <v>1</v>
      </c>
    </row>
    <row r="5615" spans="1:2">
      <c r="A5615" t="s">
        <v>11803</v>
      </c>
      <c r="B5615">
        <v>1</v>
      </c>
    </row>
    <row r="5616" spans="1:2">
      <c r="A5616" t="s">
        <v>11800</v>
      </c>
      <c r="B5616">
        <v>1</v>
      </c>
    </row>
    <row r="5617" spans="1:2">
      <c r="A5617" t="s">
        <v>11828</v>
      </c>
      <c r="B5617">
        <v>1</v>
      </c>
    </row>
    <row r="5618" spans="1:2">
      <c r="A5618" t="s">
        <v>11796</v>
      </c>
      <c r="B5618">
        <v>1</v>
      </c>
    </row>
    <row r="5619" spans="1:2">
      <c r="A5619" t="s">
        <v>11825</v>
      </c>
      <c r="B5619">
        <v>1</v>
      </c>
    </row>
    <row r="5620" spans="1:2">
      <c r="A5620" t="s">
        <v>12116</v>
      </c>
      <c r="B5620">
        <v>1</v>
      </c>
    </row>
    <row r="5621" spans="1:2">
      <c r="A5621" t="s">
        <v>12111</v>
      </c>
      <c r="B5621">
        <v>1</v>
      </c>
    </row>
    <row r="5622" spans="1:2">
      <c r="A5622" t="s">
        <v>12095</v>
      </c>
      <c r="B5622">
        <v>1</v>
      </c>
    </row>
    <row r="5623" spans="1:2">
      <c r="A5623" t="s">
        <v>12098</v>
      </c>
      <c r="B5623">
        <v>1</v>
      </c>
    </row>
    <row r="5624" spans="1:2">
      <c r="A5624" t="s">
        <v>12100</v>
      </c>
      <c r="B5624">
        <v>1</v>
      </c>
    </row>
    <row r="5625" spans="1:2">
      <c r="A5625" t="s">
        <v>12103</v>
      </c>
      <c r="B5625">
        <v>1</v>
      </c>
    </row>
    <row r="5626" spans="1:2">
      <c r="A5626" t="s">
        <v>12092</v>
      </c>
      <c r="B5626">
        <v>1</v>
      </c>
    </row>
    <row r="5627" spans="1:2">
      <c r="A5627" t="s">
        <v>12107</v>
      </c>
      <c r="B5627">
        <v>1</v>
      </c>
    </row>
    <row r="5628" spans="1:2">
      <c r="A5628" t="s">
        <v>13009</v>
      </c>
      <c r="B5628">
        <v>1</v>
      </c>
    </row>
    <row r="5629" spans="1:2">
      <c r="A5629" t="s">
        <v>13013</v>
      </c>
      <c r="B5629">
        <v>1</v>
      </c>
    </row>
    <row r="5630" spans="1:2">
      <c r="A5630" t="s">
        <v>13017</v>
      </c>
      <c r="B5630">
        <v>1</v>
      </c>
    </row>
    <row r="5631" spans="1:2">
      <c r="A5631" t="s">
        <v>13020</v>
      </c>
      <c r="B5631">
        <v>1</v>
      </c>
    </row>
    <row r="5632" spans="1:2">
      <c r="A5632" t="s">
        <v>13024</v>
      </c>
      <c r="B5632">
        <v>1</v>
      </c>
    </row>
    <row r="5633" spans="1:2">
      <c r="A5633" t="s">
        <v>13047</v>
      </c>
      <c r="B5633">
        <v>1</v>
      </c>
    </row>
    <row r="5634" spans="1:2">
      <c r="A5634" t="s">
        <v>13029</v>
      </c>
      <c r="B5634">
        <v>1</v>
      </c>
    </row>
    <row r="5635" spans="1:2">
      <c r="A5635" t="s">
        <v>13032</v>
      </c>
      <c r="B5635">
        <v>1</v>
      </c>
    </row>
    <row r="5636" spans="1:2">
      <c r="A5636" t="s">
        <v>13034</v>
      </c>
      <c r="B5636">
        <v>1</v>
      </c>
    </row>
    <row r="5637" spans="1:2">
      <c r="A5637" t="s">
        <v>13037</v>
      </c>
      <c r="B5637">
        <v>1</v>
      </c>
    </row>
    <row r="5638" spans="1:2">
      <c r="A5638" t="s">
        <v>12999</v>
      </c>
      <c r="B5638">
        <v>1</v>
      </c>
    </row>
    <row r="5639" spans="1:2">
      <c r="A5639" t="s">
        <v>12997</v>
      </c>
      <c r="B5639">
        <v>1</v>
      </c>
    </row>
    <row r="5640" spans="1:2">
      <c r="A5640" t="s">
        <v>13046</v>
      </c>
      <c r="B5640">
        <v>1</v>
      </c>
    </row>
    <row r="5641" spans="1:2">
      <c r="A5641" t="s">
        <v>13044</v>
      </c>
      <c r="B5641">
        <v>1</v>
      </c>
    </row>
    <row r="5642" spans="1:2">
      <c r="A5642" t="s">
        <v>13041</v>
      </c>
      <c r="B5642">
        <v>1</v>
      </c>
    </row>
    <row r="5643" spans="1:2">
      <c r="A5643" t="s">
        <v>13321</v>
      </c>
      <c r="B5643">
        <v>1</v>
      </c>
    </row>
    <row r="5644" spans="1:2">
      <c r="A5644" t="s">
        <v>13315</v>
      </c>
      <c r="B5644">
        <v>1</v>
      </c>
    </row>
    <row r="5645" spans="1:2">
      <c r="A5645" t="s">
        <v>13688</v>
      </c>
      <c r="B5645">
        <v>1</v>
      </c>
    </row>
    <row r="5646" spans="1:2">
      <c r="A5646" t="s">
        <v>13733</v>
      </c>
      <c r="B5646">
        <v>1</v>
      </c>
    </row>
    <row r="5647" spans="1:2">
      <c r="A5647" t="s">
        <v>13735</v>
      </c>
      <c r="B5647">
        <v>1</v>
      </c>
    </row>
    <row r="5648" spans="1:2">
      <c r="A5648" t="s">
        <v>13737</v>
      </c>
      <c r="B5648">
        <v>1</v>
      </c>
    </row>
    <row r="5649" spans="1:2">
      <c r="A5649" t="s">
        <v>13738</v>
      </c>
      <c r="B5649">
        <v>1</v>
      </c>
    </row>
    <row r="5650" spans="1:2">
      <c r="A5650" t="s">
        <v>13740</v>
      </c>
      <c r="B5650">
        <v>1</v>
      </c>
    </row>
    <row r="5651" spans="1:2">
      <c r="A5651" t="s">
        <v>13743</v>
      </c>
      <c r="B5651">
        <v>1</v>
      </c>
    </row>
    <row r="5652" spans="1:2">
      <c r="A5652" t="s">
        <v>13744</v>
      </c>
      <c r="B5652">
        <v>1</v>
      </c>
    </row>
    <row r="5653" spans="1:2">
      <c r="A5653" t="s">
        <v>13746</v>
      </c>
      <c r="B5653">
        <v>1</v>
      </c>
    </row>
    <row r="5654" spans="1:2">
      <c r="A5654" t="s">
        <v>13747</v>
      </c>
      <c r="B5654">
        <v>1</v>
      </c>
    </row>
    <row r="5655" spans="1:2">
      <c r="A5655" t="s">
        <v>13748</v>
      </c>
      <c r="B5655">
        <v>1</v>
      </c>
    </row>
    <row r="5656" spans="1:2">
      <c r="A5656" t="s">
        <v>13749</v>
      </c>
      <c r="B5656">
        <v>1</v>
      </c>
    </row>
    <row r="5657" spans="1:2">
      <c r="A5657" t="s">
        <v>13750</v>
      </c>
      <c r="B5657">
        <v>1</v>
      </c>
    </row>
    <row r="5658" spans="1:2">
      <c r="A5658" t="s">
        <v>13751</v>
      </c>
      <c r="B5658">
        <v>1</v>
      </c>
    </row>
    <row r="5659" spans="1:2">
      <c r="A5659" t="s">
        <v>13752</v>
      </c>
      <c r="B5659">
        <v>1</v>
      </c>
    </row>
    <row r="5660" spans="1:2">
      <c r="A5660" t="s">
        <v>13756</v>
      </c>
      <c r="B5660">
        <v>1</v>
      </c>
    </row>
    <row r="5661" spans="1:2">
      <c r="A5661" t="s">
        <v>13549</v>
      </c>
      <c r="B5661">
        <v>1</v>
      </c>
    </row>
    <row r="5662" spans="1:2">
      <c r="A5662" t="s">
        <v>13552</v>
      </c>
      <c r="B5662">
        <v>1</v>
      </c>
    </row>
    <row r="5663" spans="1:2">
      <c r="A5663" t="s">
        <v>13554</v>
      </c>
      <c r="B5663">
        <v>1</v>
      </c>
    </row>
    <row r="5664" spans="1:2">
      <c r="A5664" t="s">
        <v>13546</v>
      </c>
      <c r="B5664">
        <v>1</v>
      </c>
    </row>
    <row r="5665" spans="1:2">
      <c r="A5665" t="s">
        <v>13760</v>
      </c>
      <c r="B5665">
        <v>1</v>
      </c>
    </row>
    <row r="5666" spans="1:2">
      <c r="A5666" t="s">
        <v>13649</v>
      </c>
      <c r="B5666">
        <v>1</v>
      </c>
    </row>
    <row r="5667" spans="1:2">
      <c r="A5667" t="s">
        <v>13762</v>
      </c>
      <c r="B5667">
        <v>1</v>
      </c>
    </row>
    <row r="5668" spans="1:2">
      <c r="A5668" t="s">
        <v>13766</v>
      </c>
      <c r="B5668">
        <v>1</v>
      </c>
    </row>
    <row r="5669" spans="1:2">
      <c r="A5669" t="s">
        <v>13770</v>
      </c>
      <c r="B5669">
        <v>1</v>
      </c>
    </row>
    <row r="5670" spans="1:2">
      <c r="A5670" t="s">
        <v>13785</v>
      </c>
      <c r="B5670">
        <v>1</v>
      </c>
    </row>
    <row r="5671" spans="1:2">
      <c r="A5671" t="s">
        <v>13772</v>
      </c>
      <c r="B5671">
        <v>1</v>
      </c>
    </row>
    <row r="5672" spans="1:2">
      <c r="A5672" t="s">
        <v>13774</v>
      </c>
      <c r="B5672">
        <v>1</v>
      </c>
    </row>
    <row r="5673" spans="1:2">
      <c r="A5673" t="s">
        <v>13776</v>
      </c>
      <c r="B5673">
        <v>1</v>
      </c>
    </row>
    <row r="5674" spans="1:2">
      <c r="A5674" t="s">
        <v>13778</v>
      </c>
      <c r="B5674">
        <v>1</v>
      </c>
    </row>
    <row r="5675" spans="1:2">
      <c r="A5675" t="s">
        <v>13781</v>
      </c>
      <c r="B5675">
        <v>1</v>
      </c>
    </row>
    <row r="5676" spans="1:2">
      <c r="A5676" t="s">
        <v>13782</v>
      </c>
      <c r="B5676">
        <v>1</v>
      </c>
    </row>
    <row r="5677" spans="1:2">
      <c r="A5677" t="s">
        <v>13788</v>
      </c>
      <c r="B5677">
        <v>1</v>
      </c>
    </row>
    <row r="5678" spans="1:2">
      <c r="A5678" t="s">
        <v>13787</v>
      </c>
      <c r="B5678">
        <v>1</v>
      </c>
    </row>
    <row r="5679" spans="1:2">
      <c r="A5679" t="s">
        <v>13560</v>
      </c>
      <c r="B5679">
        <v>1</v>
      </c>
    </row>
    <row r="5680" spans="1:2">
      <c r="A5680" t="s">
        <v>13720</v>
      </c>
      <c r="B5680">
        <v>1</v>
      </c>
    </row>
    <row r="5681" spans="1:2">
      <c r="A5681" t="s">
        <v>13718</v>
      </c>
      <c r="B5681">
        <v>1</v>
      </c>
    </row>
    <row r="5682" spans="1:2">
      <c r="A5682" t="s">
        <v>13714</v>
      </c>
      <c r="B5682">
        <v>1</v>
      </c>
    </row>
    <row r="5683" spans="1:2">
      <c r="A5683" t="s">
        <v>13712</v>
      </c>
      <c r="B5683">
        <v>1</v>
      </c>
    </row>
    <row r="5684" spans="1:2">
      <c r="A5684" t="s">
        <v>13710</v>
      </c>
      <c r="B5684">
        <v>1</v>
      </c>
    </row>
    <row r="5685" spans="1:2">
      <c r="A5685" t="s">
        <v>13708</v>
      </c>
      <c r="B5685">
        <v>1</v>
      </c>
    </row>
    <row r="5686" spans="1:2">
      <c r="A5686" t="s">
        <v>13707</v>
      </c>
      <c r="B5686">
        <v>1</v>
      </c>
    </row>
    <row r="5687" spans="1:2">
      <c r="A5687" t="s">
        <v>13705</v>
      </c>
      <c r="B5687">
        <v>1</v>
      </c>
    </row>
    <row r="5688" spans="1:2">
      <c r="A5688" t="s">
        <v>13702</v>
      </c>
      <c r="B5688">
        <v>1</v>
      </c>
    </row>
    <row r="5689" spans="1:2">
      <c r="A5689" t="s">
        <v>13700</v>
      </c>
      <c r="B5689">
        <v>1</v>
      </c>
    </row>
    <row r="5690" spans="1:2">
      <c r="A5690" t="s">
        <v>13694</v>
      </c>
      <c r="B5690">
        <v>1</v>
      </c>
    </row>
    <row r="5691" spans="1:2">
      <c r="A5691" t="s">
        <v>13692</v>
      </c>
      <c r="B5691">
        <v>1</v>
      </c>
    </row>
    <row r="5692" spans="1:2">
      <c r="A5692" t="s">
        <v>13691</v>
      </c>
      <c r="B5692">
        <v>1</v>
      </c>
    </row>
    <row r="5693" spans="1:2">
      <c r="A5693" t="s">
        <v>13727</v>
      </c>
      <c r="B5693">
        <v>1</v>
      </c>
    </row>
    <row r="5694" spans="1:2">
      <c r="A5694" t="s">
        <v>13614</v>
      </c>
      <c r="B5694">
        <v>1</v>
      </c>
    </row>
    <row r="5695" spans="1:2">
      <c r="A5695" t="s">
        <v>13610</v>
      </c>
      <c r="B5695">
        <v>1</v>
      </c>
    </row>
    <row r="5696" spans="1:2">
      <c r="A5696" t="s">
        <v>13607</v>
      </c>
      <c r="B5696">
        <v>1</v>
      </c>
    </row>
    <row r="5697" spans="1:2">
      <c r="A5697" t="s">
        <v>13603</v>
      </c>
      <c r="B5697">
        <v>1</v>
      </c>
    </row>
    <row r="5698" spans="1:2">
      <c r="A5698" t="s">
        <v>13599</v>
      </c>
      <c r="B5698">
        <v>1</v>
      </c>
    </row>
    <row r="5699" spans="1:2">
      <c r="A5699" t="s">
        <v>13597</v>
      </c>
      <c r="B5699">
        <v>1</v>
      </c>
    </row>
    <row r="5700" spans="1:2">
      <c r="A5700" t="s">
        <v>13618</v>
      </c>
      <c r="B5700">
        <v>1</v>
      </c>
    </row>
    <row r="5701" spans="1:2">
      <c r="A5701" t="s">
        <v>13590</v>
      </c>
      <c r="B5701">
        <v>1</v>
      </c>
    </row>
    <row r="5702" spans="1:2">
      <c r="A5702" t="s">
        <v>13583</v>
      </c>
      <c r="B5702">
        <v>1</v>
      </c>
    </row>
    <row r="5703" spans="1:2">
      <c r="A5703" t="s">
        <v>13580</v>
      </c>
      <c r="B5703">
        <v>1</v>
      </c>
    </row>
    <row r="5704" spans="1:2">
      <c r="A5704" t="s">
        <v>13576</v>
      </c>
      <c r="B5704">
        <v>1</v>
      </c>
    </row>
    <row r="5705" spans="1:2">
      <c r="A5705" t="s">
        <v>13573</v>
      </c>
      <c r="B5705">
        <v>1</v>
      </c>
    </row>
    <row r="5706" spans="1:2">
      <c r="A5706" t="s">
        <v>13570</v>
      </c>
      <c r="B5706">
        <v>1</v>
      </c>
    </row>
    <row r="5707" spans="1:2">
      <c r="A5707" t="s">
        <v>13566</v>
      </c>
      <c r="B5707">
        <v>1</v>
      </c>
    </row>
    <row r="5708" spans="1:2">
      <c r="A5708" t="s">
        <v>13562</v>
      </c>
      <c r="B5708">
        <v>1</v>
      </c>
    </row>
    <row r="5709" spans="1:2">
      <c r="A5709" t="s">
        <v>13586</v>
      </c>
      <c r="B5709">
        <v>1</v>
      </c>
    </row>
    <row r="5710" spans="1:2">
      <c r="A5710" t="s">
        <v>13620</v>
      </c>
      <c r="B5710">
        <v>1</v>
      </c>
    </row>
    <row r="5711" spans="1:2">
      <c r="A5711" t="s">
        <v>13621</v>
      </c>
      <c r="B5711">
        <v>1</v>
      </c>
    </row>
    <row r="5712" spans="1:2">
      <c r="A5712" t="s">
        <v>13623</v>
      </c>
      <c r="B5712">
        <v>1</v>
      </c>
    </row>
    <row r="5713" spans="1:2">
      <c r="A5713" t="s">
        <v>13675</v>
      </c>
      <c r="B5713">
        <v>1</v>
      </c>
    </row>
    <row r="5714" spans="1:2">
      <c r="A5714" t="s">
        <v>13673</v>
      </c>
      <c r="B5714">
        <v>1</v>
      </c>
    </row>
    <row r="5715" spans="1:2">
      <c r="A5715" t="s">
        <v>13670</v>
      </c>
      <c r="B5715">
        <v>1</v>
      </c>
    </row>
    <row r="5716" spans="1:2">
      <c r="A5716" t="s">
        <v>13666</v>
      </c>
      <c r="B5716">
        <v>1</v>
      </c>
    </row>
    <row r="5717" spans="1:2">
      <c r="A5717" t="s">
        <v>13663</v>
      </c>
      <c r="B5717">
        <v>1</v>
      </c>
    </row>
    <row r="5718" spans="1:2">
      <c r="A5718" t="s">
        <v>13659</v>
      </c>
      <c r="B5718">
        <v>1</v>
      </c>
    </row>
    <row r="5719" spans="1:2">
      <c r="A5719" t="s">
        <v>13656</v>
      </c>
      <c r="B5719">
        <v>1</v>
      </c>
    </row>
    <row r="5720" spans="1:2">
      <c r="A5720" t="s">
        <v>13654</v>
      </c>
      <c r="B5720">
        <v>1</v>
      </c>
    </row>
    <row r="5721" spans="1:2">
      <c r="A5721" t="s">
        <v>13650</v>
      </c>
      <c r="B5721">
        <v>1</v>
      </c>
    </row>
    <row r="5722" spans="1:2">
      <c r="A5722" t="s">
        <v>13725</v>
      </c>
      <c r="B5722">
        <v>1</v>
      </c>
    </row>
    <row r="5723" spans="1:2">
      <c r="A5723" t="s">
        <v>13556</v>
      </c>
      <c r="B5723">
        <v>1</v>
      </c>
    </row>
    <row r="5724" spans="1:2">
      <c r="A5724" t="s">
        <v>13627</v>
      </c>
      <c r="B5724">
        <v>1</v>
      </c>
    </row>
    <row r="5725" spans="1:2">
      <c r="A5725" t="s">
        <v>13630</v>
      </c>
      <c r="B5725">
        <v>1</v>
      </c>
    </row>
    <row r="5726" spans="1:2">
      <c r="A5726" t="s">
        <v>13633</v>
      </c>
      <c r="B5726">
        <v>1</v>
      </c>
    </row>
    <row r="5727" spans="1:2">
      <c r="A5727" t="s">
        <v>13636</v>
      </c>
      <c r="B5727">
        <v>1</v>
      </c>
    </row>
    <row r="5728" spans="1:2">
      <c r="A5728" t="s">
        <v>13639</v>
      </c>
      <c r="B5728">
        <v>1</v>
      </c>
    </row>
    <row r="5729" spans="1:2">
      <c r="A5729" t="s">
        <v>13855</v>
      </c>
      <c r="B5729">
        <v>1</v>
      </c>
    </row>
    <row r="5730" spans="1:2">
      <c r="A5730" t="s">
        <v>13863</v>
      </c>
      <c r="B5730">
        <v>1</v>
      </c>
    </row>
    <row r="5731" spans="1:2">
      <c r="A5731" t="s">
        <v>13865</v>
      </c>
      <c r="B5731">
        <v>1</v>
      </c>
    </row>
    <row r="5732" spans="1:2">
      <c r="A5732" t="s">
        <v>13868</v>
      </c>
      <c r="B5732">
        <v>1</v>
      </c>
    </row>
    <row r="5733" spans="1:2">
      <c r="A5733" t="s">
        <v>13871</v>
      </c>
      <c r="B5733">
        <v>1</v>
      </c>
    </row>
    <row r="5734" spans="1:2">
      <c r="A5734" t="s">
        <v>13876</v>
      </c>
      <c r="B5734">
        <v>1</v>
      </c>
    </row>
    <row r="5735" spans="1:2">
      <c r="A5735" t="s">
        <v>13879</v>
      </c>
      <c r="B5735">
        <v>1</v>
      </c>
    </row>
    <row r="5736" spans="1:2">
      <c r="A5736" t="s">
        <v>13883</v>
      </c>
      <c r="B5736">
        <v>1</v>
      </c>
    </row>
    <row r="5737" spans="1:2">
      <c r="A5737" t="s">
        <v>13845</v>
      </c>
      <c r="B5737">
        <v>1</v>
      </c>
    </row>
    <row r="5738" spans="1:2">
      <c r="A5738" t="s">
        <v>13886</v>
      </c>
      <c r="B5738">
        <v>1</v>
      </c>
    </row>
    <row r="5739" spans="1:2">
      <c r="A5739" t="s">
        <v>13842</v>
      </c>
      <c r="B5739">
        <v>1</v>
      </c>
    </row>
    <row r="5740" spans="1:2">
      <c r="A5740" t="s">
        <v>13813</v>
      </c>
      <c r="B5740">
        <v>1</v>
      </c>
    </row>
    <row r="5741" spans="1:2">
      <c r="A5741" t="s">
        <v>13834</v>
      </c>
      <c r="B5741">
        <v>1</v>
      </c>
    </row>
    <row r="5742" spans="1:2">
      <c r="A5742" t="s">
        <v>13830</v>
      </c>
      <c r="B5742">
        <v>1</v>
      </c>
    </row>
    <row r="5743" spans="1:2">
      <c r="A5743" t="s">
        <v>13827</v>
      </c>
      <c r="B5743">
        <v>1</v>
      </c>
    </row>
    <row r="5744" spans="1:2">
      <c r="A5744" t="s">
        <v>13823</v>
      </c>
      <c r="B5744">
        <v>1</v>
      </c>
    </row>
    <row r="5745" spans="1:2">
      <c r="A5745" t="s">
        <v>13820</v>
      </c>
      <c r="B5745">
        <v>1</v>
      </c>
    </row>
    <row r="5746" spans="1:2">
      <c r="A5746" t="s">
        <v>13817</v>
      </c>
      <c r="B5746">
        <v>1</v>
      </c>
    </row>
    <row r="5747" spans="1:2">
      <c r="A5747" t="s">
        <v>13841</v>
      </c>
      <c r="B5747">
        <v>1</v>
      </c>
    </row>
    <row r="5748" spans="1:2">
      <c r="A5748" t="s">
        <v>13809</v>
      </c>
      <c r="B5748">
        <v>1</v>
      </c>
    </row>
    <row r="5749" spans="1:2">
      <c r="A5749" t="s">
        <v>13805</v>
      </c>
      <c r="B5749">
        <v>1</v>
      </c>
    </row>
    <row r="5750" spans="1:2">
      <c r="A5750" t="s">
        <v>13801</v>
      </c>
      <c r="B5750">
        <v>1</v>
      </c>
    </row>
    <row r="5751" spans="1:2">
      <c r="A5751" t="s">
        <v>13798</v>
      </c>
      <c r="B5751">
        <v>1</v>
      </c>
    </row>
    <row r="5752" spans="1:2">
      <c r="A5752" t="s">
        <v>13793</v>
      </c>
      <c r="B5752">
        <v>1</v>
      </c>
    </row>
    <row r="5753" spans="1:2">
      <c r="A5753" t="s">
        <v>13790</v>
      </c>
      <c r="B5753">
        <v>1</v>
      </c>
    </row>
    <row r="5754" spans="1:2">
      <c r="A5754" t="s">
        <v>13837</v>
      </c>
      <c r="B5754">
        <v>1</v>
      </c>
    </row>
    <row r="5755" spans="1:2">
      <c r="A5755" t="s">
        <v>13858</v>
      </c>
      <c r="B5755">
        <v>1</v>
      </c>
    </row>
    <row r="5756" spans="1:2">
      <c r="A5756" t="s">
        <v>13889</v>
      </c>
      <c r="B5756">
        <v>1</v>
      </c>
    </row>
    <row r="5757" spans="1:2">
      <c r="A5757" t="s">
        <v>13918</v>
      </c>
      <c r="B5757">
        <v>1</v>
      </c>
    </row>
    <row r="5758" spans="1:2">
      <c r="A5758" t="s">
        <v>13897</v>
      </c>
      <c r="B5758">
        <v>1</v>
      </c>
    </row>
    <row r="5759" spans="1:2">
      <c r="A5759" t="s">
        <v>13967</v>
      </c>
      <c r="B5759">
        <v>1</v>
      </c>
    </row>
    <row r="5760" spans="1:2">
      <c r="A5760" t="s">
        <v>13953</v>
      </c>
      <c r="B5760">
        <v>1</v>
      </c>
    </row>
    <row r="5761" spans="1:2">
      <c r="A5761" t="s">
        <v>13949</v>
      </c>
      <c r="B5761">
        <v>1</v>
      </c>
    </row>
    <row r="5762" spans="1:2">
      <c r="A5762" t="s">
        <v>13945</v>
      </c>
      <c r="B5762">
        <v>1</v>
      </c>
    </row>
    <row r="5763" spans="1:2">
      <c r="A5763" t="s">
        <v>13940</v>
      </c>
      <c r="B5763">
        <v>1</v>
      </c>
    </row>
    <row r="5764" spans="1:2">
      <c r="A5764" t="s">
        <v>13954</v>
      </c>
      <c r="B5764">
        <v>1</v>
      </c>
    </row>
    <row r="5765" spans="1:2">
      <c r="A5765" t="s">
        <v>13959</v>
      </c>
      <c r="B5765">
        <v>1</v>
      </c>
    </row>
    <row r="5766" spans="1:2">
      <c r="A5766" t="s">
        <v>13963</v>
      </c>
      <c r="B5766">
        <v>1</v>
      </c>
    </row>
    <row r="5767" spans="1:2">
      <c r="A5767" t="s">
        <v>13973</v>
      </c>
      <c r="B5767">
        <v>1</v>
      </c>
    </row>
    <row r="5768" spans="1:2">
      <c r="A5768" t="s">
        <v>13986</v>
      </c>
      <c r="B5768">
        <v>1</v>
      </c>
    </row>
    <row r="5769" spans="1:2">
      <c r="A5769" t="s">
        <v>13979</v>
      </c>
      <c r="B5769">
        <v>1</v>
      </c>
    </row>
    <row r="5770" spans="1:2">
      <c r="A5770" t="s">
        <v>13977</v>
      </c>
      <c r="B5770">
        <v>1</v>
      </c>
    </row>
    <row r="5771" spans="1:2">
      <c r="A5771" t="s">
        <v>13982</v>
      </c>
      <c r="B5771">
        <v>1</v>
      </c>
    </row>
    <row r="5772" spans="1:2">
      <c r="A5772" t="s">
        <v>13972</v>
      </c>
      <c r="B5772">
        <v>1</v>
      </c>
    </row>
    <row r="5773" spans="1:2">
      <c r="A5773" t="s">
        <v>13937</v>
      </c>
      <c r="B5773">
        <v>1</v>
      </c>
    </row>
    <row r="5774" spans="1:2">
      <c r="A5774" t="s">
        <v>13938</v>
      </c>
      <c r="B5774">
        <v>1</v>
      </c>
    </row>
    <row r="5775" spans="1:2">
      <c r="A5775" t="s">
        <v>13936</v>
      </c>
      <c r="B5775">
        <v>1</v>
      </c>
    </row>
    <row r="5776" spans="1:2">
      <c r="A5776" t="s">
        <v>13935</v>
      </c>
      <c r="B5776">
        <v>1</v>
      </c>
    </row>
    <row r="5777" spans="1:2">
      <c r="A5777" t="s">
        <v>13898</v>
      </c>
      <c r="B5777">
        <v>1</v>
      </c>
    </row>
    <row r="5778" spans="1:2">
      <c r="A5778" t="s">
        <v>13904</v>
      </c>
      <c r="B5778">
        <v>1</v>
      </c>
    </row>
    <row r="5779" spans="1:2">
      <c r="A5779" t="s">
        <v>13905</v>
      </c>
      <c r="B5779">
        <v>1</v>
      </c>
    </row>
    <row r="5780" spans="1:2">
      <c r="A5780" t="s">
        <v>13906</v>
      </c>
      <c r="B5780">
        <v>1</v>
      </c>
    </row>
    <row r="5781" spans="1:2">
      <c r="A5781" t="s">
        <v>13908</v>
      </c>
      <c r="B5781">
        <v>1</v>
      </c>
    </row>
    <row r="5782" spans="1:2">
      <c r="A5782" t="s">
        <v>13910</v>
      </c>
      <c r="B5782">
        <v>1</v>
      </c>
    </row>
    <row r="5783" spans="1:2">
      <c r="A5783" t="s">
        <v>13913</v>
      </c>
      <c r="B5783">
        <v>1</v>
      </c>
    </row>
    <row r="5784" spans="1:2">
      <c r="A5784" t="s">
        <v>13914</v>
      </c>
      <c r="B5784">
        <v>1</v>
      </c>
    </row>
    <row r="5785" spans="1:2">
      <c r="A5785" t="s">
        <v>13917</v>
      </c>
      <c r="B5785">
        <v>1</v>
      </c>
    </row>
    <row r="5786" spans="1:2">
      <c r="A5786" t="s">
        <v>13933</v>
      </c>
      <c r="B5786">
        <v>1</v>
      </c>
    </row>
    <row r="5787" spans="1:2">
      <c r="A5787" t="s">
        <v>13932</v>
      </c>
      <c r="B5787">
        <v>1</v>
      </c>
    </row>
    <row r="5788" spans="1:2">
      <c r="A5788" t="s">
        <v>13931</v>
      </c>
      <c r="B5788">
        <v>1</v>
      </c>
    </row>
    <row r="5789" spans="1:2">
      <c r="A5789" t="s">
        <v>13930</v>
      </c>
      <c r="B5789">
        <v>1</v>
      </c>
    </row>
    <row r="5790" spans="1:2">
      <c r="A5790" t="s">
        <v>13928</v>
      </c>
      <c r="B5790">
        <v>1</v>
      </c>
    </row>
    <row r="5791" spans="1:2">
      <c r="A5791" t="s">
        <v>13927</v>
      </c>
      <c r="B5791">
        <v>1</v>
      </c>
    </row>
    <row r="5792" spans="1:2">
      <c r="A5792" t="s">
        <v>13926</v>
      </c>
      <c r="B5792">
        <v>1</v>
      </c>
    </row>
    <row r="5793" spans="1:2">
      <c r="A5793" t="s">
        <v>13925</v>
      </c>
      <c r="B5793">
        <v>1</v>
      </c>
    </row>
    <row r="5794" spans="1:2">
      <c r="A5794" t="s">
        <v>13922</v>
      </c>
      <c r="B5794">
        <v>1</v>
      </c>
    </row>
    <row r="5795" spans="1:2">
      <c r="A5795" t="s">
        <v>13893</v>
      </c>
      <c r="B5795">
        <v>1</v>
      </c>
    </row>
    <row r="5796" spans="1:2">
      <c r="A5796" t="s">
        <v>13854</v>
      </c>
      <c r="B5796">
        <v>1</v>
      </c>
    </row>
    <row r="5797" spans="1:2">
      <c r="A5797" t="s">
        <v>13847</v>
      </c>
      <c r="B5797">
        <v>1</v>
      </c>
    </row>
    <row r="5798" spans="1:2">
      <c r="A5798" t="s">
        <v>13850</v>
      </c>
      <c r="B5798">
        <v>1</v>
      </c>
    </row>
    <row r="5799" spans="1:2">
      <c r="A5799" t="s">
        <v>14262</v>
      </c>
      <c r="B5799">
        <v>1</v>
      </c>
    </row>
    <row r="5800" spans="1:2">
      <c r="A5800" t="s">
        <v>14260</v>
      </c>
      <c r="B5800">
        <v>1</v>
      </c>
    </row>
    <row r="5801" spans="1:2">
      <c r="A5801" t="s">
        <v>14266</v>
      </c>
      <c r="B5801">
        <v>1</v>
      </c>
    </row>
    <row r="5802" spans="1:2">
      <c r="A5802" t="s">
        <v>16194</v>
      </c>
      <c r="B5802">
        <v>1</v>
      </c>
    </row>
    <row r="5803" spans="1:2">
      <c r="A5803" t="s">
        <v>16220</v>
      </c>
      <c r="B5803">
        <v>1</v>
      </c>
    </row>
    <row r="5804" spans="1:2">
      <c r="A5804" t="s">
        <v>16190</v>
      </c>
      <c r="B5804">
        <v>1</v>
      </c>
    </row>
    <row r="5805" spans="1:2">
      <c r="A5805" t="s">
        <v>16185</v>
      </c>
      <c r="B5805">
        <v>1</v>
      </c>
    </row>
    <row r="5806" spans="1:2">
      <c r="A5806" t="s">
        <v>16198</v>
      </c>
      <c r="B5806">
        <v>1</v>
      </c>
    </row>
    <row r="5807" spans="1:2">
      <c r="A5807" t="s">
        <v>16204</v>
      </c>
      <c r="B5807">
        <v>1</v>
      </c>
    </row>
    <row r="5808" spans="1:2">
      <c r="A5808" t="s">
        <v>16206</v>
      </c>
      <c r="B5808">
        <v>1</v>
      </c>
    </row>
    <row r="5809" spans="1:2">
      <c r="A5809" t="s">
        <v>16217</v>
      </c>
      <c r="B5809">
        <v>1</v>
      </c>
    </row>
    <row r="5810" spans="1:2">
      <c r="A5810" t="s">
        <v>16211</v>
      </c>
      <c r="B5810">
        <v>1</v>
      </c>
    </row>
    <row r="5811" spans="1:2">
      <c r="A5811" t="s">
        <v>16214</v>
      </c>
      <c r="B5811">
        <v>1</v>
      </c>
    </row>
    <row r="5812" spans="1:2">
      <c r="A5812" t="s">
        <v>16134</v>
      </c>
      <c r="B5812">
        <v>1</v>
      </c>
    </row>
    <row r="5813" spans="1:2">
      <c r="A5813" t="s">
        <v>16137</v>
      </c>
      <c r="B5813">
        <v>1</v>
      </c>
    </row>
    <row r="5814" spans="1:2">
      <c r="A5814" t="s">
        <v>16141</v>
      </c>
      <c r="B5814">
        <v>1</v>
      </c>
    </row>
    <row r="5815" spans="1:2">
      <c r="A5815" t="s">
        <v>16085</v>
      </c>
      <c r="B5815">
        <v>1</v>
      </c>
    </row>
    <row r="5816" spans="1:2">
      <c r="A5816" t="s">
        <v>16124</v>
      </c>
      <c r="B5816">
        <v>1</v>
      </c>
    </row>
    <row r="5817" spans="1:2">
      <c r="A5817" t="s">
        <v>16107</v>
      </c>
      <c r="B5817">
        <v>1</v>
      </c>
    </row>
    <row r="5818" spans="1:2">
      <c r="A5818" t="s">
        <v>16094</v>
      </c>
      <c r="B5818">
        <v>1</v>
      </c>
    </row>
    <row r="5819" spans="1:2">
      <c r="A5819" t="s">
        <v>16098</v>
      </c>
      <c r="B5819">
        <v>1</v>
      </c>
    </row>
    <row r="5820" spans="1:2">
      <c r="A5820" t="s">
        <v>16102</v>
      </c>
      <c r="B5820">
        <v>1</v>
      </c>
    </row>
    <row r="5821" spans="1:2">
      <c r="A5821" t="s">
        <v>16129</v>
      </c>
      <c r="B5821">
        <v>1</v>
      </c>
    </row>
    <row r="5822" spans="1:2">
      <c r="A5822" t="s">
        <v>16115</v>
      </c>
      <c r="B5822">
        <v>1</v>
      </c>
    </row>
    <row r="5823" spans="1:2">
      <c r="A5823" t="s">
        <v>16062</v>
      </c>
      <c r="B5823">
        <v>1</v>
      </c>
    </row>
    <row r="5824" spans="1:2">
      <c r="A5824" t="s">
        <v>16066</v>
      </c>
      <c r="B5824">
        <v>1</v>
      </c>
    </row>
    <row r="5825" spans="1:2">
      <c r="A5825" t="s">
        <v>16069</v>
      </c>
      <c r="B5825">
        <v>1</v>
      </c>
    </row>
    <row r="5826" spans="1:2">
      <c r="A5826" t="s">
        <v>16073</v>
      </c>
      <c r="B5826">
        <v>1</v>
      </c>
    </row>
    <row r="5827" spans="1:2">
      <c r="A5827" t="s">
        <v>16078</v>
      </c>
      <c r="B5827">
        <v>1</v>
      </c>
    </row>
    <row r="5828" spans="1:2">
      <c r="A5828" t="s">
        <v>16091</v>
      </c>
      <c r="B5828">
        <v>1</v>
      </c>
    </row>
    <row r="5829" spans="1:2">
      <c r="A5829" t="s">
        <v>16112</v>
      </c>
      <c r="B5829">
        <v>1</v>
      </c>
    </row>
    <row r="5830" spans="1:2">
      <c r="A5830" t="s">
        <v>16144</v>
      </c>
      <c r="B5830">
        <v>1</v>
      </c>
    </row>
    <row r="5831" spans="1:2">
      <c r="A5831" t="s">
        <v>16118</v>
      </c>
      <c r="B5831">
        <v>1</v>
      </c>
    </row>
    <row r="5832" spans="1:2">
      <c r="A5832" t="s">
        <v>16121</v>
      </c>
      <c r="B5832">
        <v>1</v>
      </c>
    </row>
    <row r="5833" spans="1:2">
      <c r="A5833" t="s">
        <v>17866</v>
      </c>
      <c r="B5833">
        <v>1</v>
      </c>
    </row>
    <row r="5834" spans="1:2">
      <c r="A5834" t="s">
        <v>17871</v>
      </c>
      <c r="B5834">
        <v>1</v>
      </c>
    </row>
    <row r="5835" spans="1:2">
      <c r="A5835" t="s">
        <v>17875</v>
      </c>
      <c r="B5835">
        <v>1</v>
      </c>
    </row>
    <row r="5836" spans="1:2">
      <c r="A5836" t="s">
        <v>17879</v>
      </c>
      <c r="B5836">
        <v>1</v>
      </c>
    </row>
    <row r="5837" spans="1:2">
      <c r="A5837" t="s">
        <v>17862</v>
      </c>
      <c r="B5837">
        <v>1</v>
      </c>
    </row>
    <row r="5838" spans="1:2">
      <c r="A5838" t="s">
        <v>18158</v>
      </c>
      <c r="B5838">
        <v>1</v>
      </c>
    </row>
    <row r="5839" spans="1:2">
      <c r="A5839" t="s">
        <v>18160</v>
      </c>
      <c r="B5839">
        <v>1</v>
      </c>
    </row>
    <row r="5840" spans="1:2">
      <c r="A5840" t="s">
        <v>18163</v>
      </c>
      <c r="B5840">
        <v>1</v>
      </c>
    </row>
    <row r="5841" spans="1:2">
      <c r="A5841" t="s">
        <v>18166</v>
      </c>
      <c r="B5841">
        <v>1</v>
      </c>
    </row>
    <row r="5842" spans="1:2">
      <c r="A5842" t="s">
        <v>18190</v>
      </c>
      <c r="B5842">
        <v>1</v>
      </c>
    </row>
    <row r="5843" spans="1:2">
      <c r="A5843" t="s">
        <v>18186</v>
      </c>
      <c r="B5843">
        <v>1</v>
      </c>
    </row>
    <row r="5844" spans="1:2">
      <c r="A5844" t="s">
        <v>18181</v>
      </c>
      <c r="B5844">
        <v>1</v>
      </c>
    </row>
    <row r="5845" spans="1:2">
      <c r="A5845" t="s">
        <v>18178</v>
      </c>
      <c r="B5845">
        <v>1</v>
      </c>
    </row>
    <row r="5846" spans="1:2">
      <c r="A5846" t="s">
        <v>18172</v>
      </c>
      <c r="B5846">
        <v>1</v>
      </c>
    </row>
    <row r="5847" spans="1:2">
      <c r="A5847" t="s">
        <v>18168</v>
      </c>
      <c r="B5847">
        <v>1</v>
      </c>
    </row>
    <row r="5848" spans="1:2">
      <c r="A5848" t="s">
        <v>18468</v>
      </c>
      <c r="B5848">
        <v>1</v>
      </c>
    </row>
    <row r="5849" spans="1:2">
      <c r="A5849" t="s">
        <v>18475</v>
      </c>
      <c r="B5849">
        <v>1</v>
      </c>
    </row>
    <row r="5850" spans="1:2">
      <c r="A5850" t="s">
        <v>18472</v>
      </c>
      <c r="B5850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EF51-F3C3-432B-93F2-36AEEA19AB72}">
  <dimension ref="A1:B16"/>
  <sheetViews>
    <sheetView workbookViewId="0">
      <selection activeCell="R35" sqref="R35"/>
    </sheetView>
  </sheetViews>
  <sheetFormatPr defaultRowHeight="15"/>
  <cols>
    <col min="1" max="1" width="29.85546875" bestFit="1" customWidth="1"/>
    <col min="2" max="2" width="12.28515625" bestFit="1" customWidth="1"/>
  </cols>
  <sheetData>
    <row r="1" spans="1:2">
      <c r="A1" t="s">
        <v>236</v>
      </c>
      <c r="B1" t="s">
        <v>237</v>
      </c>
    </row>
    <row r="2" spans="1:2">
      <c r="A2" t="s">
        <v>241</v>
      </c>
      <c r="B2">
        <v>1809</v>
      </c>
    </row>
    <row r="3" spans="1:2">
      <c r="A3" t="s">
        <v>250</v>
      </c>
      <c r="B3">
        <v>850</v>
      </c>
    </row>
    <row r="4" spans="1:2">
      <c r="A4" t="s">
        <v>242</v>
      </c>
      <c r="B4">
        <v>830</v>
      </c>
    </row>
    <row r="5" spans="1:2">
      <c r="A5" t="s">
        <v>240</v>
      </c>
      <c r="B5">
        <v>814</v>
      </c>
    </row>
    <row r="6" spans="1:2">
      <c r="A6" t="s">
        <v>239</v>
      </c>
      <c r="B6">
        <v>721</v>
      </c>
    </row>
    <row r="7" spans="1:2">
      <c r="A7" t="s">
        <v>243</v>
      </c>
      <c r="B7">
        <v>541</v>
      </c>
    </row>
    <row r="8" spans="1:2">
      <c r="A8" t="s">
        <v>238</v>
      </c>
      <c r="B8">
        <v>304</v>
      </c>
    </row>
    <row r="9" spans="1:2">
      <c r="A9" t="s">
        <v>249</v>
      </c>
      <c r="B9">
        <v>93</v>
      </c>
    </row>
    <row r="10" spans="1:2">
      <c r="A10" t="s">
        <v>244</v>
      </c>
      <c r="B10">
        <v>86</v>
      </c>
    </row>
    <row r="11" spans="1:2">
      <c r="A11" t="s">
        <v>246</v>
      </c>
      <c r="B11">
        <v>82</v>
      </c>
    </row>
    <row r="12" spans="1:2">
      <c r="A12" t="s">
        <v>248</v>
      </c>
      <c r="B12">
        <v>52</v>
      </c>
    </row>
    <row r="13" spans="1:2">
      <c r="A13" t="s">
        <v>245</v>
      </c>
      <c r="B13">
        <v>30</v>
      </c>
    </row>
    <row r="14" spans="1:2">
      <c r="A14" t="s">
        <v>252</v>
      </c>
      <c r="B14">
        <v>17</v>
      </c>
    </row>
    <row r="15" spans="1:2">
      <c r="A15" t="s">
        <v>247</v>
      </c>
      <c r="B15">
        <v>16</v>
      </c>
    </row>
    <row r="16" spans="1:2">
      <c r="A16" t="s">
        <v>251</v>
      </c>
      <c r="B16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31853A-A5DF-49F0-8B41-A84B9CBBAE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14</vt:i4>
      </vt:variant>
    </vt:vector>
  </HeadingPairs>
  <TitlesOfParts>
    <vt:vector size="14" baseType="lpstr">
      <vt:lpstr>Strutture ricettive</vt:lpstr>
      <vt:lpstr>Raggruppamento per Cittá e cate</vt:lpstr>
      <vt:lpstr>Ricerca</vt:lpstr>
      <vt:lpstr>Ricerca per cittá</vt:lpstr>
      <vt:lpstr>Analisi prezzi</vt:lpstr>
      <vt:lpstr>Estrazione struttura</vt:lpstr>
      <vt:lpstr>Analisi distribuzione prezzi</vt:lpstr>
      <vt:lpstr>Confrontro tra gruppi</vt:lpstr>
      <vt:lpstr>Correlazione</vt:lpstr>
      <vt:lpstr>Categorie e prezzo</vt:lpstr>
      <vt:lpstr>Conteggio cittá</vt:lpstr>
      <vt:lpstr>Prezzi</vt:lpstr>
      <vt:lpstr>Conteggio denominazione</vt:lpstr>
      <vt:lpstr>Conteggio categorie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Goiza</dc:creator>
  <cp:lastModifiedBy>Gabriele Goiza</cp:lastModifiedBy>
  <dcterms:created xsi:type="dcterms:W3CDTF">2015-06-05T18:19:34Z</dcterms:created>
  <dcterms:modified xsi:type="dcterms:W3CDTF">2026-08-03T19:06:51Z</dcterms:modified>
</cp:coreProperties>
</file>